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8.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df809174b0d94748" /></Relationships>
</file>

<file path=xl/workbook.xml><?xml version="1.0" encoding="utf-8"?>
<x:workbook xmlns:x="http://schemas.openxmlformats.org/spreadsheetml/2006/main">
  <x:sheets>
    <x:sheet xmlns:r="http://schemas.openxmlformats.org/officeDocument/2006/relationships" name="Resumen" sheetId="1" r:id="R801bf2bc6e31488b"/>
    <x:sheet xmlns:r="http://schemas.openxmlformats.org/officeDocument/2006/relationships" name="Inventario" sheetId="2" r:id="R65797a8adbce4331"/>
    <x:sheet xmlns:r="http://schemas.openxmlformats.org/officeDocument/2006/relationships" name="Preguntas oficiales" sheetId="3" r:id="Re48b8b1cd6a340fc"/>
    <x:sheet xmlns:r="http://schemas.openxmlformats.org/officeDocument/2006/relationships" name="Frecuencia por tema" sheetId="4" r:id="R1f3bc75c06234ad8"/>
    <x:sheet xmlns:r="http://schemas.openxmlformats.org/officeDocument/2006/relationships" name="Artículos y cifras" sheetId="5" r:id="Rc4dce6e3a5494cbe"/>
    <x:sheet xmlns:r="http://schemas.openxmlformats.org/officeDocument/2006/relationships" name="Anulaciones y cambios" sheetId="6" r:id="Rdbaa582cccdd4a2d"/>
    <x:sheet xmlns:r="http://schemas.openxmlformats.org/officeDocument/2006/relationships" name="Tendencias" sheetId="7" r:id="Re9175f3f5ab44d0d"/>
    <x:sheet xmlns:r="http://schemas.openxmlformats.org/officeDocument/2006/relationships" name="Fuentes y límites" sheetId="8" r:id="R10e04ba4acc94284"/>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
    <x:numFmt numFmtId="201" formatCode="dd/mm/yyyy"/>
  </x:numFmts>
  <x:fonts count="8">
    <x:font>
      <x:sz val="11"/>
      <x:name val="Carlito"/>
    </x:font>
    <x:font>
      <x:b/>
      <x:sz val="18"/>
      <x:color rgb="FFFFFFFF"/>
      <x:name val="Carlito"/>
    </x:font>
    <x:font>
      <x:i/>
      <x:sz val="10"/>
      <x:color rgb="FF17324D"/>
      <x:name val="Carlito"/>
    </x:font>
    <x:font>
      <x:b/>
      <x:sz val="11"/>
      <x:color rgb="FFFFFFFF"/>
      <x:name val="Carlito"/>
    </x:font>
    <x:font>
      <x:sz val="9"/>
      <x:color rgb="FF1F2933"/>
      <x:name val="Carlito"/>
    </x:font>
    <x:font>
      <x:sz val="11"/>
      <x:color rgb="FF17324D"/>
      <x:name val="Carlito"/>
    </x:font>
    <x:font>
      <x:b/>
      <x:sz val="9"/>
      <x:color rgb="FF5F6B76"/>
      <x:name val="Carlito"/>
    </x:font>
    <x:font>
      <x:b/>
      <x:sz val="11"/>
      <x:color rgb="FF17324D"/>
      <x:name val="Carlito"/>
    </x:font>
  </x:fonts>
  <x:fills count="8">
    <x:fill>
      <x:patternFill patternType="none"/>
    </x:fill>
    <x:fill>
      <x:patternFill patternType="gray125"/>
    </x:fill>
    <x:fill>
      <x:patternFill patternType="solid">
        <x:fgColor rgb="FF17324D"/>
      </x:patternFill>
    </x:fill>
    <x:fill>
      <x:patternFill patternType="solid">
        <x:fgColor rgb="FFDDF3EF"/>
      </x:patternFill>
    </x:fill>
    <x:fill>
      <x:patternFill patternType="solid">
        <x:fgColor rgb="FF0F766E"/>
      </x:patternFill>
    </x:fill>
    <x:fill>
      <x:patternFill patternType="solid">
        <x:fgColor rgb="FFE8F0F8"/>
      </x:patternFill>
    </x:fill>
    <x:fill>
      <x:patternFill patternType="solid">
        <x:fgColor rgb="FFF1F4F6"/>
      </x:patternFill>
    </x:fill>
    <x:fill>
      <x:patternFill patternType="solid">
        <x:fgColor rgb="FFFCE8D5"/>
      </x:patternFill>
    </x:fill>
  </x:fills>
  <x:borders count="2">
    <x:border/>
    <x:border>
      <x:left style="thin">
        <x:color rgb="FFCAD3DB"/>
      </x:left>
      <x:right style="thin">
        <x:color rgb="FFCAD3DB"/>
      </x:right>
      <x:top style="thin">
        <x:color rgb="FFCAD3DB"/>
      </x:top>
      <x:bottom style="thin">
        <x:color rgb="FFCAD3DB"/>
      </x:bottom>
    </x:border>
  </x:borders>
  <x:cellStyleXfs count="1">
    <x:xf numFmtId="0" fontId="0" fillId="0" borderId="0"/>
  </x:cellStyleXfs>
  <x:cellXfs count="32">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horizontal="center" wrapText="1"/>
    </x:xf>
    <x:xf numFmtId="0" fontId="3" fillId="4" borderId="1" xfId="0" applyNumberFormat="1" applyFont="1" applyFill="1" applyBorder="1" applyAlignment="1">
      <x:alignment horizontal="center" vertical="center" wrapText="1"/>
    </x:xf>
    <x:xf numFmtId="0" fontId="4" fillId="0" borderId="0" xfId="0" applyNumberFormat="1" applyFont="1" applyFill="1" applyBorder="1"/>
    <x:xf numFmtId="0" fontId="4" fillId="0" borderId="1" xfId="0" applyNumberFormat="1" applyFont="1" applyFill="1" applyBorder="1"/>
    <x:xf numFmtId="0" fontId="4" fillId="0" borderId="1" xfId="0" applyNumberFormat="1" applyFont="1" applyFill="1" applyBorder="1" applyAlignment="1">
      <x:alignment wrapText="1"/>
    </x:xf>
    <x:xf numFmtId="0" fontId="4" fillId="0" borderId="1" xfId="0" applyNumberFormat="1" applyFont="1" applyFill="1" applyBorder="1" applyAlignment="1">
      <x:alignment vertical="top" wrapText="1"/>
    </x:xf>
    <x:xf numFmtId="200" fontId="4" fillId="0" borderId="1" xfId="0" applyNumberFormat="1" applyFont="1" applyFill="1" applyBorder="1" applyAlignment="1">
      <x:alignment vertical="top" wrapText="1"/>
    </x:xf>
    <x:xf numFmtId="0" fontId="0" fillId="5" borderId="0" xfId="0" applyNumberFormat="1" applyFont="1" applyFill="1" applyBorder="1"/>
    <x:xf numFmtId="0" fontId="5" fillId="5" borderId="0" xfId="0" applyNumberFormat="1" applyFont="1" applyFill="1" applyBorder="1"/>
    <x:xf numFmtId="0" fontId="5" fillId="5" borderId="1" xfId="0" applyNumberFormat="1" applyFont="1" applyFill="1" applyBorder="1"/>
    <x:xf numFmtId="0" fontId="5" fillId="5" borderId="1" xfId="0" applyNumberFormat="1" applyFont="1" applyFill="1" applyBorder="1" applyAlignment="1">
      <x:alignment wrapText="1"/>
    </x:xf>
    <x:xf numFmtId="0" fontId="5" fillId="5" borderId="1" xfId="0" applyNumberFormat="1" applyFont="1" applyFill="1" applyBorder="1" applyAlignment="1">
      <x:alignment vertical="center" wrapText="1"/>
    </x:xf>
    <x:xf numFmtId="0" fontId="0" fillId="6" borderId="0" xfId="0" applyNumberFormat="1" applyFont="1" applyFill="1" applyBorder="1"/>
    <x:xf numFmtId="0" fontId="6" fillId="6" borderId="0" xfId="0" applyNumberFormat="1" applyFont="1" applyFill="1" applyBorder="1"/>
    <x:xf numFmtId="0" fontId="6" fillId="6" borderId="0" xfId="0" applyNumberFormat="1" applyFont="1" applyFill="1" applyBorder="1" applyAlignment="1">
      <x:alignment horizontal="center"/>
    </x:xf>
    <x:xf numFmtId="201" fontId="4" fillId="0" borderId="1" xfId="0" applyNumberFormat="1" applyFont="1" applyFill="1" applyBorder="1" applyAlignment="1">
      <x:alignment vertical="top" wrapText="1"/>
    </x:xf>
    <x:xf numFmtId="0" fontId="0" fillId="7" borderId="0" xfId="0" applyNumberFormat="1" applyFont="1" applyFill="1" applyBorder="1"/>
    <x:xf numFmtId="0" fontId="7" fillId="7" borderId="0" xfId="0" applyNumberFormat="1" applyFont="1" applyFill="1" applyBorder="1"/>
    <x:xf numFmtId="0" fontId="7" fillId="7" borderId="0" xfId="0" applyNumberFormat="1" applyFont="1" applyFill="1" applyBorder="1" applyAlignment="1">
      <x:alignment wrapText="1"/>
    </x:xf>
  </x:cellXfs>
  <x:cellStyles count="1">
    <x:cellStyle name="Normal" xfId="0"/>
  </x:cellStyles>
  <x:dxfs count="1">
    <x:dxf>
      <x:font>
        <x:b/>
        <x:color rgb="FFB42318"/>
      </x:font>
      <x:fill>
        <x:patternFill patternType="solid">
          <x:bgColor rgb="FFFDE2E1"/>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9624e34dce1843bf" /><Relationship Type="http://schemas.openxmlformats.org/officeDocument/2006/relationships/theme" Target="/xl/theme/theme1.xml" Id="R47dcaa980b0148e4" /><Relationship Type="http://schemas.openxmlformats.org/officeDocument/2006/relationships/sharedStrings" Target="/xl/sharedStrings.xml" Id="R25da542300244f00" /><Relationship Type="http://schemas.openxmlformats.org/officeDocument/2006/relationships/worksheet" Target="/xl/worksheets/sheet1.xml" Id="R801bf2bc6e31488b" /><Relationship Type="http://schemas.openxmlformats.org/officeDocument/2006/relationships/worksheet" Target="/xl/worksheets/sheet2.xml" Id="R65797a8adbce4331" /><Relationship Type="http://schemas.openxmlformats.org/officeDocument/2006/relationships/worksheet" Target="/xl/worksheets/sheet3.xml" Id="Re48b8b1cd6a340fc" /><Relationship Type="http://schemas.openxmlformats.org/officeDocument/2006/relationships/worksheet" Target="/xl/worksheets/sheet4.xml" Id="R1f3bc75c06234ad8" /><Relationship Type="http://schemas.openxmlformats.org/officeDocument/2006/relationships/worksheet" Target="/xl/worksheets/sheet5.xml" Id="Rc4dce6e3a5494cbe" /><Relationship Type="http://schemas.openxmlformats.org/officeDocument/2006/relationships/worksheet" Target="/xl/worksheets/sheet6.xml" Id="Rdbaa582cccdd4a2d" /><Relationship Type="http://schemas.openxmlformats.org/officeDocument/2006/relationships/worksheet" Target="/xl/worksheets/sheet7.xml" Id="Re9175f3f5ab44d0d" /><Relationship Type="http://schemas.openxmlformats.org/officeDocument/2006/relationships/worksheet" Target="/xl/worksheets/sheet8.xml" Id="R10e04ba4acc94284" /></Relationships>
</file>

<file path=xl/drawings/_rels/drawing1.xml.rels>&#65279;<?xml version="1.0" encoding="utf-8"?><Relationships xmlns="http://schemas.openxmlformats.org/package/2006/relationships"><Relationship Type="http://schemas.openxmlformats.org/officeDocument/2006/relationships/chart" Target="/xl/drawings/charts/chart1.xml" Id="Raa6182116af54304"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15 temas con mayor presencia</a:t>
            </a:r>
          </a:p>
        </c:rich>
      </c:tx>
    </c:title>
    <c:plotArea>
      <c:barChart>
        <c:barDir val="col"/>
        <c:varyColors val="0"/>
        <c:ser>
          <c:idx val="0"/>
          <c:order val="0"/>
          <c:tx>
            <c:v>Preguntas</c:v>
          </c:tx>
          <c:cat>
            <c:strRef>
              <c:f>'Tendencias'!$A$5:$A$19</c:f>
              <c:strCache>
                <c:ptCount val="0"/>
              </c:strCache>
            </c:strRef>
          </c:cat>
          <c:val>
            <c:numRef>
              <c:f>'Tendencias'!$B$5:$B$19</c:f>
              <c:numCache>
                <c:formatCode>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675"/>
            </a:pPr>
          </a:p>
        </c:txPr>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5</xdr:col>
      <xdr:colOff>0</xdr:colOff>
      <xdr:row>3</xdr:row>
      <xdr:rowOff>0</xdr:rowOff>
    </xdr:from>
    <xdr:to>
      <xdr:col>14</xdr:col>
      <xdr:colOff>0</xdr:colOff>
      <xdr:row>20</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aa6182116af54304"/>
        </a:graphicData>
      </a:graphic>
    </xdr:graphicFrame>
    <xdr:clientData/>
  </xdr:twoCellAnchor>
</xdr:wsDr>
</file>

<file path=xl/tables/table1.xml><?xml version="1.0" encoding="utf-8"?>
<x:table xmlns:x="http://schemas.openxmlformats.org/spreadsheetml/2006/main" id="1" name="InventarioExamenes" displayName="InventarioExamenes" ref="A1:M7" headerRowCount="1" totalsRowCount="0" totalsRowShown="0">
  <x:autoFilter ref="A1:M7"/>
  <x:tableColumns count="13">
    <x:tableColumn id="1" name="convocatoria"/>
    <x:tableColumn id="2" name="fecha_examen"/>
    <x:tableColumn id="3" name="acceso"/>
    <x:tableColumn id="4" name="ejercicio"/>
    <x:tableColumn id="5" name="modelo"/>
    <x:tableColumn id="6" name="preguntas"/>
    <x:tableColumn id="7" name="reservas"/>
    <x:tableColumn id="8" name="duracion_minutos"/>
    <x:tableColumn id="9" name="enlace_oficial"/>
    <x:tableColumn id="10" name="plantilla_provisional"/>
    <x:tableColumn id="11" name="plantilla_definitiva"/>
    <x:tableColumn id="12" name="preguntas_anuladas"/>
    <x:tableColumn id="13" name="observaciones"/>
  </x:tableColumns>
  <x:tableStyleInfo name="TableStyleMedium2" showFirstColumn="0" showLastColumn="0" showRowStripes="1" showColumnStripes="0"/>
</x:table>
</file>

<file path=xl/tables/table2.xml><?xml version="1.0" encoding="utf-8"?>
<x:table xmlns:x="http://schemas.openxmlformats.org/spreadsheetml/2006/main" id="2" name="PreguntasOficiales" displayName="PreguntasOficiales" ref="A1:AP547" headerRowCount="1" totalsRowCount="0" totalsRowShown="0">
  <x:autoFilter ref="A1:AP547"/>
  <x:tableColumns count="42">
    <x:tableColumn id="1" name="id_pregunta"/>
    <x:tableColumn id="2" name="año"/>
    <x:tableColumn id="3" name="convocatoria"/>
    <x:tableColumn id="4" name="fecha_examen"/>
    <x:tableColumn id="5" name="tipo_acceso"/>
    <x:tableColumn id="6" name="ejercicio"/>
    <x:tableColumn id="7" name="modelo"/>
    <x:tableColumn id="8" name="familia_modelos"/>
    <x:tableColumn id="9" name="computar_en_frecuencia"/>
    <x:tableColumn id="10" name="observacion_equivalencia"/>
    <x:tableColumn id="11" name="numero_pregunta"/>
    <x:tableColumn id="12" name="reserva"/>
    <x:tableColumn id="13" name="enunciado"/>
    <x:tableColumn id="14" name="opcion_a"/>
    <x:tableColumn id="15" name="opcion_b"/>
    <x:tableColumn id="16" name="opcion_c"/>
    <x:tableColumn id="17" name="opcion_d"/>
    <x:tableColumn id="18" name="tema_id"/>
    <x:tableColumn id="19" name="tema_oficial"/>
    <x:tableColumn id="20" name="bloque"/>
    <x:tableColumn id="21" name="titulo_tema"/>
    <x:tableColumn id="22" name="apartado_concreto"/>
    <x:tableColumn id="23" name="norma"/>
    <x:tableColumn id="24" name="articulo_precepto"/>
    <x:tableColumn id="25" name="tipo_pregunta"/>
    <x:tableColumn id="26" name="dificultad"/>
    <x:tableColumn id="27" name="concepto_principal"/>
    <x:tableColumn id="28" name="organismo_implicado"/>
    <x:tableColumn id="29" name="plazo_cifra_porcentaje_edad"/>
    <x:tableColumn id="30" name="contiene_excepcion"/>
    <x:tableColumn id="31" name="caracter"/>
    <x:tableColumn id="32" name="respuesta_provisional"/>
    <x:tableColumn id="33" name="respuesta_definitiva"/>
    <x:tableColumn id="34" name="resultado_final"/>
    <x:tableColumn id="35" name="fuente_pdf"/>
    <x:tableColumn id="36" name="enlace_oficial"/>
    <x:tableColumn id="37" name="metodo_extraccion"/>
    <x:tableColumn id="38" name="puntuacion_clasificacion"/>
    <x:tableColumn id="39" name="confianza_clasificacion"/>
    <x:tableColumn id="40" name="metodo_clasificacion"/>
    <x:tableColumn id="41" name="id_pregunta_canonica"/>
    <x:tableColumn id="42" name="similitud_canonica"/>
  </x:tableColumns>
  <x:tableStyleInfo name="TableStyleMedium2" showFirstColumn="0" showLastColumn="0" showRowStripes="1" showColumnStripes="0"/>
</x:table>
</file>

<file path=xl/tables/table3.xml><?xml version="1.0" encoding="utf-8"?>
<x:table xmlns:x="http://schemas.openxmlformats.org/spreadsheetml/2006/main" id="3" name="FrecuenciaTemas" displayName="FrecuenciaTemas" ref="A1:O37" headerRowCount="1" totalsRowCount="0" totalsRowShown="0">
  <x:autoFilter ref="A1:O37"/>
  <x:tableColumns count="15">
    <x:tableColumn id="1" name="Tema ID"/>
    <x:tableColumn id="2" name="Bloque"/>
    <x:tableColumn id="3" name="N.º oficial"/>
    <x:tableColumn id="4" name="Título oficial"/>
    <x:tableColumn id="5" name="Preguntas canónicas"/>
    <x:tableColumn id="6" name="2024"/>
    <x:tableColumn id="7" name="2025"/>
    <x:tableColumn id="8" name="2026"/>
    <x:tableColumn id="9" name="Prácticas"/>
    <x:tableColumn id="10" name="Reservas"/>
    <x:tableColumn id="11" name="Anuladas"/>
    <x:tableColumn id="12" name="Modificadas"/>
    <x:tableColumn id="13" name="Normas más citadas"/>
    <x:tableColumn id="14" name="Artículos más citados"/>
    <x:tableColumn id="15" name="Conceptos más frecuentes"/>
  </x:tableColumns>
  <x:tableStyleInfo name="TableStyleMedium2" showFirstColumn="0" showLastColumn="0" showRowStripes="1" showColumnStripes="0"/>
</x:table>
</file>

<file path=xl/tables/table4.xml><?xml version="1.0" encoding="utf-8"?>
<x:table xmlns:x="http://schemas.openxmlformats.org/spreadsheetml/2006/main" id="4" name="ArticulosPlazos" displayName="ArticulosPlazos" ref="A1:J297" headerRowCount="1" totalsRowCount="0" totalsRowShown="0">
  <x:autoFilter ref="A1:J297"/>
  <x:tableColumns count="10">
    <x:tableColumn id="1" name="ID"/>
    <x:tableColumn id="2" name="Año"/>
    <x:tableColumn id="3" name="Tema"/>
    <x:tableColumn id="4" name="Norma"/>
    <x:tableColumn id="5" name="Artículo / precepto"/>
    <x:tableColumn id="6" name="Plazo, cifra, porcentaje o edad"/>
    <x:tableColumn id="7" name="Tipo"/>
    <x:tableColumn id="8" name="Enunciado"/>
    <x:tableColumn id="9" name="Respuesta definitiva"/>
    <x:tableColumn id="10" name="Resultado"/>
  </x:tableColumns>
  <x:tableStyleInfo name="TableStyleMedium2" showFirstColumn="0" showLastColumn="0" showRowStripes="1" showColumnStripes="0"/>
</x:table>
</file>

<file path=xl/tables/table5.xml><?xml version="1.0" encoding="utf-8"?>
<x:table xmlns:x="http://schemas.openxmlformats.org/spreadsheetml/2006/main" id="5" name="CambiosPlantilla" displayName="CambiosPlantilla" ref="A1:K13" headerRowCount="1" totalsRowCount="0" totalsRowShown="0">
  <x:autoFilter ref="A1:K13"/>
  <x:tableColumns count="11">
    <x:tableColumn id="1" name="ID"/>
    <x:tableColumn id="2" name="Fecha"/>
    <x:tableColumn id="3" name="Modelo"/>
    <x:tableColumn id="4" name="Parte"/>
    <x:tableColumn id="5" name="N.º"/>
    <x:tableColumn id="6" name="Tema"/>
    <x:tableColumn id="7" name="Enunciado"/>
    <x:tableColumn id="8" name="Provisional"/>
    <x:tableColumn id="9" name="Definitiva"/>
    <x:tableColumn id="10" name="Resultado"/>
    <x:tableColumn id="11" name="Fuent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a947380fda1f4b51" /></Relationships>
</file>

<file path=xl/worksheets/_rels/sheet3.xml.rels>&#65279;<?xml version="1.0" encoding="utf-8"?><Relationships xmlns="http://schemas.openxmlformats.org/package/2006/relationships"><Relationship Type="http://schemas.openxmlformats.org/officeDocument/2006/relationships/table" Target="/xl/tables/table2.xml" Id="Re6396de77da14945" /></Relationships>
</file>

<file path=xl/worksheets/_rels/sheet4.xml.rels>&#65279;<?xml version="1.0" encoding="utf-8"?><Relationships xmlns="http://schemas.openxmlformats.org/package/2006/relationships"><Relationship Type="http://schemas.openxmlformats.org/officeDocument/2006/relationships/table" Target="/xl/tables/table3.xml" Id="Rc584101437024ecc" /></Relationships>
</file>

<file path=xl/worksheets/_rels/sheet5.xml.rels>&#65279;<?xml version="1.0" encoding="utf-8"?><Relationships xmlns="http://schemas.openxmlformats.org/package/2006/relationships"><Relationship Type="http://schemas.openxmlformats.org/officeDocument/2006/relationships/table" Target="/xl/tables/table4.xml" Id="R947860b6302f498d" /></Relationships>
</file>

<file path=xl/worksheets/_rels/sheet6.xml.rels>&#65279;<?xml version="1.0" encoding="utf-8"?><Relationships xmlns="http://schemas.openxmlformats.org/package/2006/relationships"><Relationship Type="http://schemas.openxmlformats.org/officeDocument/2006/relationships/table" Target="/xl/tables/table5.xml" Id="Rb48a9f60ef174c4f" /></Relationships>
</file>

<file path=xl/worksheets/_rels/sheet7.xml.rels>&#65279;<?xml version="1.0" encoding="utf-8"?><Relationships xmlns="http://schemas.openxmlformats.org/package/2006/relationships"><Relationship Type="http://schemas.openxmlformats.org/officeDocument/2006/relationships/drawing" Target="/xl/drawings/drawing1.xml" Id="R8725e95c96a64649" /></Relationships>
</file>

<file path=xl/worksheets/sheet1.xml><?xml version="1.0" encoding="utf-8"?>
<x:worksheet xmlns:x="http://schemas.openxmlformats.org/spreadsheetml/2006/main">
  <x:sheetViews>
    <x:sheetView showGridLines="0" workbookViewId="0"/>
  </x:sheetViews>
  <x:sheetFormatPr defaultRowHeight="15"/>
  <x:cols>
    <x:col min="1" max="1" width="34" hidden="0" customWidth="1"/>
    <x:col min="2" max="2" width="16" hidden="0" customWidth="1"/>
    <x:col min="3" max="3" width="16" hidden="0" customWidth="1"/>
    <x:col min="4" max="4" width="18" hidden="0" customWidth="1"/>
    <x:col min="5" max="5" width="18" hidden="0" customWidth="1"/>
    <x:col min="6" max="6" width="18" hidden="0" customWidth="1"/>
    <x:col min="7" max="7" width="18" hidden="0" customWidth="1"/>
    <x:col min="8" max="8" width="18" hidden="0" customWidth="1"/>
  </x:cols>
  <x:sheetData>
    <x:row r="1" ht="34" customHeight="1">
      <x:c r="A1" s="4" t="str">
        <x:v>Análisis de exámenes oficiales · Administrativo de la Seguridad Social</x:v>
      </x:c>
      <x:c r="B1" s="4" t="str">
        <x:v>Análisis de exámenes oficiales · Administrativo de la Seguridad Social</x:v>
      </x:c>
      <x:c r="C1" s="4" t="str">
        <x:v>Análisis de exámenes oficiales · Administrativo de la Seguridad Social</x:v>
      </x:c>
      <x:c r="D1" s="4" t="str">
        <x:v>Análisis de exámenes oficiales · Administrativo de la Seguridad Social</x:v>
      </x:c>
      <x:c r="E1" s="4" t="str">
        <x:v>Análisis de exámenes oficiales · Administrativo de la Seguridad Social</x:v>
      </x:c>
      <x:c r="F1" s="4" t="str">
        <x:v>Análisis de exámenes oficiales · Administrativo de la Seguridad Social</x:v>
      </x:c>
      <x:c r="G1" s="4" t="str">
        <x:v>Análisis de exámenes oficiales · Administrativo de la Seguridad Social</x:v>
      </x:c>
      <x:c r="H1" s="4" t="str">
        <x:v>Análisis de exámenes oficiales · Administrativo de la Seguridad Social</x:v>
      </x:c>
    </x:row>
    <x:row r="2" ht="30" customHeight="1">
      <x:c r="A2" s="8" t="str">
        <x:v>Acceso libre · fuentes oficiales · fecha de corte: 30 de julio de 2026</x:v>
      </x:c>
      <x:c r="B2" s="8" t="str">
        <x:v>Acceso libre · fuentes oficiales · fecha de corte: 30 de julio de 2026</x:v>
      </x:c>
      <x:c r="C2" s="8" t="str">
        <x:v>Acceso libre · fuentes oficiales · fecha de corte: 30 de julio de 2026</x:v>
      </x:c>
      <x:c r="D2" s="8" t="str">
        <x:v>Acceso libre · fuentes oficiales · fecha de corte: 30 de julio de 2026</x:v>
      </x:c>
      <x:c r="E2" s="8" t="str">
        <x:v>Acceso libre · fuentes oficiales · fecha de corte: 30 de julio de 2026</x:v>
      </x:c>
      <x:c r="F2" s="8" t="str">
        <x:v>Acceso libre · fuentes oficiales · fecha de corte: 30 de julio de 2026</x:v>
      </x:c>
      <x:c r="G2" s="8" t="str">
        <x:v>Acceso libre · fuentes oficiales · fecha de corte: 30 de julio de 2026</x:v>
      </x:c>
      <x:c r="H2" s="8" t="str">
        <x:v>Acceso libre · fuentes oficiales · fecha de corte: 30 de julio de 2026</x:v>
      </x:c>
    </x:row>
    <x:row r="4" ht="30" customHeight="1">
      <x:c r="A4" s="14" t="str">
        <x:v>Indicador</x:v>
      </x:c>
      <x:c r="B4" s="14" t="str">
        <x:v>Valor</x:v>
      </x:c>
      <x:c r="D4" s="14" t="str">
        <x:v>Criterio de lectura</x:v>
      </x:c>
      <x:c r="E4" s="14" t="str">
        <x:v>Criterio de lectura</x:v>
      </x:c>
      <x:c r="F4" s="14" t="str">
        <x:v>Criterio de lectura</x:v>
      </x:c>
      <x:c r="G4" s="14" t="str">
        <x:v>Criterio de lectura</x:v>
      </x:c>
      <x:c r="H4" s="14" t="str">
        <x:v>Criterio de lectura</x:v>
      </x:c>
    </x:row>
    <x:row r="5">
      <x:c r="A5" s="18" t="str">
        <x:v>Variantes analizadas</x:v>
      </x:c>
      <x:c r="B5" s="19" t="n">
        <x:f>COUNTA(Inventario!A2:A7)</x:f>
        <x:v>6</x:v>
      </x:c>
      <x:c r="D5" s="24" t="str">
        <x:v>La base conserva las variantes oficiales seleccionadas para trazabilidad. Las frecuencias usan una sola variante por sesión: Verde 2026 queda registrado, pero no duplica el conjunto equivalente Rojo 2026. Los modelos B permanecen archivados en PDF como permutaciones de orden y/o opciones.</x:v>
      </x:c>
      <x:c r="E5" s="24" t="str">
        <x:v>La base conserva las variantes oficiales seleccionadas para trazabilidad. Las frecuencias usan una sola variante por sesión: Verde 2026 queda registrado, pero no duplica el conjunto equivalente Rojo 2026. Los modelos B permanecen archivados en PDF como permutaciones de orden y/o opciones.</x:v>
      </x:c>
      <x:c r="F5" s="24" t="str">
        <x:v>La base conserva las variantes oficiales seleccionadas para trazabilidad. Las frecuencias usan una sola variante por sesión: Verde 2026 queda registrado, pero no duplica el conjunto equivalente Rojo 2026. Los modelos B permanecen archivados en PDF como permutaciones de orden y/o opciones.</x:v>
      </x:c>
      <x:c r="G5" s="24" t="str">
        <x:v>La base conserva las variantes oficiales seleccionadas para trazabilidad. Las frecuencias usan una sola variante por sesión: Verde 2026 queda registrado, pero no duplica el conjunto equivalente Rojo 2026. Los modelos B permanecen archivados en PDF como permutaciones de orden y/o opciones.</x:v>
      </x:c>
      <x:c r="H5" s="24" t="str">
        <x:v>La base conserva las variantes oficiales seleccionadas para trazabilidad. Las frecuencias usan una sola variante por sesión: Verde 2026 queda registrado, pero no duplica el conjunto equivalente Rojo 2026. Los modelos B permanecen archivados en PDF como permutaciones de orden y/o opciones.</x:v>
      </x:c>
    </x:row>
    <x:row r="6">
      <x:c r="A6" s="18" t="str">
        <x:v>Preguntas registradas</x:v>
      </x:c>
      <x:c r="B6" s="19" t="n">
        <x:f>COUNTA('Preguntas oficiales'!$A$2:$A$547)</x:f>
        <x:v>546</x:v>
      </x:c>
      <x:c r="D6" s="24" t="str">
        <x:v>La base conserva las variantes oficiales seleccionadas para trazabilidad. Las frecuencias usan una sola variante por sesión: Verde 2026 queda registrado, pero no duplica el conjunto equivalente Rojo 2026. Los modelos B permanecen archivados en PDF como permutaciones de orden y/o opciones.</x:v>
      </x:c>
      <x:c r="E6" s="24" t="str">
        <x:v>La base conserva las variantes oficiales seleccionadas para trazabilidad. Las frecuencias usan una sola variante por sesión: Verde 2026 queda registrado, pero no duplica el conjunto equivalente Rojo 2026. Los modelos B permanecen archivados en PDF como permutaciones de orden y/o opciones.</x:v>
      </x:c>
      <x:c r="F6" s="24" t="str">
        <x:v>La base conserva las variantes oficiales seleccionadas para trazabilidad. Las frecuencias usan una sola variante por sesión: Verde 2026 queda registrado, pero no duplica el conjunto equivalente Rojo 2026. Los modelos B permanecen archivados en PDF como permutaciones de orden y/o opciones.</x:v>
      </x:c>
      <x:c r="G6" s="24" t="str">
        <x:v>La base conserva las variantes oficiales seleccionadas para trazabilidad. Las frecuencias usan una sola variante por sesión: Verde 2026 queda registrado, pero no duplica el conjunto equivalente Rojo 2026. Los modelos B permanecen archivados en PDF como permutaciones de orden y/o opciones.</x:v>
      </x:c>
      <x:c r="H6" s="24" t="str">
        <x:v>La base conserva las variantes oficiales seleccionadas para trazabilidad. Las frecuencias usan una sola variante por sesión: Verde 2026 queda registrado, pero no duplica el conjunto equivalente Rojo 2026. Los modelos B permanecen archivados en PDF como permutaciones de orden y/o opciones.</x:v>
      </x:c>
    </x:row>
    <x:row r="7">
      <x:c r="A7" s="18" t="str">
        <x:v>Preguntas canónicas para frecuencia</x:v>
      </x:c>
      <x:c r="B7" s="19" t="n">
        <x:f>COUNTIF('Preguntas oficiales'!$I$2:$I$547,"Sí")</x:f>
        <x:v>455</x:v>
      </x:c>
      <x:c r="D7" s="24" t="str">
        <x:v>La base conserva las variantes oficiales seleccionadas para trazabilidad. Las frecuencias usan una sola variante por sesión: Verde 2026 queda registrado, pero no duplica el conjunto equivalente Rojo 2026. Los modelos B permanecen archivados en PDF como permutaciones de orden y/o opciones.</x:v>
      </x:c>
      <x:c r="E7" s="24" t="str">
        <x:v>La base conserva las variantes oficiales seleccionadas para trazabilidad. Las frecuencias usan una sola variante por sesión: Verde 2026 queda registrado, pero no duplica el conjunto equivalente Rojo 2026. Los modelos B permanecen archivados en PDF como permutaciones de orden y/o opciones.</x:v>
      </x:c>
      <x:c r="F7" s="24" t="str">
        <x:v>La base conserva las variantes oficiales seleccionadas para trazabilidad. Las frecuencias usan una sola variante por sesión: Verde 2026 queda registrado, pero no duplica el conjunto equivalente Rojo 2026. Los modelos B permanecen archivados en PDF como permutaciones de orden y/o opciones.</x:v>
      </x:c>
      <x:c r="G7" s="24" t="str">
        <x:v>La base conserva las variantes oficiales seleccionadas para trazabilidad. Las frecuencias usan una sola variante por sesión: Verde 2026 queda registrado, pero no duplica el conjunto equivalente Rojo 2026. Los modelos B permanecen archivados en PDF como permutaciones de orden y/o opciones.</x:v>
      </x:c>
      <x:c r="H7" s="24" t="str">
        <x:v>La base conserva las variantes oficiales seleccionadas para trazabilidad. Las frecuencias usan una sola variante por sesión: Verde 2026 queda registrado, pero no duplica el conjunto equivalente Rojo 2026. Los modelos B permanecen archivados en PDF como permutaciones de orden y/o opciones.</x:v>
      </x:c>
    </x:row>
    <x:row r="8">
      <x:c r="A8" s="18" t="str">
        <x:v>Preguntas teóricas</x:v>
      </x:c>
      <x:c r="B8" s="19" t="n">
        <x:f>COUNTIF('Preguntas oficiales'!$AE$2:$AE$547,"Teórico")</x:f>
        <x:v>438</x:v>
      </x:c>
      <x:c r="D8" s="24" t="str">
        <x:v>La base conserva las variantes oficiales seleccionadas para trazabilidad. Las frecuencias usan una sola variante por sesión: Verde 2026 queda registrado, pero no duplica el conjunto equivalente Rojo 2026. Los modelos B permanecen archivados en PDF como permutaciones de orden y/o opciones.</x:v>
      </x:c>
      <x:c r="E8" s="24" t="str">
        <x:v>La base conserva las variantes oficiales seleccionadas para trazabilidad. Las frecuencias usan una sola variante por sesión: Verde 2026 queda registrado, pero no duplica el conjunto equivalente Rojo 2026. Los modelos B permanecen archivados en PDF como permutaciones de orden y/o opciones.</x:v>
      </x:c>
      <x:c r="F8" s="24" t="str">
        <x:v>La base conserva las variantes oficiales seleccionadas para trazabilidad. Las frecuencias usan una sola variante por sesión: Verde 2026 queda registrado, pero no duplica el conjunto equivalente Rojo 2026. Los modelos B permanecen archivados en PDF como permutaciones de orden y/o opciones.</x:v>
      </x:c>
      <x:c r="G8" s="24" t="str">
        <x:v>La base conserva las variantes oficiales seleccionadas para trazabilidad. Las frecuencias usan una sola variante por sesión: Verde 2026 queda registrado, pero no duplica el conjunto equivalente Rojo 2026. Los modelos B permanecen archivados en PDF como permutaciones de orden y/o opciones.</x:v>
      </x:c>
      <x:c r="H8" s="24" t="str">
        <x:v>La base conserva las variantes oficiales seleccionadas para trazabilidad. Las frecuencias usan una sola variante por sesión: Verde 2026 queda registrado, pero no duplica el conjunto equivalente Rojo 2026. Los modelos B permanecen archivados en PDF como permutaciones de orden y/o opciones.</x:v>
      </x:c>
    </x:row>
    <x:row r="9">
      <x:c r="A9" s="18" t="str">
        <x:v>Preguntas prácticas</x:v>
      </x:c>
      <x:c r="B9" s="19" t="n">
        <x:f>COUNTIF('Preguntas oficiales'!$AE$2:$AE$547,"Práctico")</x:f>
        <x:v>108</x:v>
      </x:c>
      <x:c r="D9" s="24" t="str">
        <x:v>La base conserva las variantes oficiales seleccionadas para trazabilidad. Las frecuencias usan una sola variante por sesión: Verde 2026 queda registrado, pero no duplica el conjunto equivalente Rojo 2026. Los modelos B permanecen archivados en PDF como permutaciones de orden y/o opciones.</x:v>
      </x:c>
      <x:c r="E9" s="24" t="str">
        <x:v>La base conserva las variantes oficiales seleccionadas para trazabilidad. Las frecuencias usan una sola variante por sesión: Verde 2026 queda registrado, pero no duplica el conjunto equivalente Rojo 2026. Los modelos B permanecen archivados en PDF como permutaciones de orden y/o opciones.</x:v>
      </x:c>
      <x:c r="F9" s="24" t="str">
        <x:v>La base conserva las variantes oficiales seleccionadas para trazabilidad. Las frecuencias usan una sola variante por sesión: Verde 2026 queda registrado, pero no duplica el conjunto equivalente Rojo 2026. Los modelos B permanecen archivados en PDF como permutaciones de orden y/o opciones.</x:v>
      </x:c>
      <x:c r="G9" s="24" t="str">
        <x:v>La base conserva las variantes oficiales seleccionadas para trazabilidad. Las frecuencias usan una sola variante por sesión: Verde 2026 queda registrado, pero no duplica el conjunto equivalente Rojo 2026. Los modelos B permanecen archivados en PDF como permutaciones de orden y/o opciones.</x:v>
      </x:c>
      <x:c r="H9" s="24" t="str">
        <x:v>La base conserva las variantes oficiales seleccionadas para trazabilidad. Las frecuencias usan una sola variante por sesión: Verde 2026 queda registrado, pero no duplica el conjunto equivalente Rojo 2026. Los modelos B permanecen archivados en PDF como permutaciones de orden y/o opciones.</x:v>
      </x:c>
    </x:row>
    <x:row r="10">
      <x:c r="A10" s="18" t="str">
        <x:v>Reservas registradas</x:v>
      </x:c>
      <x:c r="B10" s="19" t="n">
        <x:f>COUNTIF('Preguntas oficiales'!$L$2:$L$547,"Sí")</x:f>
        <x:v>36</x:v>
      </x:c>
    </x:row>
    <x:row r="11">
      <x:c r="A11" s="18" t="str">
        <x:v>Anuladas / modificadas</x:v>
      </x:c>
      <x:c r="B11" s="19" t="n">
        <x:f>COUNTIF('Preguntas oficiales'!$AH$2:$AH$547,"Anulada")+COUNTIF('Preguntas oficiales'!$AH$2:$AH$547,"Modificada")</x:f>
        <x:v>12</x:v>
      </x:c>
    </x:row>
    <x:row r="13">
      <x:c r="A13" s="27" t="str">
        <x:v>© 2026 ACADEMIA LORMAN · Uso personal del alumnado. Verificar siempre la norma consolidada vigente.</x:v>
      </x:c>
      <x:c r="B13" s="27" t="str">
        <x:v>© 2026 ACADEMIA LORMAN · Uso personal del alumnado. Verificar siempre la norma consolidada vigente.</x:v>
      </x:c>
      <x:c r="C13" s="27" t="str">
        <x:v>© 2026 ACADEMIA LORMAN · Uso personal del alumnado. Verificar siempre la norma consolidada vigente.</x:v>
      </x:c>
      <x:c r="D13" s="27" t="str">
        <x:v>© 2026 ACADEMIA LORMAN · Uso personal del alumnado. Verificar siempre la norma consolidada vigente.</x:v>
      </x:c>
      <x:c r="E13" s="27" t="str">
        <x:v>© 2026 ACADEMIA LORMAN · Uso personal del alumnado. Verificar siempre la norma consolidada vigente.</x:v>
      </x:c>
      <x:c r="F13" s="27" t="str">
        <x:v>© 2026 ACADEMIA LORMAN · Uso personal del alumnado. Verificar siempre la norma consolidada vigente.</x:v>
      </x:c>
      <x:c r="G13" s="27" t="str">
        <x:v>© 2026 ACADEMIA LORMAN · Uso personal del alumnado. Verificar siempre la norma consolidada vigente.</x:v>
      </x:c>
      <x:c r="H13" s="27" t="str">
        <x:v>© 2026 ACADEMIA LORMAN · Uso personal del alumnado. Verificar siempre la norma consolidada vigente.</x:v>
      </x:c>
    </x:row>
  </x:sheetData>
  <x:mergeCells>
    <x:mergeCell ref="A1:H1"/>
    <x:mergeCell ref="A2:H2"/>
    <x:mergeCell ref="D4:H4"/>
    <x:mergeCell ref="D5:H9"/>
    <x:mergeCell ref="A13:H13"/>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4" hidden="0" customWidth="1"/>
    <x:col min="2" max="2" width="13" hidden="0" customWidth="1"/>
    <x:col min="3" max="3" width="8.130000114440918" hidden="0" customWidth="1"/>
    <x:col min="4" max="4" width="24" hidden="0" customWidth="1"/>
    <x:col min="5" max="5" width="24" hidden="0" customWidth="1"/>
    <x:col min="6" max="6" width="24" hidden="0" customWidth="1"/>
    <x:col min="7" max="7" width="9.380000114440918" hidden="0" customWidth="1"/>
    <x:col min="8" max="8" width="16.8799991607666" hidden="0" customWidth="1"/>
    <x:col min="9" max="9" width="113.5" hidden="0" customWidth="1"/>
    <x:col min="10" max="10" width="18.6299991607666" hidden="0" customWidth="1"/>
    <x:col min="11" max="11" width="17.3799991607666" hidden="0" customWidth="1"/>
    <x:col min="12" max="12" width="46" hidden="0" customWidth="1"/>
    <x:col min="13" max="13" width="56" hidden="0" customWidth="1"/>
  </x:cols>
  <x:sheetData>
    <x:row r="1" ht="30" customHeight="1">
      <x:c r="A1" s="14" t="str">
        <x:v>convocatoria</x:v>
      </x:c>
      <x:c r="B1" s="14" t="str">
        <x:v>fecha_examen</x:v>
      </x:c>
      <x:c r="C1" s="14" t="str">
        <x:v>acceso</x:v>
      </x:c>
      <x:c r="D1" s="14" t="str">
        <x:v>ejercicio</x:v>
      </x:c>
      <x:c r="E1" s="14" t="str">
        <x:v>modelo</x:v>
      </x:c>
      <x:c r="F1" s="14" t="str">
        <x:v>preguntas</x:v>
      </x:c>
      <x:c r="G1" s="14" t="str">
        <x:v>reservas</x:v>
      </x:c>
      <x:c r="H1" s="14" t="str">
        <x:v>duracion_minutos</x:v>
      </x:c>
      <x:c r="I1" s="14" t="str">
        <x:v>enlace_oficial</x:v>
      </x:c>
      <x:c r="J1" s="14" t="str">
        <x:v>plantilla_provisional</x:v>
      </x:c>
      <x:c r="K1" s="14" t="str">
        <x:v>plantilla_definitiva</x:v>
      </x:c>
      <x:c r="L1" s="14" t="str">
        <x:v>preguntas_anuladas</x:v>
      </x:c>
      <x:c r="M1" s="14" t="str">
        <x:v>observaciones</x:v>
      </x:c>
    </x:row>
    <x:row r="2">
      <x:c r="A2" s="18" t="n">
        <x:v>2023</x:v>
      </x:c>
      <x:c r="B2" s="28" t="n">
        <x:v>45626</x:v>
      </x:c>
      <x:c r="C2" s="18" t="str">
        <x:v>Libre</x:v>
      </x:c>
      <x:c r="D2" s="18" t="str">
        <x:v>Ejercicio único: cuestionario + supuesto</x:v>
      </x:c>
      <x:c r="E2" s="18" t="str">
        <x:v>A y B</x:v>
      </x:c>
      <x:c r="F2" s="18" t="n">
        <x:v>85</x:v>
      </x:c>
      <x:c r="G2" s="18" t="n">
        <x:v>6</x:v>
      </x:c>
      <x:c r="H2" s="18" t="n">
        <x:v>120</x:v>
      </x:c>
      <x:c r="I2" s="18" t="str">
        <x:v>https://www.seg-social.es/wps/portal/wss/internet/InformacionUtil/9950/88beb45d-ca83-4bab-8162-f94ef2894562</x:v>
      </x:c>
      <x:c r="J2" s="18" t="str">
        <x:v>Sí</x:v>
      </x:c>
      <x:c r="K2" s="18" t="str">
        <x:v>Sí</x:v>
      </x:c>
      <x:c r="L2" s="18" t="str">
        <x:v>Supuesto A: 7, 10 y 12; supuesto B: 3, 5 y 15</x:v>
      </x:c>
      <x:c r="M2" s="18" t="str">
        <x:v>Cuestionario y supuesto publicados en PDF separados; modelos A y B archivados.</x:v>
      </x:c>
    </x:row>
    <x:row r="3">
      <x:c r="A3" s="18" t="n">
        <x:v>2023</x:v>
      </x:c>
      <x:c r="B3" s="28" t="n">
        <x:v>45682</x:v>
      </x:c>
      <x:c r="C3" s="18" t="str">
        <x:v>Libre</x:v>
      </x:c>
      <x:c r="D3" s="18" t="str">
        <x:v>Ejercicio extraordinario</x:v>
      </x:c>
      <x:c r="E3" s="18" t="str">
        <x:v>Único</x:v>
      </x:c>
      <x:c r="F3" s="18" t="n">
        <x:v>85</x:v>
      </x:c>
      <x:c r="G3" s="18" t="n">
        <x:v>6</x:v>
      </x:c>
      <x:c r="H3" s="18" t="n">
        <x:v>120</x:v>
      </x:c>
      <x:c r="I3" s="18" t="str">
        <x:v>https://www.seg-social.es/wps/portal/wss/internet/InformacionUtil/9950/88beb45d-ca83-4bab-8162-f94ef2894562</x:v>
      </x:c>
      <x:c r="J3" s="18" t="str">
        <x:v>Sí</x:v>
      </x:c>
      <x:c r="K3" s="18" t="str">
        <x:v>Sí</x:v>
      </x:c>
      <x:c r="L3" s="18" t="str">
        <x:v>Ninguna en plantilla definitiva</x:v>
      </x:c>
      <x:c r="M3" s="18" t="str">
        <x:v>Incidencias de la convocatoria 2023.</x:v>
      </x:c>
    </x:row>
    <x:row r="4">
      <x:c r="A4" s="18" t="n">
        <x:v>2024</x:v>
      </x:c>
      <x:c r="B4" s="28" t="n">
        <x:v>45913</x:v>
      </x:c>
      <x:c r="C4" s="18" t="str">
        <x:v>Libre</x:v>
      </x:c>
      <x:c r="D4" s="18" t="str">
        <x:v>Ejercicio único: cuestionario + supuesto</x:v>
      </x:c>
      <x:c r="E4" s="18" t="str">
        <x:v>A y B</x:v>
      </x:c>
      <x:c r="F4" s="18" t="n">
        <x:v>85</x:v>
      </x:c>
      <x:c r="G4" s="18" t="n">
        <x:v>6</x:v>
      </x:c>
      <x:c r="H4" s="18" t="n">
        <x:v>120</x:v>
      </x:c>
      <x:c r="I4" s="18" t="str">
        <x:v>https://www.seg-social.es/wps/portal/wss/internet/InformacionUtil/9950/88beb45d-ca83-4bab-8162-f94ef2894562/7e46efac-32c8-4cf6-b3d3-d592c3560dff/rdpi_administrativos_2024</x:v>
      </x:c>
      <x:c r="J4" s="18" t="str">
        <x:v>Sí</x:v>
      </x:c>
      <x:c r="K4" s="18" t="str">
        <x:v>Sí</x:v>
      </x:c>
      <x:c r="L4" s="18" t="str">
        <x:v>Modelo A: 62 y 65; modelo B: 39 y 42</x:v>
      </x:c>
      <x:c r="M4" s="18" t="str">
        <x:v>Modelos A y B archivados; análisis canónico sobre modelo A.</x:v>
      </x:c>
    </x:row>
    <x:row r="5">
      <x:c r="A5" s="18" t="n">
        <x:v>2024</x:v>
      </x:c>
      <x:c r="B5" s="28" t="n">
        <x:v>45956</x:v>
      </x:c>
      <x:c r="C5" s="18" t="str">
        <x:v>Libre</x:v>
      </x:c>
      <x:c r="D5" s="18" t="str">
        <x:v>Ejercicio extraordinario</x:v>
      </x:c>
      <x:c r="E5" s="18" t="str">
        <x:v>Único</x:v>
      </x:c>
      <x:c r="F5" s="18" t="n">
        <x:v>85</x:v>
      </x:c>
      <x:c r="G5" s="18" t="n">
        <x:v>6</x:v>
      </x:c>
      <x:c r="H5" s="18" t="n">
        <x:v>120</x:v>
      </x:c>
      <x:c r="I5" s="18" t="str">
        <x:v>https://www.seg-social.es/wps/portal/wss/internet/InformacionUtil/9950/88beb45d-ca83-4bab-8162-f94ef2894562/7e46efac-32c8-4cf6-b3d3-d592c3560dff/rdpi_administrativos_2024</x:v>
      </x:c>
      <x:c r="J5" s="18" t="str">
        <x:v>Sí</x:v>
      </x:c>
      <x:c r="K5" s="18" t="str">
        <x:v>Sí</x:v>
      </x:c>
      <x:c r="L5" s="18" t="str">
        <x:v>Ninguna en plantilla definitiva</x:v>
      </x:c>
      <x:c r="M5" s="18" t="str">
        <x:v>Ejercicio extraordinario de la convocatoria 2024.</x:v>
      </x:c>
    </x:row>
    <x:row r="6">
      <x:c r="A6" s="18" t="n">
        <x:v>2025</x:v>
      </x:c>
      <x:c r="B6" s="28" t="n">
        <x:v>46201</x:v>
      </x:c>
      <x:c r="C6" s="18" t="str">
        <x:v>Libre</x:v>
      </x:c>
      <x:c r="D6" s="18" t="str">
        <x:v>Ejercicio único: cuestionario + supuesto</x:v>
      </x:c>
      <x:c r="E6" s="18" t="str">
        <x:v>Rojo A/B y Verde A/B</x:v>
      </x:c>
      <x:c r="F6" s="18" t="n">
        <x:v>170</x:v>
      </x:c>
      <x:c r="G6" s="18" t="n">
        <x:v>12</x:v>
      </x:c>
      <x:c r="H6" s="18" t="n">
        <x:v>120</x:v>
      </x:c>
      <x:c r="I6" s="18" t="str">
        <x:v>https://www.seg-social.es/wps/portal/wss/internet/InformacionUtil/9950/88beb45d-ca83-4bab-8162-f94ef2894562/e0c83707-3358-47a9-94d7-508221dad233</x:v>
      </x:c>
      <x:c r="J6" s="18" t="str">
        <x:v>Sí</x:v>
      </x:c>
      <x:c r="K6" s="18" t="str">
        <x:v>Sí</x:v>
      </x:c>
      <x:c r="L6" s="18" t="str">
        <x:v>Rojo A/B: teoría 29 y 43, supuesto 8. Verde A/B: teoría 29 y 39, supuesto 8.</x:v>
      </x:c>
      <x:c r="M6" s="18" t="str">
        <x:v>Dos cuadernillos de contenido (rojo y verde), cada uno con modelos A/B. El análisis evita duplicar A y B.</x:v>
      </x:c>
    </x:row>
    <x:row r="7">
      <x:c r="A7" s="18" t="n">
        <x:v>2025</x:v>
      </x:c>
      <x:c r="B7" s="28" t="n">
        <x:v>46277</x:v>
      </x:c>
      <x:c r="C7" s="18" t="str">
        <x:v>Libre</x:v>
      </x:c>
      <x:c r="D7" s="18" t="str">
        <x:v>Ejercicio extraordinario anunciado</x:v>
      </x:c>
      <x:c r="E7" s="18" t="str">
        <x:v>Pendiente</x:v>
      </x:c>
      <x:c r="F7" s="18" t="str"/>
      <x:c r="G7" s="18" t="str"/>
      <x:c r="H7" s="18" t="str"/>
      <x:c r="I7" s="18" t="str">
        <x:v>https://www.seg-social.es/wps/portal/wss/internet/InformacionUtil/9950/88beb45d-ca83-4bab-8162-f94ef2894562/e0c83707-3358-47a9-94d7-508221dad233</x:v>
      </x:c>
      <x:c r="J7" s="18" t="str">
        <x:v>Pendiente</x:v>
      </x:c>
      <x:c r="K7" s="18" t="str">
        <x:v>Pendiente</x:v>
      </x:c>
      <x:c r="L7" s="18" t="str">
        <x:v>Pendiente</x:v>
      </x:c>
      <x:c r="M7" s="18" t="str">
        <x:v>A fecha de corte 30-07-2026 solo consta la convocatoria del ejercicio; cuestionario y plantillas aún no existen.</x:v>
      </x:c>
    </x:row>
  </x:sheetData>
  <x:pageMargins left="0.7" right="0.7" top="0.75" bottom="0.75" header="0.3" footer="0.3"/>
  <x:tableParts count="1">
    <x:tablePart xmlns:r="http://schemas.openxmlformats.org/officeDocument/2006/relationships" r:id="Ra947380fda1f4b51"/>
  </x:tableParts>
</x:worksheet>
</file>

<file path=xl/worksheets/sheet3.xml><?xml version="1.0" encoding="utf-8"?>
<x:worksheet xmlns:x="http://schemas.openxmlformats.org/spreadsheetml/2006/main">
  <x:sheetViews>
    <x:sheetView showGridLines="0" workbookViewId="0"/>
  </x:sheetViews>
  <x:sheetFormatPr defaultRowHeight="15"/>
  <x:cols>
    <x:col min="13" max="13" width="58" hidden="0" customWidth="1"/>
    <x:col min="14" max="14" width="38" hidden="0" customWidth="1"/>
    <x:col min="15" max="15" width="38" hidden="0" customWidth="1"/>
    <x:col min="16" max="16" width="38" hidden="0" customWidth="1"/>
    <x:col min="17" max="17" width="38" hidden="0" customWidth="1"/>
    <x:col min="21" max="21" width="38" hidden="0" customWidth="1"/>
    <x:col min="10" max="10" width="38" hidden="0" customWidth="1"/>
    <x:col min="1" max="1" width="34" hidden="0" customWidth="1"/>
    <x:col min="41" max="41" width="34" hidden="0" customWidth="1"/>
    <x:col min="35" max="35" width="34" hidden="0" customWidth="1"/>
    <x:col min="36" max="36" width="34" hidden="0" customWidth="1"/>
  </x:cols>
  <x:sheetData>
    <x:row r="1" ht="38" customHeight="1">
      <x:c r="A1" s="14" t="str">
        <x:v>id_pregunta</x:v>
      </x:c>
      <x:c r="B1" s="14" t="str">
        <x:v>año</x:v>
      </x:c>
      <x:c r="C1" s="14" t="str">
        <x:v>convocatoria</x:v>
      </x:c>
      <x:c r="D1" s="14" t="str">
        <x:v>fecha_examen</x:v>
      </x:c>
      <x:c r="E1" s="14" t="str">
        <x:v>tipo_acceso</x:v>
      </x:c>
      <x:c r="F1" s="14" t="str">
        <x:v>ejercicio</x:v>
      </x:c>
      <x:c r="G1" s="14" t="str">
        <x:v>modelo</x:v>
      </x:c>
      <x:c r="H1" s="14" t="str">
        <x:v>familia_modelos</x:v>
      </x:c>
      <x:c r="I1" s="14" t="str">
        <x:v>computar_en_frecuencia</x:v>
      </x:c>
      <x:c r="J1" s="14" t="str">
        <x:v>observacion_equivalencia</x:v>
      </x:c>
      <x:c r="K1" s="14" t="str">
        <x:v>numero_pregunta</x:v>
      </x:c>
      <x:c r="L1" s="14" t="str">
        <x:v>reserva</x:v>
      </x:c>
      <x:c r="M1" s="14" t="str">
        <x:v>enunciado</x:v>
      </x:c>
      <x:c r="N1" s="14" t="str">
        <x:v>opcion_a</x:v>
      </x:c>
      <x:c r="O1" s="14" t="str">
        <x:v>opcion_b</x:v>
      </x:c>
      <x:c r="P1" s="14" t="str">
        <x:v>opcion_c</x:v>
      </x:c>
      <x:c r="Q1" s="14" t="str">
        <x:v>opcion_d</x:v>
      </x:c>
      <x:c r="R1" s="14" t="str">
        <x:v>tema_id</x:v>
      </x:c>
      <x:c r="S1" s="14" t="str">
        <x:v>tema_oficial</x:v>
      </x:c>
      <x:c r="T1" s="14" t="str">
        <x:v>bloque</x:v>
      </x:c>
      <x:c r="U1" s="14" t="str">
        <x:v>titulo_tema</x:v>
      </x:c>
      <x:c r="V1" s="14" t="str">
        <x:v>apartado_concreto</x:v>
      </x:c>
      <x:c r="W1" s="14" t="str">
        <x:v>norma</x:v>
      </x:c>
      <x:c r="X1" s="14" t="str">
        <x:v>articulo_precepto</x:v>
      </x:c>
      <x:c r="Y1" s="14" t="str">
        <x:v>tipo_pregunta</x:v>
      </x:c>
      <x:c r="Z1" s="14" t="str">
        <x:v>dificultad</x:v>
      </x:c>
      <x:c r="AA1" s="14" t="str">
        <x:v>concepto_principal</x:v>
      </x:c>
      <x:c r="AB1" s="14" t="str">
        <x:v>organismo_implicado</x:v>
      </x:c>
      <x:c r="AC1" s="14" t="str">
        <x:v>plazo_cifra_porcentaje_edad</x:v>
      </x:c>
      <x:c r="AD1" s="14" t="str">
        <x:v>contiene_excepcion</x:v>
      </x:c>
      <x:c r="AE1" s="14" t="str">
        <x:v>caracter</x:v>
      </x:c>
      <x:c r="AF1" s="14" t="str">
        <x:v>respuesta_provisional</x:v>
      </x:c>
      <x:c r="AG1" s="14" t="str">
        <x:v>respuesta_definitiva</x:v>
      </x:c>
      <x:c r="AH1" s="14" t="str">
        <x:v>resultado_final</x:v>
      </x:c>
      <x:c r="AI1" s="14" t="str">
        <x:v>fuente_pdf</x:v>
      </x:c>
      <x:c r="AJ1" s="14" t="str">
        <x:v>enlace_oficial</x:v>
      </x:c>
      <x:c r="AK1" s="14" t="str">
        <x:v>metodo_extraccion</x:v>
      </x:c>
      <x:c r="AL1" s="14" t="str">
        <x:v>puntuacion_clasificacion</x:v>
      </x:c>
      <x:c r="AM1" s="14" t="str">
        <x:v>confianza_clasificacion</x:v>
      </x:c>
      <x:c r="AN1" s="14" t="str">
        <x:v>metodo_clasificacion</x:v>
      </x:c>
      <x:c r="AO1" s="14" t="str">
        <x:v>id_pregunta_canonica</x:v>
      </x:c>
      <x:c r="AP1" s="14" t="str">
        <x:v>similitud_canonica</x:v>
      </x:c>
    </x:row>
    <x:row r="2">
      <x:c r="A2" s="18" t="str">
        <x:v>2024_conv2023_ordinario_A-T01</x:v>
      </x:c>
      <x:c r="B2" s="18" t="n">
        <x:v>2024</x:v>
      </x:c>
      <x:c r="C2" s="18" t="n">
        <x:v>2023</x:v>
      </x:c>
      <x:c r="D2" s="28" t="n">
        <x:v>45626</x:v>
      </x:c>
      <x:c r="E2" s="18" t="str">
        <x:v>Acceso libre</x:v>
      </x:c>
      <x:c r="F2" s="18" t="str">
        <x:v>Primera parte</x:v>
      </x:c>
      <x:c r="G2" s="18" t="str">
        <x:v>A</x:v>
      </x:c>
      <x:c r="H2" s="18" t="str">
        <x:v>A/B</x:v>
      </x:c>
      <x:c r="I2" s="18" t="str">
        <x:v>Sí</x:v>
      </x:c>
      <x:c r="J2" s="18" t="str">
        <x:v>Modelo A usado como variante canónica; el modelo B oficial está archivado y permuta el orden y/o las opciones.</x:v>
      </x:c>
      <x:c r="K2" s="18" t="n">
        <x:v>1</x:v>
      </x:c>
      <x:c r="L2" s="18" t="str">
        <x:v>No</x:v>
      </x:c>
      <x:c r="M2" s="18" t="str">
        <x:v>De acuerdo con 10 establecido en el artículo 167.1 de la Constitución Española, los proyectos de reforma constitucional deberán ser aprobados:</x:v>
      </x:c>
      <x:c r="N2" s="18" t="str">
        <x:v>Por una mayoría de tres quintos de cada una de las Cámaras, salvo en ei supuesto en que no hubiese acuerdo entre ambas partes.</x:v>
      </x:c>
      <x:c r="O2" s="18" t="str">
        <x:v>Por una mayoría de dos tercios de cada una de las Cámaras, salvo en el supuesto en que no hubiese acuerdo entre ambas partes.</x:v>
      </x:c>
      <x:c r="P2" s="18" t="str">
        <x:v>Por una mayoría de un tercio de cada una de las Cámaras, salvo en el supuesto en que no hubiese acuerdo entre ambas partes.</x:v>
      </x:c>
      <x:c r="Q2" s="18" t="str">
        <x:v>Por una mayoría de un quinto de cada una de las Cámaras, salvo en el supuesto en que no hubiese acuerdo entre ambas partes.</x:v>
      </x:c>
      <x:c r="R2" s="18" t="str">
        <x:v>G01</x:v>
      </x:c>
      <x:c r="S2" s="18" t="n">
        <x:v>1</x:v>
      </x:c>
      <x:c r="T2" s="18" t="str">
        <x:v>Temario general</x:v>
      </x:c>
      <x:c r="U2" s="18" t="str">
        <x:v>La Constitución Española de 1978: Estructura y contenido. La reforma de la Constitución.</x:v>
      </x:c>
      <x:c r="V2" s="18" t="str">
        <x:v>reforma constitucional</x:v>
      </x:c>
      <x:c r="W2" s="18" t="str">
        <x:v>Constitución Española</x:v>
      </x:c>
      <x:c r="X2" s="18" t="str">
        <x:v>167.1</x:v>
      </x:c>
      <x:c r="Y2" s="18" t="str">
        <x:v>Artículos literales</x:v>
      </x:c>
      <x:c r="Z2" s="18" t="str">
        <x:v>Media</x:v>
      </x:c>
      <x:c r="AA2" s="18" t="str">
        <x:v>reforma constitucional</x:v>
      </x:c>
      <x:c r="AB2" s="18" t="str"/>
      <x:c r="AC2" s="18" t="str"/>
      <x:c r="AD2" s="18" t="str">
        <x:v>No</x:v>
      </x:c>
      <x:c r="AE2" s="18" t="str">
        <x:v>Teórico</x:v>
      </x:c>
      <x:c r="AF2" s="18" t="str">
        <x:v>A</x:v>
      </x:c>
      <x:c r="AG2" s="18" t="str">
        <x:v>A</x:v>
      </x:c>
      <x:c r="AH2" s="18" t="str">
        <x:v>Válida</x:v>
      </x:c>
      <x:c r="AI2" s="18" t="str">
        <x:v>01. Información oficial de la oposición\Exámenes oficiales anteriores\2024 Convocatoria 2023 - Cuestionario libre Modelo A.pdf</x:v>
      </x:c>
      <x:c r="AJ2" s="18" t="str">
        <x:v>https://www.seg-social.es/wps/portal/wss/internet/InformacionUtil/9950/88beb45d-ca83-4bab-8162-f94ef2894562</x:v>
      </x:c>
      <x:c r="AK2" s="18" t="str">
        <x:v>OCR Windows es-ES sobre PDF oficial</x:v>
      </x:c>
      <x:c r="AL2" s="18" t="n">
        <x:v>100</x:v>
      </x:c>
      <x:c r="AM2" s="18" t="str">
        <x:v>Alta</x:v>
      </x:c>
      <x:c r="AN2" s="18" t="str">
        <x:v>Regla jurídica determinista</x:v>
      </x:c>
      <x:c r="AO2" s="18" t="str">
        <x:v>2024_conv2023_ordinario_A-T01</x:v>
      </x:c>
      <x:c r="AP2" s="18" t="n">
        <x:v>1</x:v>
      </x:c>
    </x:row>
    <x:row r="3">
      <x:c r="A3" s="18" t="str">
        <x:v>2024_conv2023_ordinario_A-T02</x:v>
      </x:c>
      <x:c r="B3" s="18" t="n">
        <x:v>2024</x:v>
      </x:c>
      <x:c r="C3" s="18" t="n">
        <x:v>2023</x:v>
      </x:c>
      <x:c r="D3" s="28" t="n">
        <x:v>45626</x:v>
      </x:c>
      <x:c r="E3" s="18" t="str">
        <x:v>Acceso libre</x:v>
      </x:c>
      <x:c r="F3" s="18" t="str">
        <x:v>Primera parte</x:v>
      </x:c>
      <x:c r="G3" s="18" t="str">
        <x:v>A</x:v>
      </x:c>
      <x:c r="H3" s="18" t="str">
        <x:v>A/B</x:v>
      </x:c>
      <x:c r="I3" s="18" t="str">
        <x:v>Sí</x:v>
      </x:c>
      <x:c r="J3" s="18" t="str">
        <x:v>Modelo A usado como variante canónica; el modelo B oficial está archivado y permuta el orden y/o las opciones.</x:v>
      </x:c>
      <x:c r="K3" s="18" t="n">
        <x:v>2</x:v>
      </x:c>
      <x:c r="L3" s="18" t="str">
        <x:v>No</x:v>
      </x:c>
      <x:c r="M3" s="18" t="str">
        <x:v>En relación con eI derecho de reunión pacífica y sin armas que establece el artículo 21 de la Constitución Española, señale la respuesta CORRECTA:</x:v>
      </x:c>
      <x:c r="N3" s="18" t="str">
        <x:v>EI ejercicio de este derecho necesita autorización previa.</x:v>
      </x:c>
      <x:c r="O3" s="18" t="str">
        <x:v>En los casos de reuniones en lugares de tránsito público y manifestaciones se dará comunicación previa a la autoridad.</x:v>
      </x:c>
      <x:c r="P3" s="18" t="str">
        <x:v>En los casos de reuniones en lugares de tránsito público y manifestaciones no seré necesario dar comunicación previa a la autoridad.</x:v>
      </x:c>
      <x:c r="Q3" s="18" t="str">
        <x:v>La autoridad correspondiente no podrá prohibirlas ni cuando existan razones fundadas de alteración del orden público, con peligro para personas o bienes,</x:v>
      </x:c>
      <x:c r="R3" s="18" t="str">
        <x:v>G02</x:v>
      </x:c>
      <x:c r="S3" s="18" t="n">
        <x:v>2</x:v>
      </x:c>
      <x:c r="T3" s="18" t="str">
        <x:v>Temario general</x:v>
      </x:c>
      <x:c r="U3" s="18" t="str">
        <x:v>Derechos y deberes fundamentales. Su garantía y suspensión.</x:v>
      </x:c>
      <x:c r="V3" s="18" t="str">
        <x:v>G02</x:v>
      </x:c>
      <x:c r="W3" s="18" t="str">
        <x:v>Constitución Española</x:v>
      </x:c>
      <x:c r="X3" s="18" t="str">
        <x:v>21</x:v>
      </x:c>
      <x:c r="Y3" s="18" t="str">
        <x:v>Artículos literales</x:v>
      </x:c>
      <x:c r="Z3" s="18" t="str">
        <x:v>Media</x:v>
      </x:c>
      <x:c r="AA3" s="18" t="str">
        <x:v>G02</x:v>
      </x:c>
      <x:c r="AB3" s="18" t="str"/>
      <x:c r="AC3" s="18" t="str"/>
      <x:c r="AD3" s="18" t="str">
        <x:v>No</x:v>
      </x:c>
      <x:c r="AE3" s="18" t="str">
        <x:v>Teórico</x:v>
      </x:c>
      <x:c r="AF3" s="18" t="str">
        <x:v>B</x:v>
      </x:c>
      <x:c r="AG3" s="18" t="str">
        <x:v>B</x:v>
      </x:c>
      <x:c r="AH3" s="18" t="str">
        <x:v>Válida</x:v>
      </x:c>
      <x:c r="AI3" s="18" t="str">
        <x:v>01. Información oficial de la oposición\Exámenes oficiales anteriores\2024 Convocatoria 2023 - Cuestionario libre Modelo A.pdf</x:v>
      </x:c>
      <x:c r="AJ3" s="18" t="str">
        <x:v>https://www.seg-social.es/wps/portal/wss/internet/InformacionUtil/9950/88beb45d-ca83-4bab-8162-f94ef2894562</x:v>
      </x:c>
      <x:c r="AK3" s="18" t="str">
        <x:v>OCR Windows es-ES sobre PDF oficial</x:v>
      </x:c>
      <x:c r="AL3" s="18" t="n">
        <x:v>100</x:v>
      </x:c>
      <x:c r="AM3" s="18" t="str">
        <x:v>Alta</x:v>
      </x:c>
      <x:c r="AN3" s="18" t="str">
        <x:v>Regla jurídica determinista</x:v>
      </x:c>
      <x:c r="AO3" s="18" t="str">
        <x:v>2024_conv2023_ordinario_A-T02</x:v>
      </x:c>
      <x:c r="AP3" s="18" t="n">
        <x:v>1</x:v>
      </x:c>
    </x:row>
    <x:row r="4">
      <x:c r="A4" s="18" t="str">
        <x:v>2024_conv2023_ordinario_A-T03</x:v>
      </x:c>
      <x:c r="B4" s="18" t="n">
        <x:v>2024</x:v>
      </x:c>
      <x:c r="C4" s="18" t="n">
        <x:v>2023</x:v>
      </x:c>
      <x:c r="D4" s="28" t="n">
        <x:v>45626</x:v>
      </x:c>
      <x:c r="E4" s="18" t="str">
        <x:v>Acceso libre</x:v>
      </x:c>
      <x:c r="F4" s="18" t="str">
        <x:v>Primera parte</x:v>
      </x:c>
      <x:c r="G4" s="18" t="str">
        <x:v>A</x:v>
      </x:c>
      <x:c r="H4" s="18" t="str">
        <x:v>A/B</x:v>
      </x:c>
      <x:c r="I4" s="18" t="str">
        <x:v>Sí</x:v>
      </x:c>
      <x:c r="J4" s="18" t="str">
        <x:v>Modelo A usado como variante canónica; el modelo B oficial está archivado y permuta el orden y/o las opciones.</x:v>
      </x:c>
      <x:c r="K4" s="18" t="n">
        <x:v>3</x:v>
      </x:c>
      <x:c r="L4" s="18" t="str">
        <x:v>No</x:v>
      </x:c>
      <x:c r="M4" s="18" t="str">
        <x:v>Según 10 establecido en el artículo 9 de la Ley Orgánica 2/1979, de 3 de octubre, del Tribunal Constitucional, en relación al Presidente:</x:v>
      </x:c>
      <x:c r="N4" s="18" t="str">
        <x:v>Será elegido por el Tribunal en Pleno de entre sus miembros por votación secreta.</x:v>
      </x:c>
      <x:c r="O4" s="18" t="str">
        <x:v>E Tribunal en pleno nombrará al Presidente por un periodo de cinco años, expirado eI cual podrá ser reelegido por una sola vez.</x:v>
      </x:c>
      <x:c r="P4" s="18" t="str">
        <x:v>Ei Presidente elegirá entre sus miembros un Vicepresidente, al que incumbe sustituir al Presidente en caso de vacante, ausencia u otro motivo Eegal y presidir la Sala Segunda.</x:v>
      </x:c>
      <x:c r="Q4" s="18" t="str">
        <x:v>EI Presidente será elegido por un período de 3 años, expirado eI cual podrá ser reelegido por dos periodos más, con un máximo de 9 años.</x:v>
      </x:c>
      <x:c r="R4" s="18" t="str">
        <x:v>G03</x:v>
      </x:c>
      <x:c r="S4" s="18" t="n">
        <x:v>3</x:v>
      </x:c>
      <x:c r="T4" s="18" t="str">
        <x:v>Temario general</x:v>
      </x:c>
      <x:c r="U4" s="18" t="str">
        <x:v>El Tribunal Constitucional. Organización, composición y atribuciones.</x:v>
      </x:c>
      <x:c r="V4" s="18" t="str">
        <x:v>G03</x:v>
      </x:c>
      <x:c r="W4" s="18" t="str">
        <x:v>Ley Orgánica 2/1979</x:v>
      </x:c>
      <x:c r="X4" s="18" t="str">
        <x:v>9</x:v>
      </x:c>
      <x:c r="Y4" s="18" t="str">
        <x:v>Artículos literales</x:v>
      </x:c>
      <x:c r="Z4" s="18" t="str">
        <x:v>Media</x:v>
      </x:c>
      <x:c r="AA4" s="18" t="str">
        <x:v>G03</x:v>
      </x:c>
      <x:c r="AB4" s="18" t="str">
        <x:v>Tribunal Constitucional</x:v>
      </x:c>
      <x:c r="AC4" s="18" t="str"/>
      <x:c r="AD4" s="18" t="str">
        <x:v>No</x:v>
      </x:c>
      <x:c r="AE4" s="18" t="str">
        <x:v>Teórico</x:v>
      </x:c>
      <x:c r="AF4" s="18" t="str">
        <x:v>A</x:v>
      </x:c>
      <x:c r="AG4" s="18" t="str">
        <x:v>A</x:v>
      </x:c>
      <x:c r="AH4" s="18" t="str">
        <x:v>Válida</x:v>
      </x:c>
      <x:c r="AI4" s="18" t="str">
        <x:v>01. Información oficial de la oposición\Exámenes oficiales anteriores\2024 Convocatoria 2023 - Cuestionario libre Modelo A.pdf</x:v>
      </x:c>
      <x:c r="AJ4" s="18" t="str">
        <x:v>https://www.seg-social.es/wps/portal/wss/internet/InformacionUtil/9950/88beb45d-ca83-4bab-8162-f94ef2894562</x:v>
      </x:c>
      <x:c r="AK4" s="18" t="str">
        <x:v>OCR Windows es-ES sobre PDF oficial</x:v>
      </x:c>
      <x:c r="AL4" s="18" t="n">
        <x:v>100</x:v>
      </x:c>
      <x:c r="AM4" s="18" t="str">
        <x:v>Alta</x:v>
      </x:c>
      <x:c r="AN4" s="18" t="str">
        <x:v>Regla jurídica determinista</x:v>
      </x:c>
      <x:c r="AO4" s="18" t="str">
        <x:v>2024_conv2023_ordinario_A-T03</x:v>
      </x:c>
      <x:c r="AP4" s="18" t="n">
        <x:v>1</x:v>
      </x:c>
    </x:row>
    <x:row r="5">
      <x:c r="A5" s="18" t="str">
        <x:v>2024_conv2023_ordinario_A-T04</x:v>
      </x:c>
      <x:c r="B5" s="18" t="n">
        <x:v>2024</x:v>
      </x:c>
      <x:c r="C5" s="18" t="n">
        <x:v>2023</x:v>
      </x:c>
      <x:c r="D5" s="28" t="n">
        <x:v>45626</x:v>
      </x:c>
      <x:c r="E5" s="18" t="str">
        <x:v>Acceso libre</x:v>
      </x:c>
      <x:c r="F5" s="18" t="str">
        <x:v>Primera parte</x:v>
      </x:c>
      <x:c r="G5" s="18" t="str">
        <x:v>A</x:v>
      </x:c>
      <x:c r="H5" s="18" t="str">
        <x:v>A/B</x:v>
      </x:c>
      <x:c r="I5" s="18" t="str">
        <x:v>Sí</x:v>
      </x:c>
      <x:c r="J5" s="18" t="str">
        <x:v>Modelo A usado como variante canónica; el modelo B oficial está archivado y permuta el orden y/o las opciones.</x:v>
      </x:c>
      <x:c r="K5" s="18" t="n">
        <x:v>4</x:v>
      </x:c>
      <x:c r="L5" s="18" t="str">
        <x:v>No</x:v>
      </x:c>
      <x:c r="M5" s="18" t="str">
        <x:v>Entre las funciones que el artículo 62 de la Constitución Española atribuye al Rey, ¿se encuentra la posibilidad de presidir eI Consejo de Ministros?</x:v>
      </x:c>
      <x:c r="N5" s="18" t="str">
        <x:v>No, porque seria una invasión de las competencias atribuidas exclusivamente al Presidente del Gobierno.</x:v>
      </x:c>
      <x:c r="O5" s="18" t="str">
        <x:v>SL a petición de las Cortes Generales,</x:v>
      </x:c>
      <x:c r="P5" s="18" t="str">
        <x:v>No, se excluye en la ley orgánica de desarrollo.</x:v>
      </x:c>
      <x:c r="Q5" s="18" t="str">
        <x:v>Sí. para ser informado de los asuntos de Estado, cuando 10 estime oportuno, a petición del Presidente del Gobierno.</x:v>
      </x:c>
      <x:c r="R5" s="18" t="str">
        <x:v>G04</x:v>
      </x:c>
      <x:c r="S5" s="18" t="n">
        <x:v>4</x:v>
      </x:c>
      <x:c r="T5" s="18" t="str">
        <x:v>Temario general</x:v>
      </x:c>
      <x:c r="U5" s="18" t="str">
        <x:v>La Corona. Funciones constitucionales del Rey. Sucesión y regencia. El refrendo.</x:v>
      </x:c>
      <x:c r="V5" s="18" t="str">
        <x:v>G04</x:v>
      </x:c>
      <x:c r="W5" s="18" t="str">
        <x:v>Constitución Española</x:v>
      </x:c>
      <x:c r="X5" s="18" t="str">
        <x:v>62</x:v>
      </x:c>
      <x:c r="Y5" s="18" t="str">
        <x:v>Artículos literales</x:v>
      </x:c>
      <x:c r="Z5" s="18" t="str">
        <x:v>Media</x:v>
      </x:c>
      <x:c r="AA5" s="18" t="str">
        <x:v>G04</x:v>
      </x:c>
      <x:c r="AB5" s="18" t="str">
        <x:v>Consejo de Ministros</x:v>
      </x:c>
      <x:c r="AC5" s="18" t="str"/>
      <x:c r="AD5" s="18" t="str">
        <x:v>No</x:v>
      </x:c>
      <x:c r="AE5" s="18" t="str">
        <x:v>Teórico</x:v>
      </x:c>
      <x:c r="AF5" s="18" t="str">
        <x:v>D</x:v>
      </x:c>
      <x:c r="AG5" s="18" t="str">
        <x:v>D</x:v>
      </x:c>
      <x:c r="AH5" s="18" t="str">
        <x:v>Válida</x:v>
      </x:c>
      <x:c r="AI5" s="18" t="str">
        <x:v>01. Información oficial de la oposición\Exámenes oficiales anteriores\2024 Convocatoria 2023 - Cuestionario libre Modelo A.pdf</x:v>
      </x:c>
      <x:c r="AJ5" s="18" t="str">
        <x:v>https://www.seg-social.es/wps/portal/wss/internet/InformacionUtil/9950/88beb45d-ca83-4bab-8162-f94ef2894562</x:v>
      </x:c>
      <x:c r="AK5" s="18" t="str">
        <x:v>OCR Windows es-ES sobre PDF oficial</x:v>
      </x:c>
      <x:c r="AL5" s="18" t="n">
        <x:v>100</x:v>
      </x:c>
      <x:c r="AM5" s="18" t="str">
        <x:v>Alta</x:v>
      </x:c>
      <x:c r="AN5" s="18" t="str">
        <x:v>Regla jurídica determinista</x:v>
      </x:c>
      <x:c r="AO5" s="18" t="str">
        <x:v>2024_conv2023_ordinario_A-T04</x:v>
      </x:c>
      <x:c r="AP5" s="18" t="n">
        <x:v>1</x:v>
      </x:c>
    </x:row>
    <x:row r="6">
      <x:c r="A6" s="18" t="str">
        <x:v>2024_conv2023_ordinario_A-T05</x:v>
      </x:c>
      <x:c r="B6" s="18" t="n">
        <x:v>2024</x:v>
      </x:c>
      <x:c r="C6" s="18" t="n">
        <x:v>2023</x:v>
      </x:c>
      <x:c r="D6" s="28" t="n">
        <x:v>45626</x:v>
      </x:c>
      <x:c r="E6" s="18" t="str">
        <x:v>Acceso libre</x:v>
      </x:c>
      <x:c r="F6" s="18" t="str">
        <x:v>Primera parte</x:v>
      </x:c>
      <x:c r="G6" s="18" t="str">
        <x:v>A</x:v>
      </x:c>
      <x:c r="H6" s="18" t="str">
        <x:v>A/B</x:v>
      </x:c>
      <x:c r="I6" s="18" t="str">
        <x:v>Sí</x:v>
      </x:c>
      <x:c r="J6" s="18" t="str">
        <x:v>Modelo A usado como variante canónica; el modelo B oficial está archivado y permuta el orden y/o las opciones.</x:v>
      </x:c>
      <x:c r="K6" s="18" t="n">
        <x:v>5</x:v>
      </x:c>
      <x:c r="L6" s="18" t="str">
        <x:v>No</x:v>
      </x:c>
      <x:c r="M6" s="18" t="str">
        <x:v>De acuerdo con el afticulo 79 de la Constitución Española, el Congreso de los Diputados y el Senado adoptarán acuerdos:</x:v>
      </x:c>
      <x:c r="N6" s="18" t="str">
        <x:v>Por mayoría de tres quintos, sin perjuicio de las mayorías especiales que establezcan la Constitución o las leyes orgánicas.</x:v>
      </x:c>
      <x:c r="O6" s="18" t="str">
        <x:v>Por la mayoría de los miembros presentes, sin perjuicio de las mayorias especiales que establezcan la Constitución o las leyes orgánicas y las que para elección de personas establezcan los Reglamentos de las Cámaras,</x:v>
      </x:c>
      <x:c r="P6" s="18" t="str">
        <x:v>Por mayoría absoluta, sin perjuicio de las mayorías especiales que establezcan la Constitución o las leyes orgánicas.</x:v>
      </x:c>
      <x:c r="Q6" s="18" t="str">
        <x:v>Por la mayoria de los miembros presentes, en todo caso.</x:v>
      </x:c>
      <x:c r="R6" s="18" t="str">
        <x:v>G05</x:v>
      </x:c>
      <x:c r="S6" s="18" t="n">
        <x:v>5</x:v>
      </x:c>
      <x:c r="T6" s="18" t="str">
        <x:v>Temario general</x:v>
      </x:c>
      <x:c r="U6" s="18" t="str">
        <x:v>El poder legislativo. Las Cortes Generales: Composición, atribuciones y funcionamiento. El Defensor del Pueblo.</x:v>
      </x:c>
      <x:c r="V6" s="18" t="str">
        <x:v>G05</x:v>
      </x:c>
      <x:c r="W6" s="18" t="str">
        <x:v>Constitución Española</x:v>
      </x:c>
      <x:c r="X6" s="18" t="str"/>
      <x:c r="Y6" s="18" t="str">
        <x:v>Artículos literales</x:v>
      </x:c>
      <x:c r="Z6" s="18" t="str">
        <x:v>Media</x:v>
      </x:c>
      <x:c r="AA6" s="18" t="str">
        <x:v>G05</x:v>
      </x:c>
      <x:c r="AB6" s="18" t="str"/>
      <x:c r="AC6" s="18" t="str"/>
      <x:c r="AD6" s="18" t="str">
        <x:v>No</x:v>
      </x:c>
      <x:c r="AE6" s="18" t="str">
        <x:v>Teórico</x:v>
      </x:c>
      <x:c r="AF6" s="18" t="str">
        <x:v>B</x:v>
      </x:c>
      <x:c r="AG6" s="18" t="str">
        <x:v>B</x:v>
      </x:c>
      <x:c r="AH6" s="18" t="str">
        <x:v>Válida</x:v>
      </x:c>
      <x:c r="AI6" s="18" t="str">
        <x:v>01. Información oficial de la oposición\Exámenes oficiales anteriores\2024 Convocatoria 2023 - Cuestionario libre Modelo A.pdf</x:v>
      </x:c>
      <x:c r="AJ6" s="18" t="str">
        <x:v>https://www.seg-social.es/wps/portal/wss/internet/InformacionUtil/9950/88beb45d-ca83-4bab-8162-f94ef2894562</x:v>
      </x:c>
      <x:c r="AK6" s="18" t="str">
        <x:v>OCR Windows es-ES sobre PDF oficial</x:v>
      </x:c>
      <x:c r="AL6" s="18" t="n">
        <x:v>100</x:v>
      </x:c>
      <x:c r="AM6" s="18" t="str">
        <x:v>Alta</x:v>
      </x:c>
      <x:c r="AN6" s="18" t="str">
        <x:v>Regla jurídica determinista</x:v>
      </x:c>
      <x:c r="AO6" s="18" t="str">
        <x:v>2024_conv2023_ordinario_A-T05</x:v>
      </x:c>
      <x:c r="AP6" s="18" t="n">
        <x:v>1</x:v>
      </x:c>
    </x:row>
    <x:row r="7">
      <x:c r="A7" s="18" t="str">
        <x:v>2024_conv2023_ordinario_A-T06</x:v>
      </x:c>
      <x:c r="B7" s="18" t="n">
        <x:v>2024</x:v>
      </x:c>
      <x:c r="C7" s="18" t="n">
        <x:v>2023</x:v>
      </x:c>
      <x:c r="D7" s="28" t="n">
        <x:v>45626</x:v>
      </x:c>
      <x:c r="E7" s="18" t="str">
        <x:v>Acceso libre</x:v>
      </x:c>
      <x:c r="F7" s="18" t="str">
        <x:v>Primera parte</x:v>
      </x:c>
      <x:c r="G7" s="18" t="str">
        <x:v>A</x:v>
      </x:c>
      <x:c r="H7" s="18" t="str">
        <x:v>A/B</x:v>
      </x:c>
      <x:c r="I7" s="18" t="str">
        <x:v>Sí</x:v>
      </x:c>
      <x:c r="J7" s="18" t="str">
        <x:v>Modelo A usado como variante canónica; el modelo B oficial está archivado y permuta el orden y/o las opciones.</x:v>
      </x:c>
      <x:c r="K7" s="18" t="n">
        <x:v>6</x:v>
      </x:c>
      <x:c r="L7" s="18" t="str">
        <x:v>No</x:v>
      </x:c>
      <x:c r="M7" s="18" t="str">
        <x:v>De acuerdo con el artículo 117,5 de la Constitución Española, el principio de unidad jurisdiccional es la base de la organización y funcionamiento de los Tribunales. La ley regulará el ejercicio de la jurisdicción militar en el ámbito estrictamente castrense y, de acuerdo con los principios de la Constitución, ¿en qué supuestos?</x:v>
      </x:c>
      <x:c r="N7" s="18" t="str">
        <x:v>En los supuestos de estado de excepción.</x:v>
      </x:c>
      <x:c r="O7" s="18" t="str">
        <x:v>En los supuestos de estado de sitio.</x:v>
      </x:c>
      <x:c r="P7" s="18" t="str">
        <x:v>En los supuestos de estado de alarma.</x:v>
      </x:c>
      <x:c r="Q7" s="18" t="str">
        <x:v>En los supuestos de estado de alerta.</x:v>
      </x:c>
      <x:c r="R7" s="18" t="str">
        <x:v>G06</x:v>
      </x:c>
      <x:c r="S7" s="18" t="n">
        <x:v>6</x:v>
      </x:c>
      <x:c r="T7" s="18" t="str">
        <x:v>Temario general</x:v>
      </x:c>
      <x:c r="U7" s="18" t="str">
        <x:v>El Poder Judicial. El principio de unidad jurisdiccional. El Consejo General del Poder Judicial. La organización judicial española.</x:v>
      </x:c>
      <x:c r="V7" s="18" t="str">
        <x:v>G06</x:v>
      </x:c>
      <x:c r="W7" s="18" t="str">
        <x:v>Constitución Española</x:v>
      </x:c>
      <x:c r="X7" s="18" t="str">
        <x:v>117</x:v>
      </x:c>
      <x:c r="Y7" s="18" t="str">
        <x:v>Artículos literales</x:v>
      </x:c>
      <x:c r="Z7" s="18" t="str">
        <x:v>Alta</x:v>
      </x:c>
      <x:c r="AA7" s="18" t="str">
        <x:v>G06</x:v>
      </x:c>
      <x:c r="AB7" s="18" t="str"/>
      <x:c r="AC7" s="18" t="str"/>
      <x:c r="AD7" s="18" t="str">
        <x:v>No</x:v>
      </x:c>
      <x:c r="AE7" s="18" t="str">
        <x:v>Teórico</x:v>
      </x:c>
      <x:c r="AF7" s="18" t="str">
        <x:v>B</x:v>
      </x:c>
      <x:c r="AG7" s="18" t="str">
        <x:v>B</x:v>
      </x:c>
      <x:c r="AH7" s="18" t="str">
        <x:v>Válida</x:v>
      </x:c>
      <x:c r="AI7" s="18" t="str">
        <x:v>01. Información oficial de la oposición\Exámenes oficiales anteriores\2024 Convocatoria 2023 - Cuestionario libre Modelo A.pdf</x:v>
      </x:c>
      <x:c r="AJ7" s="18" t="str">
        <x:v>https://www.seg-social.es/wps/portal/wss/internet/InformacionUtil/9950/88beb45d-ca83-4bab-8162-f94ef2894562</x:v>
      </x:c>
      <x:c r="AK7" s="18" t="str">
        <x:v>OCR Windows es-ES sobre PDF oficial</x:v>
      </x:c>
      <x:c r="AL7" s="18" t="n">
        <x:v>100</x:v>
      </x:c>
      <x:c r="AM7" s="18" t="str">
        <x:v>Alta</x:v>
      </x:c>
      <x:c r="AN7" s="18" t="str">
        <x:v>Regla jurídica determinista</x:v>
      </x:c>
      <x:c r="AO7" s="18" t="str">
        <x:v>2024_conv2023_ordinario_A-T06</x:v>
      </x:c>
      <x:c r="AP7" s="18" t="n">
        <x:v>1</x:v>
      </x:c>
    </x:row>
    <x:row r="8">
      <x:c r="A8" s="18" t="str">
        <x:v>2024_conv2023_ordinario_A-T07</x:v>
      </x:c>
      <x:c r="B8" s="18" t="n">
        <x:v>2024</x:v>
      </x:c>
      <x:c r="C8" s="18" t="n">
        <x:v>2023</x:v>
      </x:c>
      <x:c r="D8" s="28" t="n">
        <x:v>45626</x:v>
      </x:c>
      <x:c r="E8" s="18" t="str">
        <x:v>Acceso libre</x:v>
      </x:c>
      <x:c r="F8" s="18" t="str">
        <x:v>Primera parte</x:v>
      </x:c>
      <x:c r="G8" s="18" t="str">
        <x:v>A</x:v>
      </x:c>
      <x:c r="H8" s="18" t="str">
        <x:v>A/B</x:v>
      </x:c>
      <x:c r="I8" s="18" t="str">
        <x:v>Sí</x:v>
      </x:c>
      <x:c r="J8" s="18" t="str">
        <x:v>Modelo A usado como variante canónica; el modelo B oficial está archivado y permuta el orden y/o las opciones.</x:v>
      </x:c>
      <x:c r="K8" s="18" t="n">
        <x:v>7</x:v>
      </x:c>
      <x:c r="L8" s="18" t="str">
        <x:v>No</x:v>
      </x:c>
      <x:c r="M8" s="18" t="str">
        <x:v>Según eI articulo 113 de la Constitución Española, señale la afirmación CORRECTA:</x:v>
      </x:c>
      <x:c r="N8" s="18" t="str">
        <x:v>La moción de censura no podrá ser votada hasta que transcurran cinco días desde su presentación. En los dos primeros días de dicho plazo podrán presentarse mociones alternativas.</x:v>
      </x:c>
      <x:c r="O8" s="18" t="str">
        <x:v>Si la moción de censura no fuere aprobada por las Cortes Generales, sus signatarios no podrán presentar otra durante el mismo periodo de sesiones.</x:v>
      </x:c>
      <x:c r="P8" s="18" t="str">
        <x:v>La moción de censura deberá ser propuesta por 50 diputados 0 50 senadores, y habrá de incluir un candidato a la Presidencia del Gobierno.</x:v>
      </x:c>
      <x:c r="Q8" s="18" t="str">
        <x:v>EI Congreso de los Diputados puede exigir la responsabilidad política del Gobierno mediante la adopción por mayoria simple de la moción de censura.</x:v>
      </x:c>
      <x:c r="R8" s="18" t="str">
        <x:v>G07</x:v>
      </x:c>
      <x:c r="S8" s="18" t="n">
        <x:v>7</x:v>
      </x:c>
      <x:c r="T8" s="18" t="str">
        <x:v>Temario general</x:v>
      </x:c>
      <x:c r="U8" s="18" t="str">
        <x:v>El poder ejecutivo. El presidente del Gobierno y el Consejo de Ministros. Relaciones entre el Gobierno y las Cortes Generales. Designación, causas de cese y responsabilidad del Gobierno. El Consejo de Estado.</x:v>
      </x:c>
      <x:c r="V8" s="18" t="str">
        <x:v>G07</x:v>
      </x:c>
      <x:c r="W8" s="18" t="str">
        <x:v>Constitución Española</x:v>
      </x:c>
      <x:c r="X8" s="18" t="str">
        <x:v>113</x:v>
      </x:c>
      <x:c r="Y8" s="18" t="str">
        <x:v>Artículos literales</x:v>
      </x:c>
      <x:c r="Z8" s="18" t="str">
        <x:v>Media</x:v>
      </x:c>
      <x:c r="AA8" s="18" t="str">
        <x:v>G07</x:v>
      </x:c>
      <x:c r="AB8" s="18" t="str"/>
      <x:c r="AC8" s="18" t="str"/>
      <x:c r="AD8" s="18" t="str">
        <x:v>No</x:v>
      </x:c>
      <x:c r="AE8" s="18" t="str">
        <x:v>Teórico</x:v>
      </x:c>
      <x:c r="AF8" s="18" t="str">
        <x:v>A</x:v>
      </x:c>
      <x:c r="AG8" s="18" t="str">
        <x:v>A</x:v>
      </x:c>
      <x:c r="AH8" s="18" t="str">
        <x:v>Válida</x:v>
      </x:c>
      <x:c r="AI8" s="18" t="str">
        <x:v>01. Información oficial de la oposición\Exámenes oficiales anteriores\2024 Convocatoria 2023 - Cuestionario libre Modelo A.pdf</x:v>
      </x:c>
      <x:c r="AJ8" s="18" t="str">
        <x:v>https://www.seg-social.es/wps/portal/wss/internet/InformacionUtil/9950/88beb45d-ca83-4bab-8162-f94ef2894562</x:v>
      </x:c>
      <x:c r="AK8" s="18" t="str">
        <x:v>OCR Windows es-ES sobre PDF oficial</x:v>
      </x:c>
      <x:c r="AL8" s="18" t="n">
        <x:v>100</x:v>
      </x:c>
      <x:c r="AM8" s="18" t="str">
        <x:v>Alta</x:v>
      </x:c>
      <x:c r="AN8" s="18" t="str">
        <x:v>Regla jurídica determinista</x:v>
      </x:c>
      <x:c r="AO8" s="18" t="str">
        <x:v>2024_conv2023_ordinario_A-T07</x:v>
      </x:c>
      <x:c r="AP8" s="18" t="n">
        <x:v>1</x:v>
      </x:c>
    </x:row>
    <x:row r="9">
      <x:c r="A9" s="18" t="str">
        <x:v>2024_conv2023_ordinario_A-T08</x:v>
      </x:c>
      <x:c r="B9" s="18" t="n">
        <x:v>2024</x:v>
      </x:c>
      <x:c r="C9" s="18" t="n">
        <x:v>2023</x:v>
      </x:c>
      <x:c r="D9" s="28" t="n">
        <x:v>45626</x:v>
      </x:c>
      <x:c r="E9" s="18" t="str">
        <x:v>Acceso libre</x:v>
      </x:c>
      <x:c r="F9" s="18" t="str">
        <x:v>Primera parte</x:v>
      </x:c>
      <x:c r="G9" s="18" t="str">
        <x:v>A</x:v>
      </x:c>
      <x:c r="H9" s="18" t="str">
        <x:v>A/B</x:v>
      </x:c>
      <x:c r="I9" s="18" t="str">
        <x:v>Sí</x:v>
      </x:c>
      <x:c r="J9" s="18" t="str">
        <x:v>Modelo A usado como variante canónica; el modelo B oficial está archivado y permuta el orden y/o las opciones.</x:v>
      </x:c>
      <x:c r="K9" s="18" t="n">
        <x:v>8</x:v>
      </x:c>
      <x:c r="L9" s="18" t="str">
        <x:v>No</x:v>
      </x:c>
      <x:c r="M9" s="18" t="str">
        <x:v>De acuerdo con 10 establecido en el artículo 58 de la Ley 40/2015, de 1 de octubre, de Régimen Jurídico del Sector Público, señale la respuesta INCORRECTA:</x:v>
      </x:c>
      <x:c r="N9" s="18" t="str">
        <x:v>Los Ministerios contarán en todo caso con una Subsecretaría.</x:v>
      </x:c>
      <x:c r="O9" s="18" t="str">
        <x:v>En todos los Ministerios deberá existir una Secretaría de Estado.</x:v>
      </x:c>
      <x:c r="P9" s="18" t="str">
        <x:v>Las Direcciones Generales son los órganos de gestión de una o varias áreas funcionalmente homogéneas.</x:v>
      </x:c>
      <x:c r="Q9" s="18" t="str">
        <x:v>Las Direcciones Generales se organizan en Subdirecciones Generales para la distribución de las competencias encomendadas a aquellas, la realización de las actividades que les son propias y la asignación de objetivos y responsabilidades.</x:v>
      </x:c>
      <x:c r="R9" s="18" t="str">
        <x:v>G08</x:v>
      </x:c>
      <x:c r="S9" s="18" t="n">
        <x:v>8</x:v>
      </x:c>
      <x:c r="T9" s="18" t="str">
        <x:v>Temario general</x:v>
      </x:c>
      <x:c r="U9" s="18" t="str">
        <x:v>La Administración General del Estado. Principios de organización y funcionamiento. Órganos centrales. Órganos superiores y órganos directivos: creación, nombramiento, cese y funciones. Los servicios comunes de los ministerios. Órganos territoriales. La Administración del Estado en el Exterior.</x:v>
      </x:c>
      <x:c r="V9" s="18" t="str">
        <x:v>G08</x:v>
      </x:c>
      <x:c r="W9" s="18" t="str">
        <x:v>Ley 40/2015</x:v>
      </x:c>
      <x:c r="X9" s="18" t="str">
        <x:v>58</x:v>
      </x:c>
      <x:c r="Y9" s="18" t="str">
        <x:v>Artículos literales</x:v>
      </x:c>
      <x:c r="Z9" s="18" t="str">
        <x:v>Alta</x:v>
      </x:c>
      <x:c r="AA9" s="18" t="str">
        <x:v>G08</x:v>
      </x:c>
      <x:c r="AB9" s="18" t="str"/>
      <x:c r="AC9" s="18" t="str"/>
      <x:c r="AD9" s="18" t="str">
        <x:v>Sí</x:v>
      </x:c>
      <x:c r="AE9" s="18" t="str">
        <x:v>Teórico</x:v>
      </x:c>
      <x:c r="AF9" s="18" t="str">
        <x:v>B</x:v>
      </x:c>
      <x:c r="AG9" s="18" t="str">
        <x:v>B</x:v>
      </x:c>
      <x:c r="AH9" s="18" t="str">
        <x:v>Válida</x:v>
      </x:c>
      <x:c r="AI9" s="18" t="str">
        <x:v>01. Información oficial de la oposición\Exámenes oficiales anteriores\2024 Convocatoria 2023 - Cuestionario libre Modelo A.pdf</x:v>
      </x:c>
      <x:c r="AJ9" s="18" t="str">
        <x:v>https://www.seg-social.es/wps/portal/wss/internet/InformacionUtil/9950/88beb45d-ca83-4bab-8162-f94ef2894562</x:v>
      </x:c>
      <x:c r="AK9" s="18" t="str">
        <x:v>OCR Windows es-ES sobre PDF oficial</x:v>
      </x:c>
      <x:c r="AL9" s="18" t="n">
        <x:v>100</x:v>
      </x:c>
      <x:c r="AM9" s="18" t="str">
        <x:v>Alta</x:v>
      </x:c>
      <x:c r="AN9" s="18" t="str">
        <x:v>Regla jurídica determinista</x:v>
      </x:c>
      <x:c r="AO9" s="18" t="str">
        <x:v>2024_conv2023_ordinario_A-T08</x:v>
      </x:c>
      <x:c r="AP9" s="18" t="n">
        <x:v>1</x:v>
      </x:c>
    </x:row>
    <x:row r="10">
      <x:c r="A10" s="18" t="str">
        <x:v>2024_conv2023_ordinario_A-T09</x:v>
      </x:c>
      <x:c r="B10" s="18" t="n">
        <x:v>2024</x:v>
      </x:c>
      <x:c r="C10" s="18" t="n">
        <x:v>2023</x:v>
      </x:c>
      <x:c r="D10" s="28" t="n">
        <x:v>45626</x:v>
      </x:c>
      <x:c r="E10" s="18" t="str">
        <x:v>Acceso libre</x:v>
      </x:c>
      <x:c r="F10" s="18" t="str">
        <x:v>Primera parte</x:v>
      </x:c>
      <x:c r="G10" s="18" t="str">
        <x:v>A</x:v>
      </x:c>
      <x:c r="H10" s="18" t="str">
        <x:v>A/B</x:v>
      </x:c>
      <x:c r="I10" s="18" t="str">
        <x:v>Sí</x:v>
      </x:c>
      <x:c r="J10" s="18" t="str">
        <x:v>Modelo A usado como variante canónica; el modelo B oficial está archivado y permuta el orden y/o las opciones.</x:v>
      </x:c>
      <x:c r="K10" s="18" t="n">
        <x:v>9</x:v>
      </x:c>
      <x:c r="L10" s="18" t="str">
        <x:v>No</x:v>
      </x:c>
      <x:c r="M10" s="18" t="str">
        <x:v>Según el artículo 153 de la Constitución Española, señale la respuesta INCORRECTA respeto al control de la actividad de los órganos de las comunidades autónomas:</x:v>
      </x:c>
      <x:c r="N10" s="18" t="str">
        <x:v>Se ejercerá por el Gobierno, previo dictamen del Consejo de Estado, el del ejercicio de funciones delegadas a que se refiere el apartado 2 del artículo 150.</x:v>
      </x:c>
      <x:c r="O10" s="18" t="str">
        <x:v>Se ejercerá por la jurisdicción civil, el de la administración autónoma y sus normas reglamentarias</x:v>
      </x:c>
      <x:c r="P10" s="18" t="str">
        <x:v>Se ejercerá por eI Tribunal de Cuentas, eI económico y presupuestario.</x:v>
      </x:c>
      <x:c r="Q10" s="18" t="str">
        <x:v>Se ejercerá por el Tribunal Constitucional, el relativo a la constitucionalidad de sus disposiciones normativas con fuerza de ley.</x:v>
      </x:c>
      <x:c r="R10" s="18" t="str">
        <x:v>G09</x:v>
      </x:c>
      <x:c r="S10" s="18" t="n">
        <x:v>9</x:v>
      </x:c>
      <x:c r="T10" s="18" t="str">
        <x:v>Temario general</x:v>
      </x:c>
      <x:c r="U10" s="18" t="str">
        <x:v>La organización territorial del Estado. Las Comunidades Autónomas. Los Estatutos de Autonomía. La delimitación de competencias entre el Estado y las Comunidades Autónomas en la Constitución y en los Estatutos de Autonomía. La Administración local: El municipio. La provincia.</x:v>
      </x:c>
      <x:c r="V10" s="18" t="str">
        <x:v>G09</x:v>
      </x:c>
      <x:c r="W10" s="18" t="str">
        <x:v>Constitución Española</x:v>
      </x:c>
      <x:c r="X10" s="18" t="str">
        <x:v>153</x:v>
      </x:c>
      <x:c r="Y10" s="18" t="str">
        <x:v>Órganos</x:v>
      </x:c>
      <x:c r="Z10" s="18" t="str">
        <x:v>Alta</x:v>
      </x:c>
      <x:c r="AA10" s="18" t="str">
        <x:v>G09</x:v>
      </x:c>
      <x:c r="AB10" s="18" t="str"/>
      <x:c r="AC10" s="18" t="str"/>
      <x:c r="AD10" s="18" t="str">
        <x:v>Sí</x:v>
      </x:c>
      <x:c r="AE10" s="18" t="str">
        <x:v>Teórico</x:v>
      </x:c>
      <x:c r="AF10" s="18" t="str">
        <x:v>B</x:v>
      </x:c>
      <x:c r="AG10" s="18" t="str">
        <x:v>B</x:v>
      </x:c>
      <x:c r="AH10" s="18" t="str">
        <x:v>Válida</x:v>
      </x:c>
      <x:c r="AI10" s="18" t="str">
        <x:v>01. Información oficial de la oposición\Exámenes oficiales anteriores\2024 Convocatoria 2023 - Cuestionario libre Modelo A.pdf</x:v>
      </x:c>
      <x:c r="AJ10" s="18" t="str">
        <x:v>https://www.seg-social.es/wps/portal/wss/internet/InformacionUtil/9950/88beb45d-ca83-4bab-8162-f94ef2894562</x:v>
      </x:c>
      <x:c r="AK10" s="18" t="str">
        <x:v>OCR Windows es-ES sobre PDF oficial</x:v>
      </x:c>
      <x:c r="AL10" s="18" t="n">
        <x:v>100</x:v>
      </x:c>
      <x:c r="AM10" s="18" t="str">
        <x:v>Alta</x:v>
      </x:c>
      <x:c r="AN10" s="18" t="str">
        <x:v>Regla jurídica determinista</x:v>
      </x:c>
      <x:c r="AO10" s="18" t="str">
        <x:v>2024_conv2023_ordinario_A-T09</x:v>
      </x:c>
      <x:c r="AP10" s="18" t="n">
        <x:v>1</x:v>
      </x:c>
    </x:row>
    <x:row r="11">
      <x:c r="A11" s="18" t="str">
        <x:v>2024_conv2023_ordinario_A-T10</x:v>
      </x:c>
      <x:c r="B11" s="18" t="n">
        <x:v>2024</x:v>
      </x:c>
      <x:c r="C11" s="18" t="n">
        <x:v>2023</x:v>
      </x:c>
      <x:c r="D11" s="28" t="n">
        <x:v>45626</x:v>
      </x:c>
      <x:c r="E11" s="18" t="str">
        <x:v>Acceso libre</x:v>
      </x:c>
      <x:c r="F11" s="18" t="str">
        <x:v>Primera parte</x:v>
      </x:c>
      <x:c r="G11" s="18" t="str">
        <x:v>A</x:v>
      </x:c>
      <x:c r="H11" s="18" t="str">
        <x:v>A/B</x:v>
      </x:c>
      <x:c r="I11" s="18" t="str">
        <x:v>Sí</x:v>
      </x:c>
      <x:c r="J11" s="18" t="str">
        <x:v>Modelo A usado como variante canónica; el modelo B oficial está archivado y permuta el orden y/o las opciones.</x:v>
      </x:c>
      <x:c r="K11" s="18" t="n">
        <x:v>10</x:v>
      </x:c>
      <x:c r="L11" s="18" t="str">
        <x:v>No</x:v>
      </x:c>
      <x:c r="M11" s="18" t="str">
        <x:v>Indique cuál de las siguientes NO es una competencia exclusiva de la Unión Europea, de acuerdo con el artículo 3 del Tratado de Funcionamiento de la Unión Europea.</x:v>
      </x:c>
      <x:c r="N11" s="18" t="str">
        <x:v>La unión aduanera.</x:v>
      </x:c>
      <x:c r="O11" s="18" t="str">
        <x:v>La industria.</x:v>
      </x:c>
      <x:c r="P11" s="18" t="str">
        <x:v>La política monetaria de tos Estados miembros cuya moneda es el euro.</x:v>
      </x:c>
      <x:c r="Q11" s="18" t="str">
        <x:v>La conservación de los recursos biológicos marinos dentro de la politica pesquera común.</x:v>
      </x:c>
      <x:c r="R11" s="18" t="str">
        <x:v>G10</x:v>
      </x:c>
      <x:c r="S11" s="18" t="n">
        <x:v>10</x:v>
      </x:c>
      <x:c r="T11" s="18" t="str">
        <x:v>Temario general</x:v>
      </x:c>
      <x:c r="U11" s="18" t="str">
        <x:v>Las Instituciones de la Unión Europea: El Consejo, el Parlamento Europeo, la Comisión, el Tribunal de Justicia.</x:v>
      </x:c>
      <x:c r="V11" s="18" t="str">
        <x:v>G10</x:v>
      </x:c>
      <x:c r="W11" s="18" t="str">
        <x:v>Tratado de Funcionamiento de la Unión Europea</x:v>
      </x:c>
      <x:c r="X11" s="18" t="str">
        <x:v>3</x:v>
      </x:c>
      <x:c r="Y11" s="18" t="str">
        <x:v>Competencias</x:v>
      </x:c>
      <x:c r="Z11" s="18" t="str">
        <x:v>Media</x:v>
      </x:c>
      <x:c r="AA11" s="18" t="str">
        <x:v>G10</x:v>
      </x:c>
      <x:c r="AB11" s="18" t="str"/>
      <x:c r="AC11" s="18" t="str"/>
      <x:c r="AD11" s="18" t="str">
        <x:v>Sí</x:v>
      </x:c>
      <x:c r="AE11" s="18" t="str">
        <x:v>Teórico</x:v>
      </x:c>
      <x:c r="AF11" s="18" t="str">
        <x:v>B</x:v>
      </x:c>
      <x:c r="AG11" s="18" t="str">
        <x:v>B</x:v>
      </x:c>
      <x:c r="AH11" s="18" t="str">
        <x:v>Válida</x:v>
      </x:c>
      <x:c r="AI11" s="18" t="str">
        <x:v>01. Información oficial de la oposición\Exámenes oficiales anteriores\2024 Convocatoria 2023 - Cuestionario libre Modelo A.pdf</x:v>
      </x:c>
      <x:c r="AJ11" s="18" t="str">
        <x:v>https://www.seg-social.es/wps/portal/wss/internet/InformacionUtil/9950/88beb45d-ca83-4bab-8162-f94ef2894562</x:v>
      </x:c>
      <x:c r="AK11" s="18" t="str">
        <x:v>OCR Windows es-ES sobre PDF oficial</x:v>
      </x:c>
      <x:c r="AL11" s="18" t="n">
        <x:v>100</x:v>
      </x:c>
      <x:c r="AM11" s="18" t="str">
        <x:v>Alta</x:v>
      </x:c>
      <x:c r="AN11" s="18" t="str">
        <x:v>Regla jurídica determinista</x:v>
      </x:c>
      <x:c r="AO11" s="18" t="str">
        <x:v>2024_conv2023_ordinario_A-T10</x:v>
      </x:c>
      <x:c r="AP11" s="18" t="n">
        <x:v>1</x:v>
      </x:c>
    </x:row>
    <x:row r="12">
      <x:c r="A12" s="18" t="str">
        <x:v>2024_conv2023_ordinario_A-T11</x:v>
      </x:c>
      <x:c r="B12" s="18" t="n">
        <x:v>2024</x:v>
      </x:c>
      <x:c r="C12" s="18" t="n">
        <x:v>2023</x:v>
      </x:c>
      <x:c r="D12" s="28" t="n">
        <x:v>45626</x:v>
      </x:c>
      <x:c r="E12" s="18" t="str">
        <x:v>Acceso libre</x:v>
      </x:c>
      <x:c r="F12" s="18" t="str">
        <x:v>Primera parte</x:v>
      </x:c>
      <x:c r="G12" s="18" t="str">
        <x:v>A</x:v>
      </x:c>
      <x:c r="H12" s="18" t="str">
        <x:v>A/B</x:v>
      </x:c>
      <x:c r="I12" s="18" t="str">
        <x:v>Sí</x:v>
      </x:c>
      <x:c r="J12" s="18" t="str">
        <x:v>Modelo A usado como variante canónica; el modelo B oficial está archivado y permuta el orden y/o las opciones.</x:v>
      </x:c>
      <x:c r="K12" s="18" t="n">
        <x:v>11</x:v>
      </x:c>
      <x:c r="L12" s="18" t="str">
        <x:v>No</x:v>
      </x:c>
      <x:c r="M12" s="18" t="str">
        <x:v>En el artículo 288 del Tratado de Funcionamiento de la Unión Europea, se recogen los tipos de normas que regulan el Derecho Comunitario, entre ellas se encuentran las denominadas "Decisiones" ¿tienen carácter vinculante?</x:v>
      </x:c>
      <x:c r="N12" s="18" t="str">
        <x:v>No, porque son meras recomendaciones a los Estados miembros de la Unión Europea.</x:v>
      </x:c>
      <x:c r="O12" s="18" t="str">
        <x:v>No, solo son vinculantes los Reglamentos Comunitarios y las Directivas.</x:v>
      </x:c>
      <x:c r="P12" s="18" t="str">
        <x:v>Sí, son obligatorias en todos sus elementos. Cuando designe destinatarios, sófo será obligatoria para éstos.</x:v>
      </x:c>
      <x:c r="Q12" s="18" t="str">
        <x:v>Si, son obligatorias para todos los países miembros de la Unión Europea cuando son aprobadas en votación del Parlamento Europeo, por mayoría de dos tercios de los miembros de la Unión Europea.</x:v>
      </x:c>
      <x:c r="R12" s="18" t="str">
        <x:v>G11</x:v>
      </x:c>
      <x:c r="S12" s="18" t="n">
        <x:v>11</x:v>
      </x:c>
      <x:c r="T12" s="18" t="str">
        <x:v>Temario general</x:v>
      </x:c>
      <x:c r="U12" s="18" t="str">
        <x:v>Las fuentes del derecho de la Unión Europea. Derecho originario. Derecho derivado: Reglamentos, directivas y decisiones. Otras fuentes. Las relaciones entre el Derecho de la Unión Europea y el ordenamiento jurídico de los Estados miembros.</x:v>
      </x:c>
      <x:c r="V12" s="18" t="str">
        <x:v>G11</x:v>
      </x:c>
      <x:c r="W12" s="18" t="str">
        <x:v>Tratado de Funcionamiento de la Unión Europea</x:v>
      </x:c>
      <x:c r="X12" s="18" t="str">
        <x:v>288</x:v>
      </x:c>
      <x:c r="Y12" s="18" t="str">
        <x:v>Artículos literales</x:v>
      </x:c>
      <x:c r="Z12" s="18" t="str">
        <x:v>Media</x:v>
      </x:c>
      <x:c r="AA12" s="18" t="str">
        <x:v>G11</x:v>
      </x:c>
      <x:c r="AB12" s="18" t="str"/>
      <x:c r="AC12" s="18" t="str"/>
      <x:c r="AD12" s="18" t="str">
        <x:v>No</x:v>
      </x:c>
      <x:c r="AE12" s="18" t="str">
        <x:v>Teórico</x:v>
      </x:c>
      <x:c r="AF12" s="18" t="str">
        <x:v>C</x:v>
      </x:c>
      <x:c r="AG12" s="18" t="str">
        <x:v>C</x:v>
      </x:c>
      <x:c r="AH12" s="18" t="str">
        <x:v>Válida</x:v>
      </x:c>
      <x:c r="AI12" s="18" t="str">
        <x:v>01. Información oficial de la oposición\Exámenes oficiales anteriores\2024 Convocatoria 2023 - Cuestionario libre Modelo A.pdf</x:v>
      </x:c>
      <x:c r="AJ12" s="18" t="str">
        <x:v>https://www.seg-social.es/wps/portal/wss/internet/InformacionUtil/9950/88beb45d-ca83-4bab-8162-f94ef2894562</x:v>
      </x:c>
      <x:c r="AK12" s="18" t="str">
        <x:v>OCR Windows es-ES sobre PDF oficial</x:v>
      </x:c>
      <x:c r="AL12" s="18" t="n">
        <x:v>100</x:v>
      </x:c>
      <x:c r="AM12" s="18" t="str">
        <x:v>Alta</x:v>
      </x:c>
      <x:c r="AN12" s="18" t="str">
        <x:v>Regla jurídica determinista</x:v>
      </x:c>
      <x:c r="AO12" s="18" t="str">
        <x:v>2024_conv2023_ordinario_A-T11</x:v>
      </x:c>
      <x:c r="AP12" s="18" t="n">
        <x:v>1</x:v>
      </x:c>
    </x:row>
    <x:row r="13">
      <x:c r="A13" s="18" t="str">
        <x:v>2024_conv2023_ordinario_A-T12</x:v>
      </x:c>
      <x:c r="B13" s="18" t="n">
        <x:v>2024</x:v>
      </x:c>
      <x:c r="C13" s="18" t="n">
        <x:v>2023</x:v>
      </x:c>
      <x:c r="D13" s="28" t="n">
        <x:v>45626</x:v>
      </x:c>
      <x:c r="E13" s="18" t="str">
        <x:v>Acceso libre</x:v>
      </x:c>
      <x:c r="F13" s="18" t="str">
        <x:v>Primera parte</x:v>
      </x:c>
      <x:c r="G13" s="18" t="str">
        <x:v>A</x:v>
      </x:c>
      <x:c r="H13" s="18" t="str">
        <x:v>A/B</x:v>
      </x:c>
      <x:c r="I13" s="18" t="str">
        <x:v>Sí</x:v>
      </x:c>
      <x:c r="J13" s="18" t="str">
        <x:v>Modelo A usado como variante canónica; el modelo B oficial está archivado y permuta el orden y/o las opciones.</x:v>
      </x:c>
      <x:c r="K13" s="18" t="n">
        <x:v>12</x:v>
      </x:c>
      <x:c r="L13" s="18" t="str">
        <x:v>No</x:v>
      </x:c>
      <x:c r="M13" s="18" t="str">
        <x:v>Según eI artículo I del Real Decreto 501/2024, de 21 de mayo, el Ministerio de Inclusión, Seguridad Social y Migraciones posee dos Secretarías de Estado que se denominan:</x:v>
      </x:c>
      <x:c r="N13" s="18" t="str">
        <x:v>Secretaría de Estado de Inmigraciones y Secretaria de Estado de la Seguridad Social y Pensiones.</x:v>
      </x:c>
      <x:c r="O13" s="18" t="str">
        <x:v>Secretaría de Estado de Migraciones y Secretaría de Estado de la Seguridad Social y Pensiones.</x:v>
      </x:c>
      <x:c r="P13" s="18" t="str">
        <x:v>Secretaría de Estado de Migraciones y Secretaría de Estado de la Seguridad Social y Prestaciones.</x:v>
      </x:c>
      <x:c r="Q13" s="18" t="str">
        <x:v>Secretaría de Estado de Inclusión y Secretaria de Estado de la Seguridad Sociat y Pensiones.</x:v>
      </x:c>
      <x:c r="R13" s="18" t="str">
        <x:v>G12</x:v>
      </x:c>
      <x:c r="S13" s="18" t="n">
        <x:v>12</x:v>
      </x:c>
      <x:c r="T13" s="18" t="str">
        <x:v>Temario general</x:v>
      </x:c>
      <x:c r="U13" s="18" t="str">
        <x:v>El Ministerio de Inclusión, Seguridad Social y Migraciones. Organización. Estructura y funciones.</x:v>
      </x:c>
      <x:c r="V13" s="18" t="str">
        <x:v>G12</x:v>
      </x:c>
      <x:c r="W13" s="18" t="str">
        <x:v>Real Decreto 501/2024</x:v>
      </x:c>
      <x:c r="X13" s="18" t="str"/>
      <x:c r="Y13" s="18" t="str">
        <x:v>Artículos literales</x:v>
      </x:c>
      <x:c r="Z13" s="18" t="str">
        <x:v>Media</x:v>
      </x:c>
      <x:c r="AA13" s="18" t="str">
        <x:v>G12</x:v>
      </x:c>
      <x:c r="AB13" s="18" t="str"/>
      <x:c r="AC13" s="18" t="str"/>
      <x:c r="AD13" s="18" t="str">
        <x:v>No</x:v>
      </x:c>
      <x:c r="AE13" s="18" t="str">
        <x:v>Teórico</x:v>
      </x:c>
      <x:c r="AF13" s="18" t="str">
        <x:v>B</x:v>
      </x:c>
      <x:c r="AG13" s="18" t="str">
        <x:v>B</x:v>
      </x:c>
      <x:c r="AH13" s="18" t="str">
        <x:v>Válida</x:v>
      </x:c>
      <x:c r="AI13" s="18" t="str">
        <x:v>01. Información oficial de la oposición\Exámenes oficiales anteriores\2024 Convocatoria 2023 - Cuestionario libre Modelo A.pdf</x:v>
      </x:c>
      <x:c r="AJ13" s="18" t="str">
        <x:v>https://www.seg-social.es/wps/portal/wss/internet/InformacionUtil/9950/88beb45d-ca83-4bab-8162-f94ef2894562</x:v>
      </x:c>
      <x:c r="AK13" s="18" t="str">
        <x:v>OCR Windows es-ES sobre PDF oficial</x:v>
      </x:c>
      <x:c r="AL13" s="18" t="n">
        <x:v>100</x:v>
      </x:c>
      <x:c r="AM13" s="18" t="str">
        <x:v>Alta</x:v>
      </x:c>
      <x:c r="AN13" s="18" t="str">
        <x:v>Regla jurídica determinista</x:v>
      </x:c>
      <x:c r="AO13" s="18" t="str">
        <x:v>2024_conv2023_ordinario_A-T12</x:v>
      </x:c>
      <x:c r="AP13" s="18" t="n">
        <x:v>1</x:v>
      </x:c>
    </x:row>
    <x:row r="14">
      <x:c r="A14" s="18" t="str">
        <x:v>2024_conv2023_ordinario_A-T13</x:v>
      </x:c>
      <x:c r="B14" s="18" t="n">
        <x:v>2024</x:v>
      </x:c>
      <x:c r="C14" s="18" t="n">
        <x:v>2023</x:v>
      </x:c>
      <x:c r="D14" s="28" t="n">
        <x:v>45626</x:v>
      </x:c>
      <x:c r="E14" s="18" t="str">
        <x:v>Acceso libre</x:v>
      </x:c>
      <x:c r="F14" s="18" t="str">
        <x:v>Primera parte</x:v>
      </x:c>
      <x:c r="G14" s="18" t="str">
        <x:v>A</x:v>
      </x:c>
      <x:c r="H14" s="18" t="str">
        <x:v>A/B</x:v>
      </x:c>
      <x:c r="I14" s="18" t="str">
        <x:v>Sí</x:v>
      </x:c>
      <x:c r="J14" s="18" t="str">
        <x:v>Modelo A usado como variante canónica; el modelo B oficial está archivado y permuta el orden y/o las opciones.</x:v>
      </x:c>
      <x:c r="K14" s="18" t="n">
        <x:v>13</x:v>
      </x:c>
      <x:c r="L14" s="18" t="str">
        <x:v>No</x:v>
      </x:c>
      <x:c r="M14" s="18" t="str">
        <x:v>Señale la respuesta CORRECTA de acuerdo con 10 dispuesto en el articulo 1 del Código Civil:</x:v>
      </x:c>
      <x:c r="N14" s="18" t="str">
        <x:v>Carecerán de validez las disposiciones que contradigan otra de rango superior.</x:v>
      </x:c>
      <x:c r="O14" s="18" t="str">
        <x:v>Los tratados internacionales serán de aplicación directa en España aunque no hayan sido publicados en eI Boletín Oficial del Estado.</x:v>
      </x:c>
      <x:c r="P14" s="18" t="str">
        <x:v>La Constitución y las leyes constituyen las únicas fuentes del ordenamiento jurídico,</x:v>
      </x:c>
      <x:c r="Q14" s="18" t="str">
        <x:v>Carecerán de validez las disposiciones que contradigan otra de rango inferior.</x:v>
      </x:c>
      <x:c r="R14" s="18" t="str">
        <x:v>G13</x:v>
      </x:c>
      <x:c r="S14" s="18" t="n">
        <x:v>13</x:v>
      </x:c>
      <x:c r="T14" s="18" t="str">
        <x:v>Temario general</x:v>
      </x:c>
      <x:c r="U14" s="18" t="str">
        <x:v>Las fuentes del Derecho Administrativo. Concepto y clases. La jerarquía de las fuentes.</x:v>
      </x:c>
      <x:c r="V14" s="18" t="str">
        <x:v>G13</x:v>
      </x:c>
      <x:c r="W14" s="18" t="str"/>
      <x:c r="X14" s="18" t="str">
        <x:v>1</x:v>
      </x:c>
      <x:c r="Y14" s="18" t="str">
        <x:v>Artículos literales</x:v>
      </x:c>
      <x:c r="Z14" s="18" t="str">
        <x:v>Media</x:v>
      </x:c>
      <x:c r="AA14" s="18" t="str">
        <x:v>G13</x:v>
      </x:c>
      <x:c r="AB14" s="18" t="str"/>
      <x:c r="AC14" s="18" t="str"/>
      <x:c r="AD14" s="18" t="str">
        <x:v>No</x:v>
      </x:c>
      <x:c r="AE14" s="18" t="str">
        <x:v>Teórico</x:v>
      </x:c>
      <x:c r="AF14" s="18" t="str">
        <x:v>A</x:v>
      </x:c>
      <x:c r="AG14" s="18" t="str">
        <x:v>A</x:v>
      </x:c>
      <x:c r="AH14" s="18" t="str">
        <x:v>Válida</x:v>
      </x:c>
      <x:c r="AI14" s="18" t="str">
        <x:v>01. Información oficial de la oposición\Exámenes oficiales anteriores\2024 Convocatoria 2023 - Cuestionario libre Modelo A.pdf</x:v>
      </x:c>
      <x:c r="AJ14" s="18" t="str">
        <x:v>https://www.seg-social.es/wps/portal/wss/internet/InformacionUtil/9950/88beb45d-ca83-4bab-8162-f94ef2894562</x:v>
      </x:c>
      <x:c r="AK14" s="18" t="str">
        <x:v>OCR Windows es-ES sobre PDF oficial</x:v>
      </x:c>
      <x:c r="AL14" s="18" t="n">
        <x:v>100</x:v>
      </x:c>
      <x:c r="AM14" s="18" t="str">
        <x:v>Alta</x:v>
      </x:c>
      <x:c r="AN14" s="18" t="str">
        <x:v>Regla jurídica determinista</x:v>
      </x:c>
      <x:c r="AO14" s="18" t="str">
        <x:v>2024_conv2023_ordinario_A-T13</x:v>
      </x:c>
      <x:c r="AP14" s="18" t="n">
        <x:v>1</x:v>
      </x:c>
    </x:row>
    <x:row r="15">
      <x:c r="A15" s="18" t="str">
        <x:v>2024_conv2023_ordinario_A-T14</x:v>
      </x:c>
      <x:c r="B15" s="18" t="n">
        <x:v>2024</x:v>
      </x:c>
      <x:c r="C15" s="18" t="n">
        <x:v>2023</x:v>
      </x:c>
      <x:c r="D15" s="28" t="n">
        <x:v>45626</x:v>
      </x:c>
      <x:c r="E15" s="18" t="str">
        <x:v>Acceso libre</x:v>
      </x:c>
      <x:c r="F15" s="18" t="str">
        <x:v>Primera parte</x:v>
      </x:c>
      <x:c r="G15" s="18" t="str">
        <x:v>A</x:v>
      </x:c>
      <x:c r="H15" s="18" t="str">
        <x:v>A/B</x:v>
      </x:c>
      <x:c r="I15" s="18" t="str">
        <x:v>Sí</x:v>
      </x:c>
      <x:c r="J15" s="18" t="str">
        <x:v>Modelo A usado como variante canónica; el modelo B oficial está archivado y permuta el orden y/o las opciones.</x:v>
      </x:c>
      <x:c r="K15" s="18" t="n">
        <x:v>14</x:v>
      </x:c>
      <x:c r="L15" s="18" t="str">
        <x:v>No</x:v>
      </x:c>
      <x:c r="M15" s="18" t="str">
        <x:v>De acuerdo con 10 regulado en eI artículo 82 de la Constitución Española:</x:v>
      </x:c>
      <x:c r="N15" s="18" t="str">
        <x:v>Las Codes Generales podrán delegar en eI Gobierno la potestad de dictar normas con rango de ley sobre materias determinadas.</x:v>
      </x:c>
      <x:c r="O15" s="18" t="str">
        <x:v>La delegación legislativa de las Cortes Generales en el Gobierno deberá otorgarse mediante una ley ordinaria cuando su objeto sea la formación de textos articulados.</x:v>
      </x:c>
      <x:c r="P15" s="18" t="str">
        <x:v>La delegación legislativa de las Cortes Generales en el Gobierno deberá otorgarse mediante una ley de bases cuando se trate de refundir varios textos legales en uno solo.</x:v>
      </x:c>
      <x:c r="Q15" s="18" t="str">
        <x:v>La delegación legislativa habrá de otorgarse al Gobierno de forma expresa para materia concreta, sin necesidad de establecer ningún plazo para su ejercicio.</x:v>
      </x:c>
      <x:c r="R15" s="18" t="str">
        <x:v>G14</x:v>
      </x:c>
      <x:c r="S15" s="18" t="n">
        <x:v>14</x:v>
      </x:c>
      <x:c r="T15" s="18" t="str">
        <x:v>Temario general</x:v>
      </x:c>
      <x:c r="U15" s="18" t="str">
        <x:v>La Ley. Tipos de leyes. Disposiciones del Gobierno con fuerza de ley: decreto-ley y decreto legislativo. El Reglamento: concepto, clases y límites. Los principios generales del Derecho.</x:v>
      </x:c>
      <x:c r="V15" s="18" t="str">
        <x:v>G14</x:v>
      </x:c>
      <x:c r="W15" s="18" t="str">
        <x:v>Constitución Española</x:v>
      </x:c>
      <x:c r="X15" s="18" t="str">
        <x:v>82</x:v>
      </x:c>
      <x:c r="Y15" s="18" t="str">
        <x:v>Artículos literales</x:v>
      </x:c>
      <x:c r="Z15" s="18" t="str">
        <x:v>Media</x:v>
      </x:c>
      <x:c r="AA15" s="18" t="str">
        <x:v>G14</x:v>
      </x:c>
      <x:c r="AB15" s="18" t="str"/>
      <x:c r="AC15" s="18" t="str"/>
      <x:c r="AD15" s="18" t="str">
        <x:v>No</x:v>
      </x:c>
      <x:c r="AE15" s="18" t="str">
        <x:v>Teórico</x:v>
      </x:c>
      <x:c r="AF15" s="18" t="str">
        <x:v>A</x:v>
      </x:c>
      <x:c r="AG15" s="18" t="str">
        <x:v>A</x:v>
      </x:c>
      <x:c r="AH15" s="18" t="str">
        <x:v>Válida</x:v>
      </x:c>
      <x:c r="AI15" s="18" t="str">
        <x:v>01. Información oficial de la oposición\Exámenes oficiales anteriores\2024 Convocatoria 2023 - Cuestionario libre Modelo A.pdf</x:v>
      </x:c>
      <x:c r="AJ15" s="18" t="str">
        <x:v>https://www.seg-social.es/wps/portal/wss/internet/InformacionUtil/9950/88beb45d-ca83-4bab-8162-f94ef2894562</x:v>
      </x:c>
      <x:c r="AK15" s="18" t="str">
        <x:v>OCR Windows es-ES sobre PDF oficial</x:v>
      </x:c>
      <x:c r="AL15" s="18" t="n">
        <x:v>100</x:v>
      </x:c>
      <x:c r="AM15" s="18" t="str">
        <x:v>Alta</x:v>
      </x:c>
      <x:c r="AN15" s="18" t="str">
        <x:v>Regla jurídica determinista</x:v>
      </x:c>
      <x:c r="AO15" s="18" t="str">
        <x:v>2024_conv2023_ordinario_A-T14</x:v>
      </x:c>
      <x:c r="AP15" s="18" t="n">
        <x:v>1</x:v>
      </x:c>
    </x:row>
    <x:row r="16">
      <x:c r="A16" s="18" t="str">
        <x:v>2024_conv2023_ordinario_A-T15</x:v>
      </x:c>
      <x:c r="B16" s="18" t="n">
        <x:v>2024</x:v>
      </x:c>
      <x:c r="C16" s="18" t="n">
        <x:v>2023</x:v>
      </x:c>
      <x:c r="D16" s="28" t="n">
        <x:v>45626</x:v>
      </x:c>
      <x:c r="E16" s="18" t="str">
        <x:v>Acceso libre</x:v>
      </x:c>
      <x:c r="F16" s="18" t="str">
        <x:v>Primera parte</x:v>
      </x:c>
      <x:c r="G16" s="18" t="str">
        <x:v>A</x:v>
      </x:c>
      <x:c r="H16" s="18" t="str">
        <x:v>A/B</x:v>
      </x:c>
      <x:c r="I16" s="18" t="str">
        <x:v>Sí</x:v>
      </x:c>
      <x:c r="J16" s="18" t="str">
        <x:v>Modelo A usado como variante canónica; el modelo B oficial está archivado y permuta el orden y/o las opciones.</x:v>
      </x:c>
      <x:c r="K16" s="18" t="n">
        <x:v>15</x:v>
      </x:c>
      <x:c r="L16" s="18" t="str">
        <x:v>No</x:v>
      </x:c>
      <x:c r="M16" s="18" t="str">
        <x:v>De acuerdo con 10 establecido en eI artículo 50 de la Ley 39/2015, de 1 de octubre, del Procedimiento Administrativo Común de las Administraciones Públicas, los actos nulos o anulables que, sín embargo, contengan los elementos constitutivos de otro distinto:</x:v>
      </x:c>
      <x:c r="N16" s="18" t="str">
        <x:v>Producirán los efectos de éste.</x:v>
      </x:c>
      <x:c r="O16" s="18" t="str">
        <x:v>No producirán los efectos de éste.</x:v>
      </x:c>
      <x:c r="P16" s="18" t="str">
        <x:v>Producirán los efectos de éste, salvo en la parte que ei administrado así 10 solicite en el plazo establecido a tat efecto.</x:v>
      </x:c>
      <x:c r="Q16" s="18" t="str">
        <x:v>Producirán los efectos de éste únicamente con la extensión que eI administrado solicite en eI plazo establecido a tal efecto.</x:v>
      </x:c>
      <x:c r="R16" s="18" t="str">
        <x:v>G15</x:v>
      </x:c>
      <x:c r="S16" s="18" t="n">
        <x:v>15</x:v>
      </x:c>
      <x:c r="T16" s="18" t="str">
        <x:v>Temario general</x:v>
      </x:c>
      <x:c r="U16" s="18" t="str">
        <x:v>Los actos administrativos. Concepto y clases. Motivación, forma y eficacia de los actos administrativos. Notificación y publicación. Nulidad y anulabilidad. La revisión de oficio.</x:v>
      </x:c>
      <x:c r="V16" s="18" t="str">
        <x:v>embargo</x:v>
      </x:c>
      <x:c r="W16" s="18" t="str">
        <x:v>Ley 39/2015</x:v>
      </x:c>
      <x:c r="X16" s="18" t="str">
        <x:v>50</x:v>
      </x:c>
      <x:c r="Y16" s="18" t="str">
        <x:v>Procedimientos</x:v>
      </x:c>
      <x:c r="Z16" s="18" t="str">
        <x:v>Media</x:v>
      </x:c>
      <x:c r="AA16" s="18" t="str">
        <x:v>embargo</x:v>
      </x:c>
      <x:c r="AB16" s="18" t="str"/>
      <x:c r="AC16" s="18" t="str"/>
      <x:c r="AD16" s="18" t="str">
        <x:v>No</x:v>
      </x:c>
      <x:c r="AE16" s="18" t="str">
        <x:v>Teórico</x:v>
      </x:c>
      <x:c r="AF16" s="18" t="str">
        <x:v>A</x:v>
      </x:c>
      <x:c r="AG16" s="18" t="str">
        <x:v>A</x:v>
      </x:c>
      <x:c r="AH16" s="18" t="str">
        <x:v>Válida</x:v>
      </x:c>
      <x:c r="AI16" s="18" t="str">
        <x:v>01. Información oficial de la oposición\Exámenes oficiales anteriores\2024 Convocatoria 2023 - Cuestionario libre Modelo A.pdf</x:v>
      </x:c>
      <x:c r="AJ16" s="18" t="str">
        <x:v>https://www.seg-social.es/wps/portal/wss/internet/InformacionUtil/9950/88beb45d-ca83-4bab-8162-f94ef2894562</x:v>
      </x:c>
      <x:c r="AK16" s="18" t="str">
        <x:v>OCR Windows es-ES sobre PDF oficial</x:v>
      </x:c>
      <x:c r="AL16" s="18" t="n">
        <x:v>100</x:v>
      </x:c>
      <x:c r="AM16" s="18" t="str">
        <x:v>Alta</x:v>
      </x:c>
      <x:c r="AN16" s="18" t="str">
        <x:v>Regla jurídica determinista</x:v>
      </x:c>
      <x:c r="AO16" s="18" t="str">
        <x:v>2024_conv2023_ordinario_A-T15</x:v>
      </x:c>
      <x:c r="AP16" s="18" t="n">
        <x:v>1</x:v>
      </x:c>
    </x:row>
    <x:row r="17">
      <x:c r="A17" s="18" t="str">
        <x:v>2024_conv2023_ordinario_A-T16</x:v>
      </x:c>
      <x:c r="B17" s="18" t="n">
        <x:v>2024</x:v>
      </x:c>
      <x:c r="C17" s="18" t="n">
        <x:v>2023</x:v>
      </x:c>
      <x:c r="D17" s="28" t="n">
        <x:v>45626</x:v>
      </x:c>
      <x:c r="E17" s="18" t="str">
        <x:v>Acceso libre</x:v>
      </x:c>
      <x:c r="F17" s="18" t="str">
        <x:v>Primera parte</x:v>
      </x:c>
      <x:c r="G17" s="18" t="str">
        <x:v>A</x:v>
      </x:c>
      <x:c r="H17" s="18" t="str">
        <x:v>A/B</x:v>
      </x:c>
      <x:c r="I17" s="18" t="str">
        <x:v>Sí</x:v>
      </x:c>
      <x:c r="J17" s="18" t="str">
        <x:v>Modelo A usado como variante canónica; el modelo B oficial está archivado y permuta el orden y/o las opciones.</x:v>
      </x:c>
      <x:c r="K17" s="18" t="n">
        <x:v>16</x:v>
      </x:c>
      <x:c r="L17" s="18" t="str">
        <x:v>No</x:v>
      </x:c>
      <x:c r="M17" s="18" t="str">
        <x:v>Es un derecho de los interesados en eI procedimiento administrativo común, en virtud del artículo 53 de la Ley 39/2015, de I de octubre, del Procedimiento Administrativo Común de las Administraciones Públicas:</x:v>
      </x:c>
      <x:c r="N17" s="18" t="str">
        <x:v>Conocer, en cualquier momento, el estado de la tramitación de los procedimientos en los que tengan la condición de interesados.</x:v>
      </x:c>
      <x:c r="O17" s="18" t="str">
        <x:v>Identificar a las autoridades y al personal al servicio de las Administraciones Públicas bajo cuya responsabilidad se tramiten los procedimientos.</x:v>
      </x:c>
      <x:c r="P17" s="18" t="str">
        <x:v>Actuar asistidos de asesor cuando 10 consideren conveniente en defensa de sus intereses</x:v>
      </x:c>
      <x:c r="Q17" s="18" t="str">
        <x:v>Todas las respuestas anteriores son correctas.</x:v>
      </x:c>
      <x:c r="R17" s="18" t="str">
        <x:v>G16</x:v>
      </x:c>
      <x:c r="S17" s="18" t="n">
        <x:v>16</x:v>
      </x:c>
      <x:c r="T17" s="18" t="str">
        <x:v>Temario general</x:v>
      </x:c>
      <x:c r="U17" s="18" t="str">
        <x:v>El procedimiento administrativo común. La capacidad de obrar y el concepto de interesado. Representación. Identificación y firma de los interesados. Derechos del interesado en el procedimiento administrativo. Obligación de resolver y silencio administrativo. Términos y plazos.</x:v>
      </x:c>
      <x:c r="V17" s="18" t="str">
        <x:v>G16</x:v>
      </x:c>
      <x:c r="W17" s="18" t="str">
        <x:v>Ley 39/2015</x:v>
      </x:c>
      <x:c r="X17" s="18" t="str">
        <x:v>53</x:v>
      </x:c>
      <x:c r="Y17" s="18" t="str">
        <x:v>Procedimientos</x:v>
      </x:c>
      <x:c r="Z17" s="18" t="str">
        <x:v>Media</x:v>
      </x:c>
      <x:c r="AA17" s="18" t="str">
        <x:v>G16</x:v>
      </x:c>
      <x:c r="AB17" s="18" t="str"/>
      <x:c r="AC17" s="18" t="str"/>
      <x:c r="AD17" s="18" t="str">
        <x:v>No</x:v>
      </x:c>
      <x:c r="AE17" s="18" t="str">
        <x:v>Teórico</x:v>
      </x:c>
      <x:c r="AF17" s="18" t="str">
        <x:v>D</x:v>
      </x:c>
      <x:c r="AG17" s="18" t="str">
        <x:v>D</x:v>
      </x:c>
      <x:c r="AH17" s="18" t="str">
        <x:v>Válida</x:v>
      </x:c>
      <x:c r="AI17" s="18" t="str">
        <x:v>01. Información oficial de la oposición\Exámenes oficiales anteriores\2024 Convocatoria 2023 - Cuestionario libre Modelo A.pdf</x:v>
      </x:c>
      <x:c r="AJ17" s="18" t="str">
        <x:v>https://www.seg-social.es/wps/portal/wss/internet/InformacionUtil/9950/88beb45d-ca83-4bab-8162-f94ef2894562</x:v>
      </x:c>
      <x:c r="AK17" s="18" t="str">
        <x:v>OCR Windows es-ES sobre PDF oficial</x:v>
      </x:c>
      <x:c r="AL17" s="18" t="n">
        <x:v>100</x:v>
      </x:c>
      <x:c r="AM17" s="18" t="str">
        <x:v>Alta</x:v>
      </x:c>
      <x:c r="AN17" s="18" t="str">
        <x:v>Regla jurídica determinista</x:v>
      </x:c>
      <x:c r="AO17" s="18" t="str">
        <x:v>2024_conv2023_ordinario_A-T16</x:v>
      </x:c>
      <x:c r="AP17" s="18" t="n">
        <x:v>1</x:v>
      </x:c>
    </x:row>
    <x:row r="18">
      <x:c r="A18" s="18" t="str">
        <x:v>2024_conv2023_ordinario_A-T17</x:v>
      </x:c>
      <x:c r="B18" s="18" t="n">
        <x:v>2024</x:v>
      </x:c>
      <x:c r="C18" s="18" t="n">
        <x:v>2023</x:v>
      </x:c>
      <x:c r="D18" s="28" t="n">
        <x:v>45626</x:v>
      </x:c>
      <x:c r="E18" s="18" t="str">
        <x:v>Acceso libre</x:v>
      </x:c>
      <x:c r="F18" s="18" t="str">
        <x:v>Primera parte</x:v>
      </x:c>
      <x:c r="G18" s="18" t="str">
        <x:v>A</x:v>
      </x:c>
      <x:c r="H18" s="18" t="str">
        <x:v>A/B</x:v>
      </x:c>
      <x:c r="I18" s="18" t="str">
        <x:v>Sí</x:v>
      </x:c>
      <x:c r="J18" s="18" t="str">
        <x:v>Modelo A usado como variante canónica; el modelo B oficial está archivado y permuta el orden y/o las opciones.</x:v>
      </x:c>
      <x:c r="K18" s="18" t="n">
        <x:v>17</x:v>
      </x:c>
      <x:c r="L18" s="18" t="str">
        <x:v>No</x:v>
      </x:c>
      <x:c r="M18" s="18" t="str">
        <x:v>De acuerdo con la sección 1 a, Disposiciones generales, del Capítulo V, Finalización del procedimiento, de la Ley 391201 5, de I de octubre, del Procedimiento Administrativo Común de las Administraciones Públicas:</x:v>
      </x:c>
      <x:c r="N18" s="18" t="str">
        <x:v>Únicamente pone fin al procedimiento la resolución motivada del mismo.</x:v>
      </x:c>
      <x:c r="O18" s="18" t="str">
        <x:v>En un procedimiento sancionador, si el infractor reconoce su responsabilidad, se podrá resolver eI procedimiento con la imposición de la sanción que proceda.</x:v>
      </x:c>
      <x:c r="P18" s="18" t="str">
        <x:v>EI desistimiento del procedimiento no pone fin al mismo, ya que será impulsado hasta su resolución por la Administración Pública competente.</x:v>
      </x:c>
      <x:c r="Q18" s="18" t="str">
        <x:v>Cuando la sanción tenga únicamente carácter pecuniario, eI órgano competente para resolver ei procedimiento aplicará reducciones de, al menos, eI 60 % sobre el importe de la sanción propuesta.</x:v>
      </x:c>
      <x:c r="R18" s="18" t="str">
        <x:v>G17</x:v>
      </x:c>
      <x:c r="S18" s="18" t="n">
        <x:v>17</x:v>
      </x:c>
      <x:c r="T18" s="18" t="str">
        <x:v>Temario general</x:v>
      </x:c>
      <x:c r="U18" s="18" t="str">
        <x:v>Las fases del procedimiento administrativo: Iniciación, ordenación, instrucción y finalización. La ejecución de los actos y resoluciones administrativas.</x:v>
      </x:c>
      <x:c r="V18" s="18" t="str">
        <x:v>G17</x:v>
      </x:c>
      <x:c r="W18" s="18" t="str"/>
      <x:c r="X18" s="18" t="str"/>
      <x:c r="Y18" s="18" t="str">
        <x:v>Procedimientos</x:v>
      </x:c>
      <x:c r="Z18" s="18" t="str">
        <x:v>Media</x:v>
      </x:c>
      <x:c r="AA18" s="18" t="str">
        <x:v>G17</x:v>
      </x:c>
      <x:c r="AB18" s="18" t="str"/>
      <x:c r="AC18" s="18" t="str"/>
      <x:c r="AD18" s="18" t="str">
        <x:v>No</x:v>
      </x:c>
      <x:c r="AE18" s="18" t="str">
        <x:v>Teórico</x:v>
      </x:c>
      <x:c r="AF18" s="18" t="str">
        <x:v>B</x:v>
      </x:c>
      <x:c r="AG18" s="18" t="str">
        <x:v>B</x:v>
      </x:c>
      <x:c r="AH18" s="18" t="str">
        <x:v>Válida</x:v>
      </x:c>
      <x:c r="AI18" s="18" t="str">
        <x:v>01. Información oficial de la oposición\Exámenes oficiales anteriores\2024 Convocatoria 2023 - Cuestionario libre Modelo A.pdf</x:v>
      </x:c>
      <x:c r="AJ18" s="18" t="str">
        <x:v>https://www.seg-social.es/wps/portal/wss/internet/InformacionUtil/9950/88beb45d-ca83-4bab-8162-f94ef2894562</x:v>
      </x:c>
      <x:c r="AK18" s="18" t="str">
        <x:v>OCR Windows es-ES sobre PDF oficial</x:v>
      </x:c>
      <x:c r="AL18" s="18" t="n">
        <x:v>100</x:v>
      </x:c>
      <x:c r="AM18" s="18" t="str">
        <x:v>Alta</x:v>
      </x:c>
      <x:c r="AN18" s="18" t="str">
        <x:v>Regla jurídica determinista</x:v>
      </x:c>
      <x:c r="AO18" s="18" t="str">
        <x:v>2024_conv2023_ordinario_A-T17</x:v>
      </x:c>
      <x:c r="AP18" s="18" t="n">
        <x:v>1</x:v>
      </x:c>
    </x:row>
    <x:row r="19">
      <x:c r="A19" s="18" t="str">
        <x:v>2024_conv2023_ordinario_A-T18</x:v>
      </x:c>
      <x:c r="B19" s="18" t="n">
        <x:v>2024</x:v>
      </x:c>
      <x:c r="C19" s="18" t="n">
        <x:v>2023</x:v>
      </x:c>
      <x:c r="D19" s="28" t="n">
        <x:v>45626</x:v>
      </x:c>
      <x:c r="E19" s="18" t="str">
        <x:v>Acceso libre</x:v>
      </x:c>
      <x:c r="F19" s="18" t="str">
        <x:v>Primera parte</x:v>
      </x:c>
      <x:c r="G19" s="18" t="str">
        <x:v>A</x:v>
      </x:c>
      <x:c r="H19" s="18" t="str">
        <x:v>A/B</x:v>
      </x:c>
      <x:c r="I19" s="18" t="str">
        <x:v>Sí</x:v>
      </x:c>
      <x:c r="J19" s="18" t="str">
        <x:v>Modelo A usado como variante canónica; el modelo B oficial está archivado y permuta el orden y/o las opciones.</x:v>
      </x:c>
      <x:c r="K19" s="18" t="n">
        <x:v>18</x:v>
      </x:c>
      <x:c r="L19" s="18" t="str">
        <x:v>No</x:v>
      </x:c>
      <x:c r="M19" s="18" t="str">
        <x:v>En virtud del artículo 122 de la Ley 39/2015, de I de octubre, del Procedimiento Administrativo Común de las Administraciones Públicas:</x:v>
      </x:c>
      <x:c r="N19" s="18" t="str">
        <x:v>EI plazo para la interposición del recurso de alzada será de un mes, si el acto fuera expreso.</x:v>
      </x:c>
      <x:c r="O19" s="18" t="str">
        <x:v>Si el acto no fuera expreso, no se podrá interponer recurso de alzada.</x:v>
      </x:c>
      <x:c r="P19" s="18" t="str">
        <x:v>EI plazo para la interposición del recurso de alzada será de tres meses, si eI acto no Lera expreso.</x:v>
      </x:c>
      <x:c r="Q19" s="18" t="str">
        <x:v>EI plazo para la interposición del recurso de alzada será de tres meses, si el acto fuera expreso.</x:v>
      </x:c>
      <x:c r="R19" s="18" t="str">
        <x:v>G18</x:v>
      </x:c>
      <x:c r="S19" s="18" t="n">
        <x:v>18</x:v>
      </x:c>
      <x:c r="T19" s="18" t="str">
        <x:v>Temario general</x:v>
      </x:c>
      <x:c r="U19" s="18" t="str">
        <x:v>Los recursos administrativos: concepto y clases. Recurso de alzada. Recurso potestativo de reposición. Recurso extraordinario de revisión. La jurisdicción contencioso-administrativa: objeto y plazos de interposición del recurso contencioso administrativo.</x:v>
      </x:c>
      <x:c r="V19" s="18" t="str">
        <x:v>G18</x:v>
      </x:c>
      <x:c r="W19" s="18" t="str">
        <x:v>Ley 39/2015</x:v>
      </x:c>
      <x:c r="X19" s="18" t="str">
        <x:v>122</x:v>
      </x:c>
      <x:c r="Y19" s="18" t="str">
        <x:v>Procedimientos</x:v>
      </x:c>
      <x:c r="Z19" s="18" t="str">
        <x:v>Media</x:v>
      </x:c>
      <x:c r="AA19" s="18" t="str">
        <x:v>G18</x:v>
      </x:c>
      <x:c r="AB19" s="18" t="str"/>
      <x:c r="AC19" s="18" t="str"/>
      <x:c r="AD19" s="18" t="str">
        <x:v>No</x:v>
      </x:c>
      <x:c r="AE19" s="18" t="str">
        <x:v>Teórico</x:v>
      </x:c>
      <x:c r="AF19" s="18" t="str">
        <x:v>A</x:v>
      </x:c>
      <x:c r="AG19" s="18" t="str">
        <x:v>A</x:v>
      </x:c>
      <x:c r="AH19" s="18" t="str">
        <x:v>Válida</x:v>
      </x:c>
      <x:c r="AI19" s="18" t="str">
        <x:v>01. Información oficial de la oposición\Exámenes oficiales anteriores\2024 Convocatoria 2023 - Cuestionario libre Modelo A.pdf</x:v>
      </x:c>
      <x:c r="AJ19" s="18" t="str">
        <x:v>https://www.seg-social.es/wps/portal/wss/internet/InformacionUtil/9950/88beb45d-ca83-4bab-8162-f94ef2894562</x:v>
      </x:c>
      <x:c r="AK19" s="18" t="str">
        <x:v>OCR Windows es-ES sobre PDF oficial</x:v>
      </x:c>
      <x:c r="AL19" s="18" t="n">
        <x:v>100</x:v>
      </x:c>
      <x:c r="AM19" s="18" t="str">
        <x:v>Alta</x:v>
      </x:c>
      <x:c r="AN19" s="18" t="str">
        <x:v>Regla jurídica determinista</x:v>
      </x:c>
      <x:c r="AO19" s="18" t="str">
        <x:v>2024_conv2023_ordinario_A-T18</x:v>
      </x:c>
      <x:c r="AP19" s="18" t="n">
        <x:v>1</x:v>
      </x:c>
    </x:row>
    <x:row r="20">
      <x:c r="A20" s="18" t="str">
        <x:v>2024_conv2023_ordinario_A-T19</x:v>
      </x:c>
      <x:c r="B20" s="18" t="n">
        <x:v>2024</x:v>
      </x:c>
      <x:c r="C20" s="18" t="n">
        <x:v>2023</x:v>
      </x:c>
      <x:c r="D20" s="28" t="n">
        <x:v>45626</x:v>
      </x:c>
      <x:c r="E20" s="18" t="str">
        <x:v>Acceso libre</x:v>
      </x:c>
      <x:c r="F20" s="18" t="str">
        <x:v>Primera parte</x:v>
      </x:c>
      <x:c r="G20" s="18" t="str">
        <x:v>A</x:v>
      </x:c>
      <x:c r="H20" s="18" t="str">
        <x:v>A/B</x:v>
      </x:c>
      <x:c r="I20" s="18" t="str">
        <x:v>Sí</x:v>
      </x:c>
      <x:c r="J20" s="18" t="str">
        <x:v>Modelo A usado como variante canónica; el modelo B oficial está archivado y permuta el orden y/o las opciones.</x:v>
      </x:c>
      <x:c r="K20" s="18" t="n">
        <x:v>19</x:v>
      </x:c>
      <x:c r="L20" s="18" t="str">
        <x:v>No</x:v>
      </x:c>
      <x:c r="M20" s="18" t="str">
        <x:v>Según el artículo 8 del Real Decreto Legislativo 5/2015, de 30 de octubre, por el que se aprueba el texto refundido de la Ley del Estatuto Básico del Empleado Público (TREBEP) ¿quiénes desempeñan funciones retribuidas en las Administraciones Públicas al servicio de los intereses generales?</x:v>
      </x:c>
      <x:c r="N20" s="18" t="str">
        <x:v>Los empleados públicos.</x:v>
      </x:c>
      <x:c r="O20" s="18" t="str">
        <x:v>Los funcionarios de carrera y los funcionarios interinos, exclusivamente.</x:v>
      </x:c>
      <x:c r="P20" s="18" t="str">
        <x:v>Únicamente los funcionarios de carrera y el personal laboral por tiempo indefinido.</x:v>
      </x:c>
      <x:c r="Q20" s="18" t="str">
        <x:v>Los funcionarios de carrera, los funcionarios interinos y eI personal laboral, exclusivamente.</x:v>
      </x:c>
      <x:c r="R20" s="18" t="str">
        <x:v>G19</x:v>
      </x:c>
      <x:c r="S20" s="18" t="n">
        <x:v>19</x:v>
      </x:c>
      <x:c r="T20" s="18" t="str">
        <x:v>Temario general</x:v>
      </x:c>
      <x:c r="U20" s="18" t="str">
        <x:v>El personal al servicio de las Administraciones Públicas: concepto y clases. Derechos y deberes de los funcionarios. La carrera administrativa. Las incompatibilidades. Régimen disciplinario: faltas, sanciones y procedimiento.</x:v>
      </x:c>
      <x:c r="V20" s="18" t="str">
        <x:v>G19</x:v>
      </x:c>
      <x:c r="W20" s="18" t="str">
        <x:v>Real Decreto Legislativo 5/2015</x:v>
      </x:c>
      <x:c r="X20" s="18" t="str">
        <x:v>8</x:v>
      </x:c>
      <x:c r="Y20" s="18" t="str">
        <x:v>Artículos literales</x:v>
      </x:c>
      <x:c r="Z20" s="18" t="str">
        <x:v>Media</x:v>
      </x:c>
      <x:c r="AA20" s="18" t="str">
        <x:v>G19</x:v>
      </x:c>
      <x:c r="AB20" s="18" t="str"/>
      <x:c r="AC20" s="18" t="str"/>
      <x:c r="AD20" s="18" t="str">
        <x:v>No</x:v>
      </x:c>
      <x:c r="AE20" s="18" t="str">
        <x:v>Teórico</x:v>
      </x:c>
      <x:c r="AF20" s="18" t="str">
        <x:v>A</x:v>
      </x:c>
      <x:c r="AG20" s="18" t="str">
        <x:v>A</x:v>
      </x:c>
      <x:c r="AH20" s="18" t="str">
        <x:v>Válida</x:v>
      </x:c>
      <x:c r="AI20" s="18" t="str">
        <x:v>01. Información oficial de la oposición\Exámenes oficiales anteriores\2024 Convocatoria 2023 - Cuestionario libre Modelo A.pdf</x:v>
      </x:c>
      <x:c r="AJ20" s="18" t="str">
        <x:v>https://www.seg-social.es/wps/portal/wss/internet/InformacionUtil/9950/88beb45d-ca83-4bab-8162-f94ef2894562</x:v>
      </x:c>
      <x:c r="AK20" s="18" t="str">
        <x:v>OCR Windows es-ES sobre PDF oficial</x:v>
      </x:c>
      <x:c r="AL20" s="18" t="n">
        <x:v>100</x:v>
      </x:c>
      <x:c r="AM20" s="18" t="str">
        <x:v>Alta</x:v>
      </x:c>
      <x:c r="AN20" s="18" t="str">
        <x:v>Regla jurídica determinista</x:v>
      </x:c>
      <x:c r="AO20" s="18" t="str">
        <x:v>2024_conv2023_ordinario_A-T19</x:v>
      </x:c>
      <x:c r="AP20" s="18" t="n">
        <x:v>1</x:v>
      </x:c>
    </x:row>
    <x:row r="21">
      <x:c r="A21" s="18" t="str">
        <x:v>2024_conv2023_ordinario_A-T20</x:v>
      </x:c>
      <x:c r="B21" s="18" t="n">
        <x:v>2024</x:v>
      </x:c>
      <x:c r="C21" s="18" t="n">
        <x:v>2023</x:v>
      </x:c>
      <x:c r="D21" s="28" t="n">
        <x:v>45626</x:v>
      </x:c>
      <x:c r="E21" s="18" t="str">
        <x:v>Acceso libre</x:v>
      </x:c>
      <x:c r="F21" s="18" t="str">
        <x:v>Primera parte</x:v>
      </x:c>
      <x:c r="G21" s="18" t="str">
        <x:v>A</x:v>
      </x:c>
      <x:c r="H21" s="18" t="str">
        <x:v>A/B</x:v>
      </x:c>
      <x:c r="I21" s="18" t="str">
        <x:v>Sí</x:v>
      </x:c>
      <x:c r="J21" s="18" t="str">
        <x:v>Modelo A usado como variante canónica; el modelo B oficial está archivado y permuta el orden y/o las opciones.</x:v>
      </x:c>
      <x:c r="K21" s="18" t="n">
        <x:v>20</x:v>
      </x:c>
      <x:c r="L21" s="18" t="str">
        <x:v>No</x:v>
      </x:c>
      <x:c r="M21" s="18" t="str">
        <x:v>De acuerdo con e' artículo II de la Ley Orgánica 4/2001, de 12 de noviembre, reguladora del Derecho de Petición, una vez admitida a trámite una petición, la autoridad u órgano competente vendrán obligados a contestar y a notificar la contestación en el plazo máximo de:</x:v>
      </x:c>
      <x:c r="N21" s="18" t="str">
        <x:v>Seis meses a contar desde la fecha de su presentación.</x:v>
      </x:c>
      <x:c r="O21" s="18" t="str">
        <x:v>Un mes a contar desde la fecha de su presentación.</x:v>
      </x:c>
      <x:c r="P21" s="18" t="str">
        <x:v>Dos meses a contar desde la fecha de su presentación.</x:v>
      </x:c>
      <x:c r="Q21" s="18" t="str">
        <x:v>Tres meses a contar desde la fecha de su presentación.</x:v>
      </x:c>
      <x:c r="R21" s="18" t="str">
        <x:v>G20</x:v>
      </x:c>
      <x:c r="S21" s="18" t="n">
        <x:v>20</x:v>
      </x:c>
      <x:c r="T21" s="18" t="str">
        <x:v>Temario general</x:v>
      </x:c>
      <x:c r="U21" s="18" t="str">
        <x:v>Atención al público. Atención de personas con discapacidad. Los servicios de información administrativa. Información general y particular al ciudadano. Iniciativas. Reclamaciones. Quejas. Peticiones.</x:v>
      </x:c>
      <x:c r="V21" s="18" t="str">
        <x:v>G20</x:v>
      </x:c>
      <x:c r="W21" s="18" t="str">
        <x:v>Ley Orgánica 4/2001</x:v>
      </x:c>
      <x:c r="X21" s="18" t="str"/>
      <x:c r="Y21" s="18" t="str">
        <x:v>Plazos</x:v>
      </x:c>
      <x:c r="Z21" s="18" t="str">
        <x:v>Media</x:v>
      </x:c>
      <x:c r="AA21" s="18" t="str">
        <x:v>G20</x:v>
      </x:c>
      <x:c r="AB21" s="18" t="str"/>
      <x:c r="AC21" s="18" t="str"/>
      <x:c r="AD21" s="18" t="str">
        <x:v>No</x:v>
      </x:c>
      <x:c r="AE21" s="18" t="str">
        <x:v>Teórico</x:v>
      </x:c>
      <x:c r="AF21" s="18" t="str">
        <x:v>D</x:v>
      </x:c>
      <x:c r="AG21" s="18" t="str">
        <x:v>D</x:v>
      </x:c>
      <x:c r="AH21" s="18" t="str">
        <x:v>Válida</x:v>
      </x:c>
      <x:c r="AI21" s="18" t="str">
        <x:v>01. Información oficial de la oposición\Exámenes oficiales anteriores\2024 Convocatoria 2023 - Cuestionario libre Modelo A.pdf</x:v>
      </x:c>
      <x:c r="AJ21" s="18" t="str">
        <x:v>https://www.seg-social.es/wps/portal/wss/internet/InformacionUtil/9950/88beb45d-ca83-4bab-8162-f94ef2894562</x:v>
      </x:c>
      <x:c r="AK21" s="18" t="str">
        <x:v>OCR Windows es-ES sobre PDF oficial</x:v>
      </x:c>
      <x:c r="AL21" s="18" t="n">
        <x:v>100</x:v>
      </x:c>
      <x:c r="AM21" s="18" t="str">
        <x:v>Alta</x:v>
      </x:c>
      <x:c r="AN21" s="18" t="str">
        <x:v>Regla jurídica determinista</x:v>
      </x:c>
      <x:c r="AO21" s="18" t="str">
        <x:v>2024_conv2023_ordinario_A-T20</x:v>
      </x:c>
      <x:c r="AP21" s="18" t="n">
        <x:v>1</x:v>
      </x:c>
    </x:row>
    <x:row r="22">
      <x:c r="A22" s="18" t="str">
        <x:v>2024_conv2023_ordinario_A-T21</x:v>
      </x:c>
      <x:c r="B22" s="18" t="n">
        <x:v>2024</x:v>
      </x:c>
      <x:c r="C22" s="18" t="n">
        <x:v>2023</x:v>
      </x:c>
      <x:c r="D22" s="28" t="n">
        <x:v>45626</x:v>
      </x:c>
      <x:c r="E22" s="18" t="str">
        <x:v>Acceso libre</x:v>
      </x:c>
      <x:c r="F22" s="18" t="str">
        <x:v>Primera parte</x:v>
      </x:c>
      <x:c r="G22" s="18" t="str">
        <x:v>A</x:v>
      </x:c>
      <x:c r="H22" s="18" t="str">
        <x:v>A/B</x:v>
      </x:c>
      <x:c r="I22" s="18" t="str">
        <x:v>Sí</x:v>
      </x:c>
      <x:c r="J22" s="18" t="str">
        <x:v>Modelo A usado como variante canónica; el modelo B oficial está archivado y permuta el orden y/o las opciones.</x:v>
      </x:c>
      <x:c r="K22" s="18" t="n">
        <x:v>21</x:v>
      </x:c>
      <x:c r="L22" s="18" t="str">
        <x:v>No</x:v>
      </x:c>
      <x:c r="M22" s="18" t="str">
        <x:v>Según eI artículo 10 de la Ley 4/2023, de 28 de febrero, para la igualdad real y efectiva de las personas trans y para la garantía de los derechos de las personas LGTBI, la Estrategia estatal para la igualdad de trato y no discriminación de las personas LGTBI será aprobada mediante:</x:v>
      </x:c>
      <x:c r="N22" s="18" t="str">
        <x:v>Acuerdo del Consejo de Ministros. previo informe favorable de la Conferencia Sectorial de Igualdad.</x:v>
      </x:c>
      <x:c r="O22" s="18" t="str">
        <x:v>Resolución del Ministerio competente en materia de igualdad, previo informe favorable de la Conferencia Sectorial de Igualdad.</x:v>
      </x:c>
      <x:c r="P22" s="18" t="str">
        <x:v>Acuerdo del Consejo de Ministros, previo informe favorable del Ministerio competente en materia de igualdad.</x:v>
      </x:c>
      <x:c r="Q22" s="18" t="str">
        <x:v>Acuerdo del Consejo de Ministros, previo informe favorable del Consejo de Participación de las Personas LGTBI.</x:v>
      </x:c>
      <x:c r="R22" s="18" t="str">
        <x:v>G21</x:v>
      </x:c>
      <x:c r="S22" s="18" t="n">
        <x:v>21</x:v>
      </x:c>
      <x:c r="T22" s="18" t="str">
        <x:v>Temario general</x:v>
      </x:c>
      <x:c r="U22" s="18" t="str">
        <x:v>Políticas de igualdad y contra la violencia de género. Discapacidad y dependencia: régimen jurídico. La Ley 4/2023, de 28 de febrero, para la igualdad real y efectiva de las personas trans y para la garantía de los derechos de las personas LGTBI.</x:v>
      </x:c>
      <x:c r="V22" s="18" t="str">
        <x:v>G21</x:v>
      </x:c>
      <x:c r="W22" s="18" t="str">
        <x:v>Ley 4/2023</x:v>
      </x:c>
      <x:c r="X22" s="18" t="str">
        <x:v>10</x:v>
      </x:c>
      <x:c r="Y22" s="18" t="str">
        <x:v>Artículos literales</x:v>
      </x:c>
      <x:c r="Z22" s="18" t="str">
        <x:v>Media</x:v>
      </x:c>
      <x:c r="AA22" s="18" t="str">
        <x:v>G21</x:v>
      </x:c>
      <x:c r="AB22" s="18" t="str"/>
      <x:c r="AC22" s="18" t="str"/>
      <x:c r="AD22" s="18" t="str">
        <x:v>No</x:v>
      </x:c>
      <x:c r="AE22" s="18" t="str">
        <x:v>Teórico</x:v>
      </x:c>
      <x:c r="AF22" s="18" t="str">
        <x:v>A</x:v>
      </x:c>
      <x:c r="AG22" s="18" t="str">
        <x:v>A</x:v>
      </x:c>
      <x:c r="AH22" s="18" t="str">
        <x:v>Válida</x:v>
      </x:c>
      <x:c r="AI22" s="18" t="str">
        <x:v>01. Información oficial de la oposición\Exámenes oficiales anteriores\2024 Convocatoria 2023 - Cuestionario libre Modelo A.pdf</x:v>
      </x:c>
      <x:c r="AJ22" s="18" t="str">
        <x:v>https://www.seg-social.es/wps/portal/wss/internet/InformacionUtil/9950/88beb45d-ca83-4bab-8162-f94ef2894562</x:v>
      </x:c>
      <x:c r="AK22" s="18" t="str">
        <x:v>OCR Windows es-ES sobre PDF oficial</x:v>
      </x:c>
      <x:c r="AL22" s="18" t="n">
        <x:v>100</x:v>
      </x:c>
      <x:c r="AM22" s="18" t="str">
        <x:v>Alta</x:v>
      </x:c>
      <x:c r="AN22" s="18" t="str">
        <x:v>Regla jurídica determinista</x:v>
      </x:c>
      <x:c r="AO22" s="18" t="str">
        <x:v>2024_conv2023_ordinario_A-T21</x:v>
      </x:c>
      <x:c r="AP22" s="18" t="n">
        <x:v>1</x:v>
      </x:c>
    </x:row>
    <x:row r="23">
      <x:c r="A23" s="18" t="str">
        <x:v>2024_conv2023_ordinario_A-T22</x:v>
      </x:c>
      <x:c r="B23" s="18" t="n">
        <x:v>2024</x:v>
      </x:c>
      <x:c r="C23" s="18" t="n">
        <x:v>2023</x:v>
      </x:c>
      <x:c r="D23" s="28" t="n">
        <x:v>45626</x:v>
      </x:c>
      <x:c r="E23" s="18" t="str">
        <x:v>Acceso libre</x:v>
      </x:c>
      <x:c r="F23" s="18" t="str">
        <x:v>Primera parte</x:v>
      </x:c>
      <x:c r="G23" s="18" t="str">
        <x:v>A</x:v>
      </x:c>
      <x:c r="H23" s="18" t="str">
        <x:v>A/B</x:v>
      </x:c>
      <x:c r="I23" s="18" t="str">
        <x:v>Sí</x:v>
      </x:c>
      <x:c r="J23" s="18" t="str">
        <x:v>Modelo A usado como variante canónica; el modelo B oficial está archivado y permuta el orden y/o las opciones.</x:v>
      </x:c>
      <x:c r="K23" s="18" t="n">
        <x:v>22</x:v>
      </x:c>
      <x:c r="L23" s="18" t="str">
        <x:v>No</x:v>
      </x:c>
      <x:c r="M23" s="18" t="str">
        <x:v>La Ley Orgánica 312018, de 5 de diciembre, de Protección de Datos Personales y garantía de los derechos digitales establece en eI artículo 13 y siguientes que serán derechos de las personas o afectados:</x:v>
      </x:c>
      <x:c r="N23" s="18" t="str">
        <x:v>Derecho a obtener y utilizar medios de firma electrónica, derecho a ser asistidos en el uso de medios electrónicos, derecho de acceso y derecho de rectificación.</x:v>
      </x:c>
      <x:c r="O23" s="18" t="str">
        <x:v>Derecho de reafirmación, derecho a la conservación, derecho a la ampliación del tratamiento y derecho de cesión.</x:v>
      </x:c>
      <x:c r="P23" s="18" t="str">
        <x:v>Derecho de acceso, derecho de rectificación, derecho de supresión, derecho a la limitación del tratamiento, derecho a la portabilidad y derecho de oposición.</x:v>
      </x:c>
      <x:c r="Q23" s="18" t="str">
        <x:v>Únicamente están reconocidos como derechos el acceso y la oposición, no siendo posible rectificar sus datos ni tampoco suprimirlos.</x:v>
      </x:c>
      <x:c r="R23" s="18" t="str">
        <x:v>G22</x:v>
      </x:c>
      <x:c r="S23" s="18" t="n">
        <x:v>22</x:v>
      </x:c>
      <x:c r="T23" s="18" t="str">
        <x:v>Temario general</x:v>
      </x:c>
      <x:c r="U23" s="18" t="str">
        <x:v>Normativa reguladora de la protección de datos personales: principios, derechos de las personas y ejercicios de los derechos.</x:v>
      </x:c>
      <x:c r="V23" s="18" t="str">
        <x:v>G22</x:v>
      </x:c>
      <x:c r="W23" s="18" t="str"/>
      <x:c r="X23" s="18" t="str">
        <x:v>13</x:v>
      </x:c>
      <x:c r="Y23" s="18" t="str">
        <x:v>Artículos literales</x:v>
      </x:c>
      <x:c r="Z23" s="18" t="str">
        <x:v>Media</x:v>
      </x:c>
      <x:c r="AA23" s="18" t="str">
        <x:v>G22</x:v>
      </x:c>
      <x:c r="AB23" s="18" t="str"/>
      <x:c r="AC23" s="18" t="str"/>
      <x:c r="AD23" s="18" t="str">
        <x:v>No</x:v>
      </x:c>
      <x:c r="AE23" s="18" t="str">
        <x:v>Teórico</x:v>
      </x:c>
      <x:c r="AF23" s="18" t="str">
        <x:v>C</x:v>
      </x:c>
      <x:c r="AG23" s="18" t="str">
        <x:v>C</x:v>
      </x:c>
      <x:c r="AH23" s="18" t="str">
        <x:v>Válida</x:v>
      </x:c>
      <x:c r="AI23" s="18" t="str">
        <x:v>01. Información oficial de la oposición\Exámenes oficiales anteriores\2024 Convocatoria 2023 - Cuestionario libre Modelo A.pdf</x:v>
      </x:c>
      <x:c r="AJ23" s="18" t="str">
        <x:v>https://www.seg-social.es/wps/portal/wss/internet/InformacionUtil/9950/88beb45d-ca83-4bab-8162-f94ef2894562</x:v>
      </x:c>
      <x:c r="AK23" s="18" t="str">
        <x:v>OCR Windows es-ES sobre PDF oficial</x:v>
      </x:c>
      <x:c r="AL23" s="18" t="n">
        <x:v>100</x:v>
      </x:c>
      <x:c r="AM23" s="18" t="str">
        <x:v>Alta</x:v>
      </x:c>
      <x:c r="AN23" s="18" t="str">
        <x:v>Regla jurídica determinista</x:v>
      </x:c>
      <x:c r="AO23" s="18" t="str">
        <x:v>2024_conv2023_ordinario_A-T22</x:v>
      </x:c>
      <x:c r="AP23" s="18" t="n">
        <x:v>1</x:v>
      </x:c>
    </x:row>
    <x:row r="24">
      <x:c r="A24" s="18" t="str">
        <x:v>2024_conv2023_ordinario_A-T23</x:v>
      </x:c>
      <x:c r="B24" s="18" t="n">
        <x:v>2024</x:v>
      </x:c>
      <x:c r="C24" s="18" t="n">
        <x:v>2023</x:v>
      </x:c>
      <x:c r="D24" s="28" t="n">
        <x:v>45626</x:v>
      </x:c>
      <x:c r="E24" s="18" t="str">
        <x:v>Acceso libre</x:v>
      </x:c>
      <x:c r="F24" s="18" t="str">
        <x:v>Primera parte</x:v>
      </x:c>
      <x:c r="G24" s="18" t="str">
        <x:v>A</x:v>
      </x:c>
      <x:c r="H24" s="18" t="str">
        <x:v>A/B</x:v>
      </x:c>
      <x:c r="I24" s="18" t="str">
        <x:v>Sí</x:v>
      </x:c>
      <x:c r="J24" s="18" t="str">
        <x:v>Modelo A usado como variante canónica; el modelo B oficial está archivado y permuta el orden y/o las opciones.</x:v>
      </x:c>
      <x:c r="K24" s="18" t="n">
        <x:v>23</x:v>
      </x:c>
      <x:c r="L24" s="18" t="str">
        <x:v>No</x:v>
      </x:c>
      <x:c r="M24" s="18" t="str">
        <x:v>Según eI apartado 1 del artículo 53 del Real Decreto 203/2021, de 30 de marzo, por el que se aprueba el Reglamento de actuación y funcionamiento del sector público por medios electrónicos, los documentos presentados por eI interesado en soporte papel que no puedan serle devueltos en el momento de su presentación, una vez digitalizados serán conservados a su disposición, para que pueda recogerlos, durante:</x:v>
      </x:c>
      <x:c r="N24" s="18" t="str">
        <x:v>Seis meses, salvo que reglamentariamente la Administración correspondiente establezca un plazo mayor.</x:v>
      </x:c>
      <x:c r="O24" s="18" t="str">
        <x:v>Tres meses, en todo caso.</x:v>
      </x:c>
      <x:c r="P24" s="18" t="str">
        <x:v>Un año, salvo que reglamentariamente la Administración correspondiente establezca un p\azo mayor.</x:v>
      </x:c>
      <x:c r="Q24" s="18" t="str">
        <x:v>Seis meses, en todo caso.</x:v>
      </x:c>
      <x:c r="R24" s="18" t="str">
        <x:v>G23</x:v>
      </x:c>
      <x:c r="S24" s="18" t="n">
        <x:v>23</x:v>
      </x:c>
      <x:c r="T24" s="18" t="str">
        <x:v>Temario general</x:v>
      </x:c>
      <x:c r="U24" s="18" t="str">
        <x:v>El funcionamiento electrónico del sector público. Derecho y obligación de relacionarse electrónicamente con las Administraciones Públicas, registros y archivo electrónico.</x:v>
      </x:c>
      <x:c r="V24" s="18" t="str">
        <x:v>G23</x:v>
      </x:c>
      <x:c r="W24" s="18" t="str">
        <x:v>Real Decreto 203/2021</x:v>
      </x:c>
      <x:c r="X24" s="18" t="str">
        <x:v>53</x:v>
      </x:c>
      <x:c r="Y24" s="18" t="str">
        <x:v>Artículos literales</x:v>
      </x:c>
      <x:c r="Z24" s="18" t="str">
        <x:v>Alta</x:v>
      </x:c>
      <x:c r="AA24" s="18" t="str">
        <x:v>G23</x:v>
      </x:c>
      <x:c r="AB24" s="18" t="str"/>
      <x:c r="AC24" s="18" t="str"/>
      <x:c r="AD24" s="18" t="str">
        <x:v>No</x:v>
      </x:c>
      <x:c r="AE24" s="18" t="str">
        <x:v>Teórico</x:v>
      </x:c>
      <x:c r="AF24" s="18" t="str">
        <x:v>A</x:v>
      </x:c>
      <x:c r="AG24" s="18" t="str">
        <x:v>A</x:v>
      </x:c>
      <x:c r="AH24" s="18" t="str">
        <x:v>Válida</x:v>
      </x:c>
      <x:c r="AI24" s="18" t="str">
        <x:v>01. Información oficial de la oposición\Exámenes oficiales anteriores\2024 Convocatoria 2023 - Cuestionario libre Modelo A.pdf</x:v>
      </x:c>
      <x:c r="AJ24" s="18" t="str">
        <x:v>https://www.seg-social.es/wps/portal/wss/internet/InformacionUtil/9950/88beb45d-ca83-4bab-8162-f94ef2894562</x:v>
      </x:c>
      <x:c r="AK24" s="18" t="str">
        <x:v>OCR Windows es-ES sobre PDF oficial</x:v>
      </x:c>
      <x:c r="AL24" s="18" t="n">
        <x:v>100</x:v>
      </x:c>
      <x:c r="AM24" s="18" t="str">
        <x:v>Alta</x:v>
      </x:c>
      <x:c r="AN24" s="18" t="str">
        <x:v>Regla jurídica determinista</x:v>
      </x:c>
      <x:c r="AO24" s="18" t="str">
        <x:v>2024_conv2023_ordinario_A-T23</x:v>
      </x:c>
      <x:c r="AP24" s="18" t="n">
        <x:v>1</x:v>
      </x:c>
    </x:row>
    <x:row r="25">
      <x:c r="A25" s="18" t="str">
        <x:v>2024_conv2023_ordinario_A-T24</x:v>
      </x:c>
      <x:c r="B25" s="18" t="n">
        <x:v>2024</x:v>
      </x:c>
      <x:c r="C25" s="18" t="n">
        <x:v>2023</x:v>
      </x:c>
      <x:c r="D25" s="28" t="n">
        <x:v>45626</x:v>
      </x:c>
      <x:c r="E25" s="18" t="str">
        <x:v>Acceso libre</x:v>
      </x:c>
      <x:c r="F25" s="18" t="str">
        <x:v>Primera parte</x:v>
      </x:c>
      <x:c r="G25" s="18" t="str">
        <x:v>A</x:v>
      </x:c>
      <x:c r="H25" s="18" t="str">
        <x:v>A/B</x:v>
      </x:c>
      <x:c r="I25" s="18" t="str">
        <x:v>Sí</x:v>
      </x:c>
      <x:c r="J25" s="18" t="str">
        <x:v>Modelo A usado como variante canónica; el modelo B oficial está archivado y permuta el orden y/o las opciones.</x:v>
      </x:c>
      <x:c r="K25" s="18" t="n">
        <x:v>24</x:v>
      </x:c>
      <x:c r="L25" s="18" t="str">
        <x:v>No</x:v>
      </x:c>
      <x:c r="M25" s="18" t="str">
        <x:v>Según se establece en el artículo 41 de la Constitución Española, los poderes públicos mantendrán un régimen público de Seguridad Social para todos los ciudadanos que garantice la asistencia y prestaciones sociales suficientes ante situaciones de necesidad:</x:v>
      </x:c>
      <x:c r="N25" s="18" t="str">
        <x:v>Especialmente en caso de discapacidad.</x:v>
      </x:c>
      <x:c r="O25" s="18" t="str">
        <x:v>Especialmente en caso de desempleo.</x:v>
      </x:c>
      <x:c r="P25" s="18" t="str">
        <x:v>Especialmente en caso de maternidad.</x:v>
      </x:c>
      <x:c r="Q25" s="18" t="str">
        <x:v>Especialmente en caso de incapacidad,</x:v>
      </x:c>
      <x:c r="R25" s="18" t="str">
        <x:v>S01</x:v>
      </x:c>
      <x:c r="S25" s="18" t="n">
        <x:v>1</x:v>
      </x:c>
      <x:c r="T25" s="18" t="str">
        <x:v>Temario específico Seguridad Social</x:v>
      </x:c>
      <x:c r="U25" s="18" t="str">
        <x:v>La Seguridad Social en la Constitución española de 1978. El texto refundido de la Ley General de la Seguridad Social.</x:v>
      </x:c>
      <x:c r="V25" s="18" t="str">
        <x:v>S01</x:v>
      </x:c>
      <x:c r="W25" s="18" t="str">
        <x:v>Constitución Española</x:v>
      </x:c>
      <x:c r="X25" s="18" t="str">
        <x:v>41</x:v>
      </x:c>
      <x:c r="Y25" s="18" t="str">
        <x:v>Artículos literales</x:v>
      </x:c>
      <x:c r="Z25" s="18" t="str">
        <x:v>Media</x:v>
      </x:c>
      <x:c r="AA25" s="18" t="str">
        <x:v>S01</x:v>
      </x:c>
      <x:c r="AB25" s="18" t="str"/>
      <x:c r="AC25" s="18" t="str"/>
      <x:c r="AD25" s="18" t="str">
        <x:v>No</x:v>
      </x:c>
      <x:c r="AE25" s="18" t="str">
        <x:v>Teórico</x:v>
      </x:c>
      <x:c r="AF25" s="18" t="str">
        <x:v>B</x:v>
      </x:c>
      <x:c r="AG25" s="18" t="str">
        <x:v>B</x:v>
      </x:c>
      <x:c r="AH25" s="18" t="str">
        <x:v>Válida</x:v>
      </x:c>
      <x:c r="AI25" s="18" t="str">
        <x:v>01. Información oficial de la oposición\Exámenes oficiales anteriores\2024 Convocatoria 2023 - Cuestionario libre Modelo A.pdf</x:v>
      </x:c>
      <x:c r="AJ25" s="18" t="str">
        <x:v>https://www.seg-social.es/wps/portal/wss/internet/InformacionUtil/9950/88beb45d-ca83-4bab-8162-f94ef2894562</x:v>
      </x:c>
      <x:c r="AK25" s="18" t="str">
        <x:v>OCR Windows es-ES sobre PDF oficial</x:v>
      </x:c>
      <x:c r="AL25" s="18" t="n">
        <x:v>100</x:v>
      </x:c>
      <x:c r="AM25" s="18" t="str">
        <x:v>Alta</x:v>
      </x:c>
      <x:c r="AN25" s="18" t="str">
        <x:v>Regla jurídica determinista</x:v>
      </x:c>
      <x:c r="AO25" s="18" t="str">
        <x:v>2024_conv2023_ordinario_A-T24</x:v>
      </x:c>
      <x:c r="AP25" s="18" t="n">
        <x:v>1</x:v>
      </x:c>
    </x:row>
    <x:row r="26">
      <x:c r="A26" s="18" t="str">
        <x:v>2024_conv2023_ordinario_A-T25</x:v>
      </x:c>
      <x:c r="B26" s="18" t="n">
        <x:v>2024</x:v>
      </x:c>
      <x:c r="C26" s="18" t="n">
        <x:v>2023</x:v>
      </x:c>
      <x:c r="D26" s="28" t="n">
        <x:v>45626</x:v>
      </x:c>
      <x:c r="E26" s="18" t="str">
        <x:v>Acceso libre</x:v>
      </x:c>
      <x:c r="F26" s="18" t="str">
        <x:v>Primera parte</x:v>
      </x:c>
      <x:c r="G26" s="18" t="str">
        <x:v>A</x:v>
      </x:c>
      <x:c r="H26" s="18" t="str">
        <x:v>A/B</x:v>
      </x:c>
      <x:c r="I26" s="18" t="str">
        <x:v>Sí</x:v>
      </x:c>
      <x:c r="J26" s="18" t="str">
        <x:v>Modelo A usado como variante canónica; el modelo B oficial está archivado y permuta el orden y/o las opciones.</x:v>
      </x:c>
      <x:c r="K26" s="18" t="n">
        <x:v>25</x:v>
      </x:c>
      <x:c r="L26" s="18" t="str">
        <x:v>No</x:v>
      </x:c>
      <x:c r="M26" s="18" t="str">
        <x:v>¿Cuál es el Titulo IV del texto refundido de la Ley General de la Seguridad Social, aprobado por Real Decreto legislativo 8/2015, de 30 de octubre?:</x:v>
      </x:c>
      <x:c r="N26" s="18" t="str">
        <x:v>Protección por desempleo.</x:v>
      </x:c>
      <x:c r="O26" s="18" t="str">
        <x:v>Prestaciones no contributivas.</x:v>
      </x:c>
      <x:c r="P26" s="18" t="str">
        <x:v>Protección por cese de actividad,</x:v>
      </x:c>
      <x:c r="Q26" s="18" t="str">
        <x:v>Régimen Especial de la Seguridad Social de los Trabajadores por Cuenta Propia o Autónomos.</x:v>
      </x:c>
      <x:c r="R26" s="18" t="str">
        <x:v>S02</x:v>
      </x:c>
      <x:c r="S26" s="18" t="n">
        <x:v>2</x:v>
      </x:c>
      <x:c r="T26" s="18" t="str">
        <x:v>Temario específico Seguridad Social</x:v>
      </x:c>
      <x:c r="U26" s="18" t="str">
        <x:v>Campo de aplicación y composición del sistema de la Seguridad Social. Régimen general: ámbito subjetivo de aplicación, inclusiones y exclusiones. Regímenes especiales: enumeración, características generales, altas, bajas y cotización. Particularidades de la acción protectora. Sistemas especiales: enumeración y características generales. Altas, bajas y cotización. Particularidades de la acción protectora.</x:v>
      </x:c>
      <x:c r="V26" s="18" t="str">
        <x:v>S02</x:v>
      </x:c>
      <x:c r="W26" s="18" t="str">
        <x:v>Real Decreto legislativo 8/2015</x:v>
      </x:c>
      <x:c r="X26" s="18" t="str"/>
      <x:c r="Y26" s="18" t="str">
        <x:v>Artículos literales</x:v>
      </x:c>
      <x:c r="Z26" s="18" t="str">
        <x:v>Media</x:v>
      </x:c>
      <x:c r="AA26" s="18" t="str">
        <x:v>S02</x:v>
      </x:c>
      <x:c r="AB26" s="18" t="str"/>
      <x:c r="AC26" s="18" t="str"/>
      <x:c r="AD26" s="18" t="str">
        <x:v>No</x:v>
      </x:c>
      <x:c r="AE26" s="18" t="str">
        <x:v>Teórico</x:v>
      </x:c>
      <x:c r="AF26" s="18" t="str">
        <x:v>D</x:v>
      </x:c>
      <x:c r="AG26" s="18" t="str">
        <x:v>D</x:v>
      </x:c>
      <x:c r="AH26" s="18" t="str">
        <x:v>Válida</x:v>
      </x:c>
      <x:c r="AI26" s="18" t="str">
        <x:v>01. Información oficial de la oposición\Exámenes oficiales anteriores\2024 Convocatoria 2023 - Cuestionario libre Modelo A.pdf</x:v>
      </x:c>
      <x:c r="AJ26" s="18" t="str">
        <x:v>https://www.seg-social.es/wps/portal/wss/internet/InformacionUtil/9950/88beb45d-ca83-4bab-8162-f94ef2894562</x:v>
      </x:c>
      <x:c r="AK26" s="18" t="str">
        <x:v>OCR Windows es-ES sobre PDF oficial</x:v>
      </x:c>
      <x:c r="AL26" s="18" t="n">
        <x:v>100</x:v>
      </x:c>
      <x:c r="AM26" s="18" t="str">
        <x:v>Alta</x:v>
      </x:c>
      <x:c r="AN26" s="18" t="str">
        <x:v>Revisión jurídica individual</x:v>
      </x:c>
      <x:c r="AO26" s="18" t="str">
        <x:v>2024_conv2023_ordinario_A-T25</x:v>
      </x:c>
      <x:c r="AP26" s="18" t="n">
        <x:v>1</x:v>
      </x:c>
    </x:row>
    <x:row r="27">
      <x:c r="A27" s="18" t="str">
        <x:v>2024_conv2023_ordinario_A-T26</x:v>
      </x:c>
      <x:c r="B27" s="18" t="n">
        <x:v>2024</x:v>
      </x:c>
      <x:c r="C27" s="18" t="n">
        <x:v>2023</x:v>
      </x:c>
      <x:c r="D27" s="28" t="n">
        <x:v>45626</x:v>
      </x:c>
      <x:c r="E27" s="18" t="str">
        <x:v>Acceso libre</x:v>
      </x:c>
      <x:c r="F27" s="18" t="str">
        <x:v>Primera parte</x:v>
      </x:c>
      <x:c r="G27" s="18" t="str">
        <x:v>A</x:v>
      </x:c>
      <x:c r="H27" s="18" t="str">
        <x:v>A/B</x:v>
      </x:c>
      <x:c r="I27" s="18" t="str">
        <x:v>Sí</x:v>
      </x:c>
      <x:c r="J27" s="18" t="str">
        <x:v>Modelo A usado como variante canónica; el modelo B oficial está archivado y permuta el orden y/o las opciones.</x:v>
      </x:c>
      <x:c r="K27" s="18" t="n">
        <x:v>26</x:v>
      </x:c>
      <x:c r="L27" s="18" t="str">
        <x:v>No</x:v>
      </x:c>
      <x:c r="M27" s="18" t="str">
        <x:v>De los principios rectores de la política social y económica de la Constitución Española ¿en qué artículo se recoge la protección social, económica y jurídica de la familia?</x:v>
      </x:c>
      <x:c r="N27" s="18" t="str">
        <x:v>Artículo 39.1</x:v>
      </x:c>
      <x:c r="O27" s="18" t="str">
        <x:v>Artículo 40.2</x:v>
      </x:c>
      <x:c r="P27" s="18" t="str">
        <x:v>Artículo 43.1</x:v>
      </x:c>
      <x:c r="Q27" s="18" t="str">
        <x:v>Artículo 50</x:v>
      </x:c>
      <x:c r="R27" s="18" t="str">
        <x:v>S01</x:v>
      </x:c>
      <x:c r="S27" s="18" t="n">
        <x:v>1</x:v>
      </x:c>
      <x:c r="T27" s="18" t="str">
        <x:v>Temario específico Seguridad Social</x:v>
      </x:c>
      <x:c r="U27" s="18" t="str">
        <x:v>La Seguridad Social en la Constitución española de 1978. El texto refundido de la Ley General de la Seguridad Social.</x:v>
      </x:c>
      <x:c r="V27" s="18" t="str">
        <x:v>S01</x:v>
      </x:c>
      <x:c r="W27" s="18" t="str">
        <x:v>Constitución Española</x:v>
      </x:c>
      <x:c r="X27" s="18" t="str"/>
      <x:c r="Y27" s="18" t="str">
        <x:v>Artículos literales</x:v>
      </x:c>
      <x:c r="Z27" s="18" t="str">
        <x:v>Media</x:v>
      </x:c>
      <x:c r="AA27" s="18" t="str">
        <x:v>S01</x:v>
      </x:c>
      <x:c r="AB27" s="18" t="str"/>
      <x:c r="AC27" s="18" t="str"/>
      <x:c r="AD27" s="18" t="str">
        <x:v>No</x:v>
      </x:c>
      <x:c r="AE27" s="18" t="str">
        <x:v>Teórico</x:v>
      </x:c>
      <x:c r="AF27" s="18" t="str">
        <x:v>A</x:v>
      </x:c>
      <x:c r="AG27" s="18" t="str">
        <x:v>A</x:v>
      </x:c>
      <x:c r="AH27" s="18" t="str">
        <x:v>Válida</x:v>
      </x:c>
      <x:c r="AI27" s="18" t="str">
        <x:v>01. Información oficial de la oposición\Exámenes oficiales anteriores\2024 Convocatoria 2023 - Cuestionario libre Modelo A.pdf</x:v>
      </x:c>
      <x:c r="AJ27" s="18" t="str">
        <x:v>https://www.seg-social.es/wps/portal/wss/internet/InformacionUtil/9950/88beb45d-ca83-4bab-8162-f94ef2894562</x:v>
      </x:c>
      <x:c r="AK27" s="18" t="str">
        <x:v>OCR Windows es-ES sobre PDF oficial</x:v>
      </x:c>
      <x:c r="AL27" s="18" t="n">
        <x:v>100</x:v>
      </x:c>
      <x:c r="AM27" s="18" t="str">
        <x:v>Alta</x:v>
      </x:c>
      <x:c r="AN27" s="18" t="str">
        <x:v>Revisión jurídica individual</x:v>
      </x:c>
      <x:c r="AO27" s="18" t="str">
        <x:v>2024_conv2023_ordinario_A-T26</x:v>
      </x:c>
      <x:c r="AP27" s="18" t="n">
        <x:v>1</x:v>
      </x:c>
    </x:row>
    <x:row r="28">
      <x:c r="A28" s="18" t="str">
        <x:v>2024_conv2023_ordinario_A-T27</x:v>
      </x:c>
      <x:c r="B28" s="18" t="n">
        <x:v>2024</x:v>
      </x:c>
      <x:c r="C28" s="18" t="n">
        <x:v>2023</x:v>
      </x:c>
      <x:c r="D28" s="28" t="n">
        <x:v>45626</x:v>
      </x:c>
      <x:c r="E28" s="18" t="str">
        <x:v>Acceso libre</x:v>
      </x:c>
      <x:c r="F28" s="18" t="str">
        <x:v>Primera parte</x:v>
      </x:c>
      <x:c r="G28" s="18" t="str">
        <x:v>A</x:v>
      </x:c>
      <x:c r="H28" s="18" t="str">
        <x:v>A/B</x:v>
      </x:c>
      <x:c r="I28" s="18" t="str">
        <x:v>Sí</x:v>
      </x:c>
      <x:c r="J28" s="18" t="str">
        <x:v>Modelo A usado como variante canónica; el modelo B oficial está archivado y permuta el orden y/o las opciones.</x:v>
      </x:c>
      <x:c r="K28" s="18" t="n">
        <x:v>27</x:v>
      </x:c>
      <x:c r="L28" s="18" t="str">
        <x:v>No</x:v>
      </x:c>
      <x:c r="M28" s="18" t="str">
        <x:v>De acuerdo con el articulo 7.3 del texto refundido de la Ley General de la Seguridad Social, el Gobierno, en el marco de los sistemas de protección social pública, puede establecer medidas de protección social en favor de:</x:v>
      </x:c>
      <x:c r="N28" s="18" t="str">
        <x:v>Los españoles residentes en España, de acuerdo con las características propias de nuestro país.</x:v>
      </x:c>
      <x:c r="O28" s="18" t="str">
        <x:v>Los extranjeros no residentes en España, de acuerdo con las características de los países de residencia.</x:v>
      </x:c>
      <x:c r="P28" s="18" t="str">
        <x:v>Los españoles no residentes en España, de acuerdo con las características de los países da residencia.</x:v>
      </x:c>
      <x:c r="Q28" s="18" t="str">
        <x:v>Los extranjeros residentes en España, de acuerdo con las características propias de nuestro país.</x:v>
      </x:c>
      <x:c r="R28" s="18" t="str">
        <x:v>S02</x:v>
      </x:c>
      <x:c r="S28" s="18" t="n">
        <x:v>2</x:v>
      </x:c>
      <x:c r="T28" s="18" t="str">
        <x:v>Temario específico Seguridad Social</x:v>
      </x:c>
      <x:c r="U28" s="18" t="str">
        <x:v>Campo de aplicación y composición del sistema de la Seguridad Social. Régimen general: ámbito subjetivo de aplicación, inclusiones y exclusiones. Regímenes especiales: enumeración, características generales, altas, bajas y cotización. Particularidades de la acción protectora. Sistemas especiales: enumeración y características generales. Altas, bajas y cotización. Particularidades de la acción protectora.</x:v>
      </x:c>
      <x:c r="V28" s="18" t="str">
        <x:v>S02</x:v>
      </x:c>
      <x:c r="W28" s="18" t="str">
        <x:v>texto refundido de la Ley General de la Seguridad Social</x:v>
      </x:c>
      <x:c r="X28" s="18" t="str">
        <x:v>7.3</x:v>
      </x:c>
      <x:c r="Y28" s="18" t="str">
        <x:v>Artículos literales</x:v>
      </x:c>
      <x:c r="Z28" s="18" t="str">
        <x:v>Media</x:v>
      </x:c>
      <x:c r="AA28" s="18" t="str">
        <x:v>S02</x:v>
      </x:c>
      <x:c r="AB28" s="18" t="str"/>
      <x:c r="AC28" s="18" t="str"/>
      <x:c r="AD28" s="18" t="str">
        <x:v>No</x:v>
      </x:c>
      <x:c r="AE28" s="18" t="str">
        <x:v>Teórico</x:v>
      </x:c>
      <x:c r="AF28" s="18" t="str">
        <x:v>C</x:v>
      </x:c>
      <x:c r="AG28" s="18" t="str">
        <x:v>C</x:v>
      </x:c>
      <x:c r="AH28" s="18" t="str">
        <x:v>Válida</x:v>
      </x:c>
      <x:c r="AI28" s="18" t="str">
        <x:v>01. Información oficial de la oposición\Exámenes oficiales anteriores\2024 Convocatoria 2023 - Cuestionario libre Modelo A.pdf</x:v>
      </x:c>
      <x:c r="AJ28" s="18" t="str">
        <x:v>https://www.seg-social.es/wps/portal/wss/internet/InformacionUtil/9950/88beb45d-ca83-4bab-8162-f94ef2894562</x:v>
      </x:c>
      <x:c r="AK28" s="18" t="str">
        <x:v>OCR Windows es-ES sobre PDF oficial</x:v>
      </x:c>
      <x:c r="AL28" s="18" t="n">
        <x:v>100</x:v>
      </x:c>
      <x:c r="AM28" s="18" t="str">
        <x:v>Alta</x:v>
      </x:c>
      <x:c r="AN28" s="18" t="str">
        <x:v>Regla jurídica determinista</x:v>
      </x:c>
      <x:c r="AO28" s="18" t="str">
        <x:v>2024_conv2023_ordinario_A-T27</x:v>
      </x:c>
      <x:c r="AP28" s="18" t="n">
        <x:v>1</x:v>
      </x:c>
    </x:row>
    <x:row r="29">
      <x:c r="A29" s="18" t="str">
        <x:v>2024_conv2023_ordinario_A-T28</x:v>
      </x:c>
      <x:c r="B29" s="18" t="n">
        <x:v>2024</x:v>
      </x:c>
      <x:c r="C29" s="18" t="n">
        <x:v>2023</x:v>
      </x:c>
      <x:c r="D29" s="28" t="n">
        <x:v>45626</x:v>
      </x:c>
      <x:c r="E29" s="18" t="str">
        <x:v>Acceso libre</x:v>
      </x:c>
      <x:c r="F29" s="18" t="str">
        <x:v>Primera parte</x:v>
      </x:c>
      <x:c r="G29" s="18" t="str">
        <x:v>A</x:v>
      </x:c>
      <x:c r="H29" s="18" t="str">
        <x:v>A/B</x:v>
      </x:c>
      <x:c r="I29" s="18" t="str">
        <x:v>Sí</x:v>
      </x:c>
      <x:c r="J29" s="18" t="str">
        <x:v>Modelo A usado como variante canónica; el modelo B oficial está archivado y permuta el orden y/o las opciones.</x:v>
      </x:c>
      <x:c r="K29" s="18" t="n">
        <x:v>28</x:v>
      </x:c>
      <x:c r="L29" s="18" t="str">
        <x:v>No</x:v>
      </x:c>
      <x:c r="M29" s="18" t="str">
        <x:v>Según el artículo 4 de la Ley 47/2015, quedan comprendidos en eI Régimen Especial de la Seguridad Social de los Trabajadores del Mar, entre otros, como trabajadores por cuenta propia o autónomos:</x:v>
      </x:c>
      <x:c r="N29" s="18" t="str">
        <x:v>Buceadores con titulaciones deportivas-recreativas.</x:v>
      </x:c>
      <x:c r="O29" s="18" t="str">
        <x:v>Acuicultura desarrollada en zona terrestre.</x:v>
      </x:c>
      <x:c r="P29" s="18" t="str">
        <x:v>Los mariscadores, percebeiros, recogedores de algas y análogos,</x:v>
      </x:c>
      <x:c r="Q29" s="18" t="str">
        <x:v>Estibadores portuarios.</x:v>
      </x:c>
      <x:c r="R29" s="18" t="str">
        <x:v>S02</x:v>
      </x:c>
      <x:c r="S29" s="18" t="n">
        <x:v>2</x:v>
      </x:c>
      <x:c r="T29" s="18" t="str">
        <x:v>Temario específico Seguridad Social</x:v>
      </x:c>
      <x:c r="U29" s="18" t="str">
        <x:v>Campo de aplicación y composición del sistema de la Seguridad Social. Régimen general: ámbito subjetivo de aplicación, inclusiones y exclusiones. Regímenes especiales: enumeración, características generales, altas, bajas y cotización. Particularidades de la acción protectora. Sistemas especiales: enumeración y características generales. Altas, bajas y cotización. Particularidades de la acción protectora.</x:v>
      </x:c>
      <x:c r="V29" s="18" t="str">
        <x:v>S02</x:v>
      </x:c>
      <x:c r="W29" s="18" t="str">
        <x:v>Ley 47/2015</x:v>
      </x:c>
      <x:c r="X29" s="18" t="str">
        <x:v>4</x:v>
      </x:c>
      <x:c r="Y29" s="18" t="str">
        <x:v>Artículos literales</x:v>
      </x:c>
      <x:c r="Z29" s="18" t="str">
        <x:v>Media</x:v>
      </x:c>
      <x:c r="AA29" s="18" t="str">
        <x:v>S02</x:v>
      </x:c>
      <x:c r="AB29" s="18" t="str"/>
      <x:c r="AC29" s="18" t="str"/>
      <x:c r="AD29" s="18" t="str">
        <x:v>No</x:v>
      </x:c>
      <x:c r="AE29" s="18" t="str">
        <x:v>Teórico</x:v>
      </x:c>
      <x:c r="AF29" s="18" t="str">
        <x:v>C</x:v>
      </x:c>
      <x:c r="AG29" s="18" t="str">
        <x:v>C</x:v>
      </x:c>
      <x:c r="AH29" s="18" t="str">
        <x:v>Válida</x:v>
      </x:c>
      <x:c r="AI29" s="18" t="str">
        <x:v>01. Información oficial de la oposición\Exámenes oficiales anteriores\2024 Convocatoria 2023 - Cuestionario libre Modelo A.pdf</x:v>
      </x:c>
      <x:c r="AJ29" s="18" t="str">
        <x:v>https://www.seg-social.es/wps/portal/wss/internet/InformacionUtil/9950/88beb45d-ca83-4bab-8162-f94ef2894562</x:v>
      </x:c>
      <x:c r="AK29" s="18" t="str">
        <x:v>OCR Windows es-ES sobre PDF oficial</x:v>
      </x:c>
      <x:c r="AL29" s="18" t="n">
        <x:v>100</x:v>
      </x:c>
      <x:c r="AM29" s="18" t="str">
        <x:v>Alta</x:v>
      </x:c>
      <x:c r="AN29" s="18" t="str">
        <x:v>Regla jurídica determinista</x:v>
      </x:c>
      <x:c r="AO29" s="18" t="str">
        <x:v>2024_conv2023_ordinario_A-T28</x:v>
      </x:c>
      <x:c r="AP29" s="18" t="n">
        <x:v>1</x:v>
      </x:c>
    </x:row>
    <x:row r="30">
      <x:c r="A30" s="18" t="str">
        <x:v>2024_conv2023_ordinario_A-T29</x:v>
      </x:c>
      <x:c r="B30" s="18" t="n">
        <x:v>2024</x:v>
      </x:c>
      <x:c r="C30" s="18" t="n">
        <x:v>2023</x:v>
      </x:c>
      <x:c r="D30" s="28" t="n">
        <x:v>45626</x:v>
      </x:c>
      <x:c r="E30" s="18" t="str">
        <x:v>Acceso libre</x:v>
      </x:c>
      <x:c r="F30" s="18" t="str">
        <x:v>Primera parte</x:v>
      </x:c>
      <x:c r="G30" s="18" t="str">
        <x:v>A</x:v>
      </x:c>
      <x:c r="H30" s="18" t="str">
        <x:v>A/B</x:v>
      </x:c>
      <x:c r="I30" s="18" t="str">
        <x:v>Sí</x:v>
      </x:c>
      <x:c r="J30" s="18" t="str">
        <x:v>Modelo A usado como variante canónica; el modelo B oficial está archivado y permuta el orden y/o las opciones.</x:v>
      </x:c>
      <x:c r="K30" s="18" t="n">
        <x:v>29</x:v>
      </x:c>
      <x:c r="L30" s="18" t="str">
        <x:v>No</x:v>
      </x:c>
      <x:c r="M30" s="18" t="str">
        <x:v>De acuerdo con el articulo 253,2. del texto refundido de la Ley General de la Seguridad Social, para quedar incluido en eI Sistema Especial de Trabajadores por Cuenta Ajena Agrarios durante los períodos de inactividad son requisitos necesarios que el trabajador:</x:v>
      </x:c>
      <x:c r="N30" s="18" t="str">
        <x:v>Haya realizado un minimo de 30 jornadas reales en un período continuado de 365 días y solicite expresamente la inclusión dentro de los 3 meses naturales siguientes al de la realización de la última de dichas jornadas.</x:v>
      </x:c>
      <x:c r="O30" s="18" t="str">
        <x:v>Haya realizado un minimo de 25 jornadas reales en un período continuado de 365 días y solicite expresamente la inclusión dentro de los 2 meses naturales siguientes al de la realización de la última de dichas jornadas.</x:v>
      </x:c>
      <x:c r="P30" s="18" t="str">
        <x:v>Haya realizado un mínimo de 30 jornadas reales en un periodo continuado de 365 días y solicite expresamente la inclusión dentro de los 6 meses naturales siguientes al de la realización de la última de dichas jornadas.</x:v>
      </x:c>
      <x:c r="Q30" s="18" t="str">
        <x:v>Haya realizado un mínimo de 25 jornadas reales en un período continuado de 365 días y solicite expresamente la inclusión dentro de los 3 meses naturales siguientes al de la realización de la última de dichas jornadas.</x:v>
      </x:c>
      <x:c r="R30" s="18" t="str">
        <x:v>S02</x:v>
      </x:c>
      <x:c r="S30" s="18" t="n">
        <x:v>2</x:v>
      </x:c>
      <x:c r="T30" s="18" t="str">
        <x:v>Temario específico Seguridad Social</x:v>
      </x:c>
      <x:c r="U30" s="18" t="str">
        <x:v>Campo de aplicación y composición del sistema de la Seguridad Social. Régimen general: ámbito subjetivo de aplicación, inclusiones y exclusiones. Regímenes especiales: enumeración, características generales, altas, bajas y cotización. Particularidades de la acción protectora. Sistemas especiales: enumeración y características generales. Altas, bajas y cotización. Particularidades de la acción protectora.</x:v>
      </x:c>
      <x:c r="V30" s="18" t="str">
        <x:v>S02</x:v>
      </x:c>
      <x:c r="W30" s="18" t="str">
        <x:v>texto refundido de la Ley General de la Seguridad Social</x:v>
      </x:c>
      <x:c r="X30" s="18" t="str">
        <x:v>253</x:v>
      </x:c>
      <x:c r="Y30" s="18" t="str">
        <x:v>Requisitos</x:v>
      </x:c>
      <x:c r="Z30" s="18" t="str">
        <x:v>Media</x:v>
      </x:c>
      <x:c r="AA30" s="18" t="str">
        <x:v>S02</x:v>
      </x:c>
      <x:c r="AB30" s="18" t="str"/>
      <x:c r="AC30" s="18" t="str"/>
      <x:c r="AD30" s="18" t="str">
        <x:v>No</x:v>
      </x:c>
      <x:c r="AE30" s="18" t="str">
        <x:v>Teórico</x:v>
      </x:c>
      <x:c r="AF30" s="18" t="str">
        <x:v>A</x:v>
      </x:c>
      <x:c r="AG30" s="18" t="str">
        <x:v>A</x:v>
      </x:c>
      <x:c r="AH30" s="18" t="str">
        <x:v>Válida</x:v>
      </x:c>
      <x:c r="AI30" s="18" t="str">
        <x:v>01. Información oficial de la oposición\Exámenes oficiales anteriores\2024 Convocatoria 2023 - Cuestionario libre Modelo A.pdf</x:v>
      </x:c>
      <x:c r="AJ30" s="18" t="str">
        <x:v>https://www.seg-social.es/wps/portal/wss/internet/InformacionUtil/9950/88beb45d-ca83-4bab-8162-f94ef2894562</x:v>
      </x:c>
      <x:c r="AK30" s="18" t="str">
        <x:v>OCR Windows es-ES sobre PDF oficial</x:v>
      </x:c>
      <x:c r="AL30" s="18" t="n">
        <x:v>100</x:v>
      </x:c>
      <x:c r="AM30" s="18" t="str">
        <x:v>Alta</x:v>
      </x:c>
      <x:c r="AN30" s="18" t="str">
        <x:v>Regla jurídica determinista</x:v>
      </x:c>
      <x:c r="AO30" s="18" t="str">
        <x:v>2024_conv2023_ordinario_A-T29</x:v>
      </x:c>
      <x:c r="AP30" s="18" t="n">
        <x:v>1</x:v>
      </x:c>
    </x:row>
    <x:row r="31">
      <x:c r="A31" s="18" t="str">
        <x:v>2024_conv2023_ordinario_A-T30</x:v>
      </x:c>
      <x:c r="B31" s="18" t="n">
        <x:v>2024</x:v>
      </x:c>
      <x:c r="C31" s="18" t="n">
        <x:v>2023</x:v>
      </x:c>
      <x:c r="D31" s="28" t="n">
        <x:v>45626</x:v>
      </x:c>
      <x:c r="E31" s="18" t="str">
        <x:v>Acceso libre</x:v>
      </x:c>
      <x:c r="F31" s="18" t="str">
        <x:v>Primera parte</x:v>
      </x:c>
      <x:c r="G31" s="18" t="str">
        <x:v>A</x:v>
      </x:c>
      <x:c r="H31" s="18" t="str">
        <x:v>A/B</x:v>
      </x:c>
      <x:c r="I31" s="18" t="str">
        <x:v>Sí</x:v>
      </x:c>
      <x:c r="J31" s="18" t="str">
        <x:v>Modelo A usado como variante canónica; el modelo B oficial está archivado y permuta el orden y/o las opciones.</x:v>
      </x:c>
      <x:c r="K31" s="18" t="n">
        <x:v>30</x:v>
      </x:c>
      <x:c r="L31" s="18" t="str">
        <x:v>No</x:v>
      </x:c>
      <x:c r="M31" s="18" t="str">
        <x:v>De acuerdo con 10 previsto en eI artículo 28 del Real Decreto 84/1996, de 26 de enero, la variación de los datos de la afiliación deberá comunicarse:</x:v>
      </x:c>
      <x:c r="N31" s="18" t="str">
        <x:v>Por el empresario y, en su caso, por eE trabajador interesado a cualquier dirección provincial de la Tesorería General de la Seguridad Social o administración de la Seguridad Social, dentro de los tres días hábiles siguientes a aquel en que la variación se produzca y mediante los modelos oficiales o por ei sistema establecido ai efecto.</x:v>
      </x:c>
      <x:c r="O31" s="18" t="str">
        <x:v>Por eI empresario y, en su caso, por el trabajador interesado a cualquier dirección provincial de la Tesorería General de la Seguridad Social o administración de la Seguridad Social, dentro de los cinco dias naturales siguientes a aquel en que la variación se produzca y mediante los modelos oficiales o por el sistema establecido al efecto.</x:v>
      </x:c>
      <x:c r="P31" s="18" t="str">
        <x:v>Por el empresario y, en su caso, por el trabajador interesado a cualquier dirección provincial de la Tesorería General de la Seguridad Social o administración de la Seguridad Social, dentro de los tres dias naturales siguientes a aquel en que la variación se produzca y ruediante los modelos oficiales o por ei sistema establecido al efecto.</x:v>
      </x:c>
      <x:c r="Q31" s="18" t="str">
        <x:v>Por el empresario y, en su caso, por el trabajador interesado a cualquier dirección provincial de la Tesoreria General de la Seguridad social o administración de la Seguridad Social, dentro de los cinco días hábiles siguientes a aquel en que la variación se produzca y mediante los modelos oficiales o por eI sistema establecido al efecto,</x:v>
      </x:c>
      <x:c r="R31" s="18" t="str">
        <x:v>S03</x:v>
      </x:c>
      <x:c r="S31" s="18" t="n">
        <x:v>3</x:v>
      </x:c>
      <x:c r="T31" s="18" t="str">
        <x:v>Temario específico Seguridad Social</x:v>
      </x:c>
      <x:c r="U31" s="18" t="str">
        <x:v>Normas sobre afiliación. Altas y bajas en el régimen general. Procedimiento y efectos. El convenio especial y otras situaciones asimiladas a la del alta. Encuadramiento e inscripción.</x:v>
      </x:c>
      <x:c r="V31" s="18" t="str">
        <x:v>afiliación</x:v>
      </x:c>
      <x:c r="W31" s="18" t="str">
        <x:v>Real Decreto 84/1996</x:v>
      </x:c>
      <x:c r="X31" s="18" t="str">
        <x:v>28</x:v>
      </x:c>
      <x:c r="Y31" s="18" t="str">
        <x:v>Afiliación, altas y bajas</x:v>
      </x:c>
      <x:c r="Z31" s="18" t="str">
        <x:v>Media</x:v>
      </x:c>
      <x:c r="AA31" s="18" t="str">
        <x:v>afiliación</x:v>
      </x:c>
      <x:c r="AB31" s="18" t="str"/>
      <x:c r="AC31" s="18" t="str"/>
      <x:c r="AD31" s="18" t="str">
        <x:v>No</x:v>
      </x:c>
      <x:c r="AE31" s="18" t="str">
        <x:v>Teórico</x:v>
      </x:c>
      <x:c r="AF31" s="18" t="str">
        <x:v>C</x:v>
      </x:c>
      <x:c r="AG31" s="18" t="str">
        <x:v>C</x:v>
      </x:c>
      <x:c r="AH31" s="18" t="str">
        <x:v>Válida</x:v>
      </x:c>
      <x:c r="AI31" s="18" t="str">
        <x:v>01. Información oficial de la oposición\Exámenes oficiales anteriores\2024 Convocatoria 2023 - Cuestionario libre Modelo A.pdf</x:v>
      </x:c>
      <x:c r="AJ31" s="18" t="str">
        <x:v>https://www.seg-social.es/wps/portal/wss/internet/InformacionUtil/9950/88beb45d-ca83-4bab-8162-f94ef2894562</x:v>
      </x:c>
      <x:c r="AK31" s="18" t="str">
        <x:v>OCR Windows es-ES sobre PDF oficial</x:v>
      </x:c>
      <x:c r="AL31" s="18" t="n">
        <x:v>100</x:v>
      </x:c>
      <x:c r="AM31" s="18" t="str">
        <x:v>Alta</x:v>
      </x:c>
      <x:c r="AN31" s="18" t="str">
        <x:v>Regla jurídica determinista</x:v>
      </x:c>
      <x:c r="AO31" s="18" t="str">
        <x:v>2024_conv2023_ordinario_A-T30</x:v>
      </x:c>
      <x:c r="AP31" s="18" t="n">
        <x:v>1</x:v>
      </x:c>
    </x:row>
    <x:row r="32">
      <x:c r="A32" s="18" t="str">
        <x:v>2024_conv2023_ordinario_A-T31</x:v>
      </x:c>
      <x:c r="B32" s="18" t="n">
        <x:v>2024</x:v>
      </x:c>
      <x:c r="C32" s="18" t="n">
        <x:v>2023</x:v>
      </x:c>
      <x:c r="D32" s="28" t="n">
        <x:v>45626</x:v>
      </x:c>
      <x:c r="E32" s="18" t="str">
        <x:v>Acceso libre</x:v>
      </x:c>
      <x:c r="F32" s="18" t="str">
        <x:v>Primera parte</x:v>
      </x:c>
      <x:c r="G32" s="18" t="str">
        <x:v>A</x:v>
      </x:c>
      <x:c r="H32" s="18" t="str">
        <x:v>A/B</x:v>
      </x:c>
      <x:c r="I32" s="18" t="str">
        <x:v>Sí</x:v>
      </x:c>
      <x:c r="J32" s="18" t="str">
        <x:v>Modelo A usado como variante canónica; el modelo B oficial está archivado y permuta el orden y/o las opciones.</x:v>
      </x:c>
      <x:c r="K32" s="18" t="n">
        <x:v>31</x:v>
      </x:c>
      <x:c r="L32" s="18" t="str">
        <x:v>No</x:v>
      </x:c>
      <x:c r="M32" s="18" t="str">
        <x:v>Según el artículo 6.1 del Real Decreto 84/1996, de 26 de enero, mediante el acto administrativo de afiliación, la Tesorería General de la Seguridad Social reconoce la condición de incluida en el sistema de la Seguridad Social, a la persona física que por vez primera realiza una actividad determinante de su inclusión en el ámbito de aplicación del mismo, estableciendo que:</x:v>
      </x:c>
      <x:c r="N32" s="18" t="str">
        <x:v>La afiliación al Sistema de la Seguridad Social es obligatoria para todas las personas comprendidas en el campo de aplicación del mismo, es única y general para todos los Regímenes que componen el sistema, se extiende a toda la vida de las personas comprendidas en el campo de aplicación del sistema y es exclusiva.</x:v>
      </x:c>
      <x:c r="O32" s="18" t="str">
        <x:v>La afiliación al Sistema de la Seguridad Social es obligatoria para todas las personas comprendidas en eI campo de aplicación del mismo, se extiende a toda la vida de las personas comprendidas en eI campo de aplicación del sistema, es exclusiva, aunque no única y general para todos los Regímenes que componen el sistema.</x:v>
      </x:c>
      <x:c r="P32" s="18" t="str">
        <x:v>La afiliación al Sistema de la Seguridad Social es obligatoria para todas las personas comprendidas en eI campo de aplicación del mismo, es única y general para todos los Regímenes, es exclusiva, aunque no se extiende a toda la vida de las personas comprendidas en eI campo de aplicación del sistema.</x:v>
      </x:c>
      <x:c r="Q32" s="18" t="str">
        <x:v>La afiliación al Sistema de la Seguridad Social es obligatoria para todas las personas comprendidas en eI campo de aplicación del mismo, es única y general para todos los Regímenes que componen eI sistema, se extiende a toda la vida de las personas comprendidas en el campo de aplicación del sistema y no es exclusiva,</x:v>
      </x:c>
      <x:c r="R32" s="18" t="str">
        <x:v>S03</x:v>
      </x:c>
      <x:c r="S32" s="18" t="n">
        <x:v>3</x:v>
      </x:c>
      <x:c r="T32" s="18" t="str">
        <x:v>Temario específico Seguridad Social</x:v>
      </x:c>
      <x:c r="U32" s="18" t="str">
        <x:v>Normas sobre afiliación. Altas y bajas en el régimen general. Procedimiento y efectos. El convenio especial y otras situaciones asimiladas a la del alta. Encuadramiento e inscripción.</x:v>
      </x:c>
      <x:c r="V32" s="18" t="str">
        <x:v>afiliación</x:v>
      </x:c>
      <x:c r="W32" s="18" t="str">
        <x:v>Real Decreto 84/1996</x:v>
      </x:c>
      <x:c r="X32" s="18" t="str">
        <x:v>6.1</x:v>
      </x:c>
      <x:c r="Y32" s="18" t="str">
        <x:v>Afiliación, altas y bajas</x:v>
      </x:c>
      <x:c r="Z32" s="18" t="str">
        <x:v>Alta</x:v>
      </x:c>
      <x:c r="AA32" s="18" t="str">
        <x:v>afiliación</x:v>
      </x:c>
      <x:c r="AB32" s="18" t="str">
        <x:v>Tesorería General de la Seguridad Social; ISM</x:v>
      </x:c>
      <x:c r="AC32" s="18" t="str"/>
      <x:c r="AD32" s="18" t="str">
        <x:v>No</x:v>
      </x:c>
      <x:c r="AE32" s="18" t="str">
        <x:v>Teórico</x:v>
      </x:c>
      <x:c r="AF32" s="18" t="str">
        <x:v>A</x:v>
      </x:c>
      <x:c r="AG32" s="18" t="str">
        <x:v>A</x:v>
      </x:c>
      <x:c r="AH32" s="18" t="str">
        <x:v>Válida</x:v>
      </x:c>
      <x:c r="AI32" s="18" t="str">
        <x:v>01. Información oficial de la oposición\Exámenes oficiales anteriores\2024 Convocatoria 2023 - Cuestionario libre Modelo A.pdf</x:v>
      </x:c>
      <x:c r="AJ32" s="18" t="str">
        <x:v>https://www.seg-social.es/wps/portal/wss/internet/InformacionUtil/9950/88beb45d-ca83-4bab-8162-f94ef2894562</x:v>
      </x:c>
      <x:c r="AK32" s="18" t="str">
        <x:v>OCR Windows es-ES sobre PDF oficial</x:v>
      </x:c>
      <x:c r="AL32" s="18" t="n">
        <x:v>100</x:v>
      </x:c>
      <x:c r="AM32" s="18" t="str">
        <x:v>Alta</x:v>
      </x:c>
      <x:c r="AN32" s="18" t="str">
        <x:v>Regla jurídica determinista</x:v>
      </x:c>
      <x:c r="AO32" s="18" t="str">
        <x:v>2024_conv2023_ordinario_A-T31</x:v>
      </x:c>
      <x:c r="AP32" s="18" t="n">
        <x:v>1</x:v>
      </x:c>
    </x:row>
    <x:row r="33">
      <x:c r="A33" s="18" t="str">
        <x:v>2024_conv2023_ordinario_A-T32</x:v>
      </x:c>
      <x:c r="B33" s="18" t="n">
        <x:v>2024</x:v>
      </x:c>
      <x:c r="C33" s="18" t="n">
        <x:v>2023</x:v>
      </x:c>
      <x:c r="D33" s="28" t="n">
        <x:v>45626</x:v>
      </x:c>
      <x:c r="E33" s="18" t="str">
        <x:v>Acceso libre</x:v>
      </x:c>
      <x:c r="F33" s="18" t="str">
        <x:v>Primera parte</x:v>
      </x:c>
      <x:c r="G33" s="18" t="str">
        <x:v>A</x:v>
      </x:c>
      <x:c r="H33" s="18" t="str">
        <x:v>A/B</x:v>
      </x:c>
      <x:c r="I33" s="18" t="str">
        <x:v>Sí</x:v>
      </x:c>
      <x:c r="J33" s="18" t="str">
        <x:v>Modelo A usado como variante canónica; el modelo B oficial está archivado y permuta el orden y/o las opciones.</x:v>
      </x:c>
      <x:c r="K33" s="18" t="n">
        <x:v>32</x:v>
      </x:c>
      <x:c r="L33" s="18" t="str">
        <x:v>No</x:v>
      </x:c>
      <x:c r="M33" s="18" t="str">
        <x:v>Según el artículo 32 del Real Decreto 84/1996, de 26 de enero, las solicitudes para la baja y variaciones de datos de trabajadores deberán dirigirse a:</x:v>
      </x:c>
      <x:c r="N33" s="18" t="str">
        <x:v>La Dirección Provincial de la Tesorería General de la Seguridad Social o Administración de la misma en que los trabajadores hayan sido dados de alta.</x:v>
      </x:c>
      <x:c r="O33" s="18" t="str">
        <x:v>La Dirección Provincial de la Tesorería General de la Seguridad Social o Administración de la misma del domicilio del trabajador.</x:v>
      </x:c>
      <x:c r="P33" s="18" t="str">
        <x:v>La Dirección Provincial de la Tesorería General de la Seguridad Social o Administración de la misma de la provincia que esté domiciliada la empresa.</x:v>
      </x:c>
      <x:c r="Q33" s="18" t="str">
        <x:v>La Dirección Provincial de la Tesorería General de la Seguridad Social o Administración de la misma del domicilio del empresario.</x:v>
      </x:c>
      <x:c r="R33" s="18" t="str">
        <x:v>S03</x:v>
      </x:c>
      <x:c r="S33" s="18" t="n">
        <x:v>3</x:v>
      </x:c>
      <x:c r="T33" s="18" t="str">
        <x:v>Temario específico Seguridad Social</x:v>
      </x:c>
      <x:c r="U33" s="18" t="str">
        <x:v>Normas sobre afiliación. Altas y bajas en el régimen general. Procedimiento y efectos. El convenio especial y otras situaciones asimiladas a la del alta. Encuadramiento e inscripción.</x:v>
      </x:c>
      <x:c r="V33" s="18" t="str">
        <x:v>baja</x:v>
      </x:c>
      <x:c r="W33" s="18" t="str">
        <x:v>Real Decreto 84/1996</x:v>
      </x:c>
      <x:c r="X33" s="18" t="str">
        <x:v>32</x:v>
      </x:c>
      <x:c r="Y33" s="18" t="str">
        <x:v>Procedimientos</x:v>
      </x:c>
      <x:c r="Z33" s="18" t="str">
        <x:v>Media</x:v>
      </x:c>
      <x:c r="AA33" s="18" t="str">
        <x:v>baja</x:v>
      </x:c>
      <x:c r="AB33" s="18" t="str"/>
      <x:c r="AC33" s="18" t="str"/>
      <x:c r="AD33" s="18" t="str">
        <x:v>No</x:v>
      </x:c>
      <x:c r="AE33" s="18" t="str">
        <x:v>Teórico</x:v>
      </x:c>
      <x:c r="AF33" s="18" t="str">
        <x:v>A</x:v>
      </x:c>
      <x:c r="AG33" s="18" t="str">
        <x:v>A</x:v>
      </x:c>
      <x:c r="AH33" s="18" t="str">
        <x:v>Válida</x:v>
      </x:c>
      <x:c r="AI33" s="18" t="str">
        <x:v>01. Información oficial de la oposición\Exámenes oficiales anteriores\2024 Convocatoria 2023 - Cuestionario libre Modelo A.pdf</x:v>
      </x:c>
      <x:c r="AJ33" s="18" t="str">
        <x:v>https://www.seg-social.es/wps/portal/wss/internet/InformacionUtil/9950/88beb45d-ca83-4bab-8162-f94ef2894562</x:v>
      </x:c>
      <x:c r="AK33" s="18" t="str">
        <x:v>OCR Windows es-ES sobre PDF oficial</x:v>
      </x:c>
      <x:c r="AL33" s="18" t="n">
        <x:v>100</x:v>
      </x:c>
      <x:c r="AM33" s="18" t="str">
        <x:v>Alta</x:v>
      </x:c>
      <x:c r="AN33" s="18" t="str">
        <x:v>Regla jurídica determinista</x:v>
      </x:c>
      <x:c r="AO33" s="18" t="str">
        <x:v>2024_conv2023_ordinario_A-T32</x:v>
      </x:c>
      <x:c r="AP33" s="18" t="n">
        <x:v>1</x:v>
      </x:c>
    </x:row>
    <x:row r="34">
      <x:c r="A34" s="18" t="str">
        <x:v>2024_conv2023_ordinario_A-T33</x:v>
      </x:c>
      <x:c r="B34" s="18" t="n">
        <x:v>2024</x:v>
      </x:c>
      <x:c r="C34" s="18" t="n">
        <x:v>2023</x:v>
      </x:c>
      <x:c r="D34" s="28" t="n">
        <x:v>45626</x:v>
      </x:c>
      <x:c r="E34" s="18" t="str">
        <x:v>Acceso libre</x:v>
      </x:c>
      <x:c r="F34" s="18" t="str">
        <x:v>Primera parte</x:v>
      </x:c>
      <x:c r="G34" s="18" t="str">
        <x:v>A</x:v>
      </x:c>
      <x:c r="H34" s="18" t="str">
        <x:v>A/B</x:v>
      </x:c>
      <x:c r="I34" s="18" t="str">
        <x:v>Sí</x:v>
      </x:c>
      <x:c r="J34" s="18" t="str">
        <x:v>Modelo A usado como variante canónica; el modelo B oficial está archivado y permuta el orden y/o las opciones.</x:v>
      </x:c>
      <x:c r="K34" s="18" t="n">
        <x:v>33</x:v>
      </x:c>
      <x:c r="L34" s="18" t="str">
        <x:v>No</x:v>
      </x:c>
      <x:c r="M34" s="18" t="str">
        <x:v>Según eI artículo 33 del Real Decreto 84/1996, de 26 de enero, establece que es competente para reconocer el derecho a la afiliación, al alta o a la baja en la Seguridad Social la Dirección Provincial de la Tesorería General de la Seguridad Social o la Administración de la misma en la provincia:</x:v>
      </x:c>
      <x:c r="N34" s="18" t="str">
        <x:v>En cuyo ámbito territorial se encuentre eI domicilio del trabajador por cuenta ajena.</x:v>
      </x:c>
      <x:c r="O34" s="18" t="str">
        <x:v>En la que radique eI establecimiento del trabajador por cuenta ajena.</x:v>
      </x:c>
      <x:c r="P34" s="18" t="str">
        <x:v>En que se encuentre abierta la cuenta de cotización del empresario al que presta servicios eI trabajador por cuenta ajena.</x:v>
      </x:c>
      <x:c r="Q34" s="18" t="str">
        <x:v>Es competente la Dirección Provincial del Instituto Nacional de la Seguridad Social.</x:v>
      </x:c>
      <x:c r="R34" s="18" t="str">
        <x:v>S03</x:v>
      </x:c>
      <x:c r="S34" s="18" t="n">
        <x:v>3</x:v>
      </x:c>
      <x:c r="T34" s="18" t="str">
        <x:v>Temario específico Seguridad Social</x:v>
      </x:c>
      <x:c r="U34" s="18" t="str">
        <x:v>Normas sobre afiliación. Altas y bajas en el régimen general. Procedimiento y efectos. El convenio especial y otras situaciones asimiladas a la del alta. Encuadramiento e inscripción.</x:v>
      </x:c>
      <x:c r="V34" s="18" t="str">
        <x:v>afiliación</x:v>
      </x:c>
      <x:c r="W34" s="18" t="str">
        <x:v>Real Decreto 84/1996</x:v>
      </x:c>
      <x:c r="X34" s="18" t="str">
        <x:v>33</x:v>
      </x:c>
      <x:c r="Y34" s="18" t="str">
        <x:v>Competencias</x:v>
      </x:c>
      <x:c r="Z34" s="18" t="str">
        <x:v>Media</x:v>
      </x:c>
      <x:c r="AA34" s="18" t="str">
        <x:v>afiliación</x:v>
      </x:c>
      <x:c r="AB34" s="18" t="str">
        <x:v>Tesorería General de la Seguridad Social; ISM</x:v>
      </x:c>
      <x:c r="AC34" s="18" t="str"/>
      <x:c r="AD34" s="18" t="str">
        <x:v>No</x:v>
      </x:c>
      <x:c r="AE34" s="18" t="str">
        <x:v>Teórico</x:v>
      </x:c>
      <x:c r="AF34" s="18" t="str">
        <x:v>C</x:v>
      </x:c>
      <x:c r="AG34" s="18" t="str">
        <x:v>C</x:v>
      </x:c>
      <x:c r="AH34" s="18" t="str">
        <x:v>Válida</x:v>
      </x:c>
      <x:c r="AI34" s="18" t="str">
        <x:v>01. Información oficial de la oposición\Exámenes oficiales anteriores\2024 Convocatoria 2023 - Cuestionario libre Modelo A.pdf</x:v>
      </x:c>
      <x:c r="AJ34" s="18" t="str">
        <x:v>https://www.seg-social.es/wps/portal/wss/internet/InformacionUtil/9950/88beb45d-ca83-4bab-8162-f94ef2894562</x:v>
      </x:c>
      <x:c r="AK34" s="18" t="str">
        <x:v>OCR Windows es-ES sobre PDF oficial</x:v>
      </x:c>
      <x:c r="AL34" s="18" t="n">
        <x:v>100</x:v>
      </x:c>
      <x:c r="AM34" s="18" t="str">
        <x:v>Alta</x:v>
      </x:c>
      <x:c r="AN34" s="18" t="str">
        <x:v>Regla jurídica determinista</x:v>
      </x:c>
      <x:c r="AO34" s="18" t="str">
        <x:v>2024_conv2023_ordinario_A-T33</x:v>
      </x:c>
      <x:c r="AP34" s="18" t="n">
        <x:v>1</x:v>
      </x:c>
    </x:row>
    <x:row r="35">
      <x:c r="A35" s="18" t="str">
        <x:v>2024_conv2023_ordinario_A-T34</x:v>
      </x:c>
      <x:c r="B35" s="18" t="n">
        <x:v>2024</x:v>
      </x:c>
      <x:c r="C35" s="18" t="n">
        <x:v>2023</x:v>
      </x:c>
      <x:c r="D35" s="28" t="n">
        <x:v>45626</x:v>
      </x:c>
      <x:c r="E35" s="18" t="str">
        <x:v>Acceso libre</x:v>
      </x:c>
      <x:c r="F35" s="18" t="str">
        <x:v>Primera parte</x:v>
      </x:c>
      <x:c r="G35" s="18" t="str">
        <x:v>A</x:v>
      </x:c>
      <x:c r="H35" s="18" t="str">
        <x:v>A/B</x:v>
      </x:c>
      <x:c r="I35" s="18" t="str">
        <x:v>Sí</x:v>
      </x:c>
      <x:c r="J35" s="18" t="str">
        <x:v>Modelo A usado como variante canónica; el modelo B oficial está archivado y permuta el orden y/o las opciones.</x:v>
      </x:c>
      <x:c r="K35" s="18" t="n">
        <x:v>34</x:v>
      </x:c>
      <x:c r="L35" s="18" t="str">
        <x:v>No</x:v>
      </x:c>
      <x:c r="M35" s="18" t="str">
        <x:v>¿Quién es el sujeto activo de la obligación de cotizar a la Seguridad Social, conforme a 10 dispuesto en eI artículo 7.1 del Real Decreto 2064/1995, de 22 de diciembre, por el que se aprueba el Reglamento General sobre Cotización y Liquidación de otros Derechos de la Seguridad Social?</x:v>
      </x:c>
      <x:c r="N35" s="18" t="str">
        <x:v>EI empresario como sujeto responsable del cumplimiento de la obligación de cotizar.</x:v>
      </x:c>
      <x:c r="O35" s="18" t="str">
        <x:v>La Tesorería General de la Seguridad Social.</x:v>
      </x:c>
      <x:c r="P35" s="18" t="str">
        <x:v>La Secretaría de Estado de la Seguridad Social y Pensiones.</x:v>
      </x:c>
      <x:c r="Q35" s="18" t="str">
        <x:v>Los empresarios y trabajadores incluidos en el Sistema de la Seguridad Social.</x:v>
      </x:c>
      <x:c r="R35" s="18" t="str">
        <x:v>S04</x:v>
      </x:c>
      <x:c r="S35" s="18" t="n">
        <x:v>4</x:v>
      </x:c>
      <x:c r="T35" s="18" t="str">
        <x:v>Temario específico Seguridad Social</x:v>
      </x:c>
      <x:c r="U35" s="18" t="str">
        <x:v>La cotización a la Seguridad Social: normas comunes del sistema. La liquidación de cuotas. El régimen general de la Seguridad Social. Supuestos especiales. Bases y tipos de cotización. Liquidación de otras deudas.</x:v>
      </x:c>
      <x:c r="V35" s="18" t="str">
        <x:v>S04</x:v>
      </x:c>
      <x:c r="W35" s="18" t="str">
        <x:v>Real Decreto 2064/1995</x:v>
      </x:c>
      <x:c r="X35" s="18" t="str">
        <x:v>7.1</x:v>
      </x:c>
      <x:c r="Y35" s="18" t="str">
        <x:v>Cotización</x:v>
      </x:c>
      <x:c r="Z35" s="18" t="str">
        <x:v>Media</x:v>
      </x:c>
      <x:c r="AA35" s="18" t="str">
        <x:v>S04</x:v>
      </x:c>
      <x:c r="AB35" s="18" t="str"/>
      <x:c r="AC35" s="18" t="str"/>
      <x:c r="AD35" s="18" t="str">
        <x:v>No</x:v>
      </x:c>
      <x:c r="AE35" s="18" t="str">
        <x:v>Teórico</x:v>
      </x:c>
      <x:c r="AF35" s="18" t="str">
        <x:v>B</x:v>
      </x:c>
      <x:c r="AG35" s="18" t="str">
        <x:v>B</x:v>
      </x:c>
      <x:c r="AH35" s="18" t="str">
        <x:v>Válida</x:v>
      </x:c>
      <x:c r="AI35" s="18" t="str">
        <x:v>01. Información oficial de la oposición\Exámenes oficiales anteriores\2024 Convocatoria 2023 - Cuestionario libre Modelo A.pdf</x:v>
      </x:c>
      <x:c r="AJ35" s="18" t="str">
        <x:v>https://www.seg-social.es/wps/portal/wss/internet/InformacionUtil/9950/88beb45d-ca83-4bab-8162-f94ef2894562</x:v>
      </x:c>
      <x:c r="AK35" s="18" t="str">
        <x:v>OCR Windows es-ES sobre PDF oficial</x:v>
      </x:c>
      <x:c r="AL35" s="18" t="n">
        <x:v>100</x:v>
      </x:c>
      <x:c r="AM35" s="18" t="str">
        <x:v>Alta</x:v>
      </x:c>
      <x:c r="AN35" s="18" t="str">
        <x:v>Regla jurídica determinista</x:v>
      </x:c>
      <x:c r="AO35" s="18" t="str">
        <x:v>2024_conv2023_ordinario_A-T34</x:v>
      </x:c>
      <x:c r="AP35" s="18" t="n">
        <x:v>1</x:v>
      </x:c>
    </x:row>
    <x:row r="36">
      <x:c r="A36" s="18" t="str">
        <x:v>2024_conv2023_ordinario_A-T35</x:v>
      </x:c>
      <x:c r="B36" s="18" t="n">
        <x:v>2024</x:v>
      </x:c>
      <x:c r="C36" s="18" t="n">
        <x:v>2023</x:v>
      </x:c>
      <x:c r="D36" s="28" t="n">
        <x:v>45626</x:v>
      </x:c>
      <x:c r="E36" s="18" t="str">
        <x:v>Acceso libre</x:v>
      </x:c>
      <x:c r="F36" s="18" t="str">
        <x:v>Primera parte</x:v>
      </x:c>
      <x:c r="G36" s="18" t="str">
        <x:v>A</x:v>
      </x:c>
      <x:c r="H36" s="18" t="str">
        <x:v>A/B</x:v>
      </x:c>
      <x:c r="I36" s="18" t="str">
        <x:v>Sí</x:v>
      </x:c>
      <x:c r="J36" s="18" t="str">
        <x:v>Modelo A usado como variante canónica; el modelo B oficial está archivado y permuta el orden y/o las opciones.</x:v>
      </x:c>
      <x:c r="K36" s="18" t="n">
        <x:v>35</x:v>
      </x:c>
      <x:c r="L36" s="18" t="str">
        <x:v>No</x:v>
      </x:c>
      <x:c r="M36" s="18" t="str">
        <x:v>De acuerdo con 10 dispuesto en los arts. 147.2.d) del texto refundido de la Ley General de la Seguridad Social y 23.2.c) del Reglamento de Cotización y Liquidación de derechos de Seguridad Social (RD 2064/1995), NO se computarán en la base de cotización:</x:v>
      </x:c>
      <x:c r="N36" s="18" t="str">
        <x:v>Las percepciones de vencimiento superior al mensual.</x:v>
      </x:c>
      <x:c r="O36" s="18" t="str">
        <x:v>Las percepciones correspondientes a vacaciones anuales devengadas y no disfrutadas que sean retribuidas a la finalización de la relación laboral.</x:v>
      </x:c>
      <x:c r="P36" s="18" t="str">
        <x:v>Las prestaciones de la Seguridad Social y las mejoras de las prestaciones por incapacidad temporal concedidas por las empresas.</x:v>
      </x:c>
      <x:c r="Q36" s="18" t="str">
        <x:v>Todas las percepciones recibidas por los trabajadores se incluirán en la base de cotización, independientemente de su cuantía.</x:v>
      </x:c>
      <x:c r="R36" s="18" t="str">
        <x:v>S04</x:v>
      </x:c>
      <x:c r="S36" s="18" t="n">
        <x:v>4</x:v>
      </x:c>
      <x:c r="T36" s="18" t="str">
        <x:v>Temario específico Seguridad Social</x:v>
      </x:c>
      <x:c r="U36" s="18" t="str">
        <x:v>La cotización a la Seguridad Social: normas comunes del sistema. La liquidación de cuotas. El régimen general de la Seguridad Social. Supuestos especiales. Bases y tipos de cotización. Liquidación de otras deudas.</x:v>
      </x:c>
      <x:c r="V36" s="18" t="str">
        <x:v>base de cotización</x:v>
      </x:c>
      <x:c r="W36" s="18" t="str">
        <x:v>texto refundido de la Ley General de la Seguridad Social</x:v>
      </x:c>
      <x:c r="X36" s="18" t="str"/>
      <x:c r="Y36" s="18" t="str">
        <x:v>Cotización</x:v>
      </x:c>
      <x:c r="Z36" s="18" t="str">
        <x:v>Media</x:v>
      </x:c>
      <x:c r="AA36" s="18" t="str">
        <x:v>base de cotización</x:v>
      </x:c>
      <x:c r="AB36" s="18" t="str"/>
      <x:c r="AC36" s="18" t="str"/>
      <x:c r="AD36" s="18" t="str">
        <x:v>No</x:v>
      </x:c>
      <x:c r="AE36" s="18" t="str">
        <x:v>Teórico</x:v>
      </x:c>
      <x:c r="AF36" s="18" t="str">
        <x:v>C</x:v>
      </x:c>
      <x:c r="AG36" s="18" t="str">
        <x:v>C</x:v>
      </x:c>
      <x:c r="AH36" s="18" t="str">
        <x:v>Válida</x:v>
      </x:c>
      <x:c r="AI36" s="18" t="str">
        <x:v>01. Información oficial de la oposición\Exámenes oficiales anteriores\2024 Convocatoria 2023 - Cuestionario libre Modelo A.pdf</x:v>
      </x:c>
      <x:c r="AJ36" s="18" t="str">
        <x:v>https://www.seg-social.es/wps/portal/wss/internet/InformacionUtil/9950/88beb45d-ca83-4bab-8162-f94ef2894562</x:v>
      </x:c>
      <x:c r="AK36" s="18" t="str">
        <x:v>OCR Windows es-ES sobre PDF oficial</x:v>
      </x:c>
      <x:c r="AL36" s="18" t="n">
        <x:v>100</x:v>
      </x:c>
      <x:c r="AM36" s="18" t="str">
        <x:v>Alta</x:v>
      </x:c>
      <x:c r="AN36" s="18" t="str">
        <x:v>Regla jurídica determinista</x:v>
      </x:c>
      <x:c r="AO36" s="18" t="str">
        <x:v>2024_conv2023_ordinario_A-T35</x:v>
      </x:c>
      <x:c r="AP36" s="18" t="n">
        <x:v>1</x:v>
      </x:c>
    </x:row>
    <x:row r="37">
      <x:c r="A37" s="18" t="str">
        <x:v>2024_conv2023_ordinario_A-T36</x:v>
      </x:c>
      <x:c r="B37" s="18" t="n">
        <x:v>2024</x:v>
      </x:c>
      <x:c r="C37" s="18" t="n">
        <x:v>2023</x:v>
      </x:c>
      <x:c r="D37" s="28" t="n">
        <x:v>45626</x:v>
      </x:c>
      <x:c r="E37" s="18" t="str">
        <x:v>Acceso libre</x:v>
      </x:c>
      <x:c r="F37" s="18" t="str">
        <x:v>Primera parte</x:v>
      </x:c>
      <x:c r="G37" s="18" t="str">
        <x:v>A</x:v>
      </x:c>
      <x:c r="H37" s="18" t="str">
        <x:v>A/B</x:v>
      </x:c>
      <x:c r="I37" s="18" t="str">
        <x:v>Sí</x:v>
      </x:c>
      <x:c r="J37" s="18" t="str">
        <x:v>Modelo A usado como variante canónica; el modelo B oficial está archivado y permuta el orden y/o las opciones.</x:v>
      </x:c>
      <x:c r="K37" s="18" t="n">
        <x:v>36</x:v>
      </x:c>
      <x:c r="L37" s="18" t="str">
        <x:v>No</x:v>
      </x:c>
      <x:c r="M37" s="18" t="str">
        <x:v>¿Cómo se denomina la cotización finalista establecida sobre la base de cotización por contingencias comunes en todas las situaciones en las que existe obligación de cotizar para la cobertura de la pensión de jubilación, para preservar el equilibrio entre generaciones y fortalecer la sostenibilidad del sistema de la Seguridad Social a largo plazo? EI art. 127.bis y la D.T. 43 del texto refundido de la Ley General de la Seguridad Social fo definen como:</x:v>
      </x:c>
      <x:c r="N37" s="18" t="str">
        <x:v>Fondo de Garantía del Sistema de la Seguridad Social,</x:v>
      </x:c>
      <x:c r="O37" s="18" t="str">
        <x:v>Mecanismo de equidad intergeneracional.</x:v>
      </x:c>
      <x:c r="P37" s="18" t="str">
        <x:v>Factor de Sostenibilidad.</x:v>
      </x:c>
      <x:c r="Q37" s="18" t="str">
        <x:v>Fondo de Depósito de la prestación de jubilación.</x:v>
      </x:c>
      <x:c r="R37" s="18" t="str">
        <x:v>S04</x:v>
      </x:c>
      <x:c r="S37" s="18" t="n">
        <x:v>4</x:v>
      </x:c>
      <x:c r="T37" s="18" t="str">
        <x:v>Temario específico Seguridad Social</x:v>
      </x:c>
      <x:c r="U37" s="18" t="str">
        <x:v>La cotización a la Seguridad Social: normas comunes del sistema. La liquidación de cuotas. El régimen general de la Seguridad Social. Supuestos especiales. Bases y tipos de cotización. Liquidación de otras deudas.</x:v>
      </x:c>
      <x:c r="V37" s="18" t="str">
        <x:v>base de cotización</x:v>
      </x:c>
      <x:c r="W37" s="18" t="str">
        <x:v>texto refundido de la Ley General de la Seguridad Social</x:v>
      </x:c>
      <x:c r="X37" s="18" t="str"/>
      <x:c r="Y37" s="18" t="str">
        <x:v>Plazos</x:v>
      </x:c>
      <x:c r="Z37" s="18" t="str">
        <x:v>Alta</x:v>
      </x:c>
      <x:c r="AA37" s="18" t="str">
        <x:v>base de cotización</x:v>
      </x:c>
      <x:c r="AB37" s="18" t="str"/>
      <x:c r="AC37" s="18" t="str"/>
      <x:c r="AD37" s="18" t="str">
        <x:v>No</x:v>
      </x:c>
      <x:c r="AE37" s="18" t="str">
        <x:v>Teórico</x:v>
      </x:c>
      <x:c r="AF37" s="18" t="str">
        <x:v>B</x:v>
      </x:c>
      <x:c r="AG37" s="18" t="str">
        <x:v>B</x:v>
      </x:c>
      <x:c r="AH37" s="18" t="str">
        <x:v>Válida</x:v>
      </x:c>
      <x:c r="AI37" s="18" t="str">
        <x:v>01. Información oficial de la oposición\Exámenes oficiales anteriores\2024 Convocatoria 2023 - Cuestionario libre Modelo A.pdf</x:v>
      </x:c>
      <x:c r="AJ37" s="18" t="str">
        <x:v>https://www.seg-social.es/wps/portal/wss/internet/InformacionUtil/9950/88beb45d-ca83-4bab-8162-f94ef2894562</x:v>
      </x:c>
      <x:c r="AK37" s="18" t="str">
        <x:v>OCR Windows es-ES sobre PDF oficial</x:v>
      </x:c>
      <x:c r="AL37" s="18" t="n">
        <x:v>100</x:v>
      </x:c>
      <x:c r="AM37" s="18" t="str">
        <x:v>Alta</x:v>
      </x:c>
      <x:c r="AN37" s="18" t="str">
        <x:v>Regla jurídica determinista</x:v>
      </x:c>
      <x:c r="AO37" s="18" t="str">
        <x:v>2024_conv2023_ordinario_A-T36</x:v>
      </x:c>
      <x:c r="AP37" s="18" t="n">
        <x:v>1</x:v>
      </x:c>
    </x:row>
    <x:row r="38">
      <x:c r="A38" s="18" t="str">
        <x:v>2024_conv2023_ordinario_A-T37</x:v>
      </x:c>
      <x:c r="B38" s="18" t="n">
        <x:v>2024</x:v>
      </x:c>
      <x:c r="C38" s="18" t="n">
        <x:v>2023</x:v>
      </x:c>
      <x:c r="D38" s="28" t="n">
        <x:v>45626</x:v>
      </x:c>
      <x:c r="E38" s="18" t="str">
        <x:v>Acceso libre</x:v>
      </x:c>
      <x:c r="F38" s="18" t="str">
        <x:v>Primera parte</x:v>
      </x:c>
      <x:c r="G38" s="18" t="str">
        <x:v>A</x:v>
      </x:c>
      <x:c r="H38" s="18" t="str">
        <x:v>A/B</x:v>
      </x:c>
      <x:c r="I38" s="18" t="str">
        <x:v>Sí</x:v>
      </x:c>
      <x:c r="J38" s="18" t="str">
        <x:v>Modelo A usado como variante canónica; el modelo B oficial está archivado y permuta el orden y/o las opciones.</x:v>
      </x:c>
      <x:c r="K38" s="18" t="n">
        <x:v>37</x:v>
      </x:c>
      <x:c r="L38" s="18" t="str">
        <x:v>No</x:v>
      </x:c>
      <x:c r="M38" s="18" t="str">
        <x:v>Según establece el artículo 6 del Reglamento General de Recaudación de la Seguridad Social, aprobado por Real Decreto 1415/2004, de II de junio ¿Cuándo se inicia y finaliza el período voluntario de recaudación?</x:v>
      </x:c>
      <x:c r="N38" s="18" t="str">
        <x:v>Se iniciará una vez finalizado el plazo reglamentario de ingreso, y se prolongará, de no mediar pago u otra causa de extinción de la deuda, hasta la emisión de la providencia de apremio, con la que se dará inicio al periodo de recaudación ejecutiva.</x:v>
      </x:c>
      <x:c r="O38" s="18" t="str">
        <x:v>Se iniciará una vez finalizado el plazo reglamentario de ingreso, y se prolongará, de no tnediar pago u otra causa de extinción de la deuda, hasta la emisión de la reclamación de deuda o acta de liquidación.</x:v>
      </x:c>
      <x:c r="P38" s="18" t="str">
        <x:v>Se iniciará en la fecha de comienzo del plazo reglamentario de ingreso, y finalizará eI último dia de dicho plazo reglamentario.</x:v>
      </x:c>
      <x:c r="Q38" s="18" t="str">
        <x:v>Se iniciará en la fecha de comienzo del plazo reglamentario de ingreso, y se prolongará, de no mediar pago u otra causa de extinción de la deuda, hasta la emisión de la providencia de apremio, con la que se dará inicio al periodo de recaudación ejecutiva.</x:v>
      </x:c>
      <x:c r="R38" s="18" t="str">
        <x:v>S05</x:v>
      </x:c>
      <x:c r="S38" s="18" t="n">
        <x:v>5</x:v>
      </x:c>
      <x:c r="T38" s="18" t="str">
        <x:v>Temario específico Seguridad Social</x:v>
      </x:c>
      <x:c r="U38" s="18" t="str">
        <x:v>La gestión recaudatoria: concepto, competencia y objeto. Responsables del pago. Requisitos para el pago. Medios de pago. Control de recaudación. Revisión de los actos de gestión recaudatoria. La recaudación en periodo voluntario. Efectos de la falta de cotización en período reglamentario. Recaudación de otros recursos. Aplazamientos. Devolución de ingresos indebidos. Capital coste de pensiones.</x:v>
      </x:c>
      <x:c r="V38" s="18" t="str">
        <x:v>S05</x:v>
      </x:c>
      <x:c r="W38" s="18" t="str">
        <x:v>Real Decreto 1415/2004</x:v>
      </x:c>
      <x:c r="X38" s="18" t="str">
        <x:v>6</x:v>
      </x:c>
      <x:c r="Y38" s="18" t="str">
        <x:v>Recaudación</x:v>
      </x:c>
      <x:c r="Z38" s="18" t="str">
        <x:v>Media</x:v>
      </x:c>
      <x:c r="AA38" s="18" t="str">
        <x:v>S05</x:v>
      </x:c>
      <x:c r="AB38" s="18" t="str"/>
      <x:c r="AC38" s="18" t="str"/>
      <x:c r="AD38" s="18" t="str">
        <x:v>No</x:v>
      </x:c>
      <x:c r="AE38" s="18" t="str">
        <x:v>Teórico</x:v>
      </x:c>
      <x:c r="AF38" s="18" t="str">
        <x:v>D</x:v>
      </x:c>
      <x:c r="AG38" s="18" t="str">
        <x:v>D</x:v>
      </x:c>
      <x:c r="AH38" s="18" t="str">
        <x:v>Válida</x:v>
      </x:c>
      <x:c r="AI38" s="18" t="str">
        <x:v>01. Información oficial de la oposición\Exámenes oficiales anteriores\2024 Convocatoria 2023 - Cuestionario libre Modelo A.pdf</x:v>
      </x:c>
      <x:c r="AJ38" s="18" t="str">
        <x:v>https://www.seg-social.es/wps/portal/wss/internet/InformacionUtil/9950/88beb45d-ca83-4bab-8162-f94ef2894562</x:v>
      </x:c>
      <x:c r="AK38" s="18" t="str">
        <x:v>OCR Windows es-ES sobre PDF oficial</x:v>
      </x:c>
      <x:c r="AL38" s="18" t="n">
        <x:v>100</x:v>
      </x:c>
      <x:c r="AM38" s="18" t="str">
        <x:v>Alta</x:v>
      </x:c>
      <x:c r="AN38" s="18" t="str">
        <x:v>Regla jurídica determinista</x:v>
      </x:c>
      <x:c r="AO38" s="18" t="str">
        <x:v>2024_conv2023_ordinario_A-T37</x:v>
      </x:c>
      <x:c r="AP38" s="18" t="n">
        <x:v>1</x:v>
      </x:c>
    </x:row>
    <x:row r="39">
      <x:c r="A39" s="18" t="str">
        <x:v>2024_conv2023_ordinario_A-T38</x:v>
      </x:c>
      <x:c r="B39" s="18" t="n">
        <x:v>2024</x:v>
      </x:c>
      <x:c r="C39" s="18" t="n">
        <x:v>2023</x:v>
      </x:c>
      <x:c r="D39" s="28" t="n">
        <x:v>45626</x:v>
      </x:c>
      <x:c r="E39" s="18" t="str">
        <x:v>Acceso libre</x:v>
      </x:c>
      <x:c r="F39" s="18" t="str">
        <x:v>Primera parte</x:v>
      </x:c>
      <x:c r="G39" s="18" t="str">
        <x:v>A</x:v>
      </x:c>
      <x:c r="H39" s="18" t="str">
        <x:v>A/B</x:v>
      </x:c>
      <x:c r="I39" s="18" t="str">
        <x:v>Sí</x:v>
      </x:c>
      <x:c r="J39" s="18" t="str">
        <x:v>Modelo A usado como variante canónica; el modelo B oficial está archivado y permuta el orden y/o las opciones.</x:v>
      </x:c>
      <x:c r="K39" s="18" t="n">
        <x:v>38</x:v>
      </x:c>
      <x:c r="L39" s="18" t="str">
        <x:v>No</x:v>
      </x:c>
      <x:c r="M39" s="18" t="str">
        <x:v>¿Cuál es el plazo reglamentario para el ingreso de las cuotas correspondientes al Régimen Especial de Trabajadores por Cuenta Propia o Autónomos?</x:v>
      </x:c>
      <x:c r="N39" s="18" t="str">
        <x:v>Dentro del mismo mes al que aquellas correspondan.</x:v>
      </x:c>
      <x:c r="O39" s="18" t="str">
        <x:v>Dentro del mes siguiente al que corresponda su devengo.</x:v>
      </x:c>
      <x:c r="P39" s="18" t="str">
        <x:v>Dentro del mes siguiente a aquel en que se comunique la liquidación correspondiente por la TGSS.</x:v>
      </x:c>
      <x:c r="Q39" s="18" t="str">
        <x:v>Dentro del año natural,</x:v>
      </x:c>
      <x:c r="R39" s="18" t="str">
        <x:v>S05</x:v>
      </x:c>
      <x:c r="S39" s="18" t="n">
        <x:v>5</x:v>
      </x:c>
      <x:c r="T39" s="18" t="str">
        <x:v>Temario específico Seguridad Social</x:v>
      </x:c>
      <x:c r="U39" s="18" t="str">
        <x:v>La gestión recaudatoria: concepto, competencia y objeto. Responsables del pago. Requisitos para el pago. Medios de pago. Control de recaudación. Revisión de los actos de gestión recaudatoria. La recaudación en periodo voluntario. Efectos de la falta de cotización en período reglamentario. Recaudación de otros recursos. Aplazamientos. Devolución de ingresos indebidos. Capital coste de pensiones.</x:v>
      </x:c>
      <x:c r="V39" s="18" t="str">
        <x:v>S05</x:v>
      </x:c>
      <x:c r="W39" s="18" t="str"/>
      <x:c r="X39" s="18" t="str"/>
      <x:c r="Y39" s="18" t="str">
        <x:v>Plazos</x:v>
      </x:c>
      <x:c r="Z39" s="18" t="str">
        <x:v>Básica</x:v>
      </x:c>
      <x:c r="AA39" s="18" t="str">
        <x:v>S05</x:v>
      </x:c>
      <x:c r="AB39" s="18" t="str"/>
      <x:c r="AC39" s="18" t="str"/>
      <x:c r="AD39" s="18" t="str">
        <x:v>No</x:v>
      </x:c>
      <x:c r="AE39" s="18" t="str">
        <x:v>Teórico</x:v>
      </x:c>
      <x:c r="AF39" s="18" t="str">
        <x:v>A</x:v>
      </x:c>
      <x:c r="AG39" s="18" t="str">
        <x:v>A</x:v>
      </x:c>
      <x:c r="AH39" s="18" t="str">
        <x:v>Válida</x:v>
      </x:c>
      <x:c r="AI39" s="18" t="str">
        <x:v>01. Información oficial de la oposición\Exámenes oficiales anteriores\2024 Convocatoria 2023 - Cuestionario libre Modelo A.pdf</x:v>
      </x:c>
      <x:c r="AJ39" s="18" t="str">
        <x:v>https://www.seg-social.es/wps/portal/wss/internet/InformacionUtil/9950/88beb45d-ca83-4bab-8162-f94ef2894562</x:v>
      </x:c>
      <x:c r="AK39" s="18" t="str">
        <x:v>OCR Windows es-ES sobre PDF oficial</x:v>
      </x:c>
      <x:c r="AL39" s="18" t="n">
        <x:v>100</x:v>
      </x:c>
      <x:c r="AM39" s="18" t="str">
        <x:v>Alta</x:v>
      </x:c>
      <x:c r="AN39" s="18" t="str">
        <x:v>Revisión jurídica individual</x:v>
      </x:c>
      <x:c r="AO39" s="18" t="str">
        <x:v>2024_conv2023_ordinario_A-T38</x:v>
      </x:c>
      <x:c r="AP39" s="18" t="n">
        <x:v>1</x:v>
      </x:c>
    </x:row>
    <x:row r="40">
      <x:c r="A40" s="18" t="str">
        <x:v>2024_conv2023_ordinario_A-T39</x:v>
      </x:c>
      <x:c r="B40" s="18" t="n">
        <x:v>2024</x:v>
      </x:c>
      <x:c r="C40" s="18" t="n">
        <x:v>2023</x:v>
      </x:c>
      <x:c r="D40" s="28" t="n">
        <x:v>45626</x:v>
      </x:c>
      <x:c r="E40" s="18" t="str">
        <x:v>Acceso libre</x:v>
      </x:c>
      <x:c r="F40" s="18" t="str">
        <x:v>Primera parte</x:v>
      </x:c>
      <x:c r="G40" s="18" t="str">
        <x:v>A</x:v>
      </x:c>
      <x:c r="H40" s="18" t="str">
        <x:v>A/B</x:v>
      </x:c>
      <x:c r="I40" s="18" t="str">
        <x:v>Sí</x:v>
      </x:c>
      <x:c r="J40" s="18" t="str">
        <x:v>Modelo A usado como variante canónica; el modelo B oficial está archivado y permuta el orden y/o las opciones.</x:v>
      </x:c>
      <x:c r="K40" s="18" t="n">
        <x:v>39</x:v>
      </x:c>
      <x:c r="L40" s="18" t="str">
        <x:v>No</x:v>
      </x:c>
      <x:c r="M40" s="18" t="str">
        <x:v>Las actas de liquidación de cuotas se extenderán por:</x:v>
      </x:c>
      <x:c r="N40" s="18" t="str">
        <x:v>Por la Inspección de Trabajo y Seguridad Social.</x:v>
      </x:c>
      <x:c r="O40" s="18" t="str">
        <x:v>Por la Tesorería General de la Seguridad Social.</x:v>
      </x:c>
      <x:c r="P40" s="18" t="str">
        <x:v>Por la Comunidad Autónoma competente.</x:v>
      </x:c>
      <x:c r="Q40" s="18" t="str">
        <x:v>Por la Agencia Tributaria del Ministerio de Hacienda.</x:v>
      </x:c>
      <x:c r="R40" s="18" t="str">
        <x:v>S04</x:v>
      </x:c>
      <x:c r="S40" s="18" t="n">
        <x:v>4</x:v>
      </x:c>
      <x:c r="T40" s="18" t="str">
        <x:v>Temario específico Seguridad Social</x:v>
      </x:c>
      <x:c r="U40" s="18" t="str">
        <x:v>La cotización a la Seguridad Social: normas comunes del sistema. La liquidación de cuotas. El régimen general de la Seguridad Social. Supuestos especiales. Bases y tipos de cotización. Liquidación de otras deudas.</x:v>
      </x:c>
      <x:c r="V40" s="18" t="str">
        <x:v>liquidación de cuotas</x:v>
      </x:c>
      <x:c r="W40" s="18" t="str"/>
      <x:c r="X40" s="18" t="str"/>
      <x:c r="Y40" s="18" t="str">
        <x:v>Cotización</x:v>
      </x:c>
      <x:c r="Z40" s="18" t="str">
        <x:v>Básica</x:v>
      </x:c>
      <x:c r="AA40" s="18" t="str">
        <x:v>liquidación de cuotas</x:v>
      </x:c>
      <x:c r="AB40" s="18" t="str"/>
      <x:c r="AC40" s="18" t="str"/>
      <x:c r="AD40" s="18" t="str">
        <x:v>No</x:v>
      </x:c>
      <x:c r="AE40" s="18" t="str">
        <x:v>Teórico</x:v>
      </x:c>
      <x:c r="AF40" s="18" t="str">
        <x:v>A</x:v>
      </x:c>
      <x:c r="AG40" s="18" t="str">
        <x:v>A</x:v>
      </x:c>
      <x:c r="AH40" s="18" t="str">
        <x:v>Válida</x:v>
      </x:c>
      <x:c r="AI40" s="18" t="str">
        <x:v>01. Información oficial de la oposición\Exámenes oficiales anteriores\2024 Convocatoria 2023 - Cuestionario libre Modelo A.pdf</x:v>
      </x:c>
      <x:c r="AJ40" s="18" t="str">
        <x:v>https://www.seg-social.es/wps/portal/wss/internet/InformacionUtil/9950/88beb45d-ca83-4bab-8162-f94ef2894562</x:v>
      </x:c>
      <x:c r="AK40" s="18" t="str">
        <x:v>OCR Windows es-ES sobre PDF oficial</x:v>
      </x:c>
      <x:c r="AL40" s="18" t="n">
        <x:v>100</x:v>
      </x:c>
      <x:c r="AM40" s="18" t="str">
        <x:v>Alta</x:v>
      </x:c>
      <x:c r="AN40" s="18" t="str">
        <x:v>Regla jurídica determinista</x:v>
      </x:c>
      <x:c r="AO40" s="18" t="str">
        <x:v>2024_conv2023_ordinario_A-T39</x:v>
      </x:c>
      <x:c r="AP40" s="18" t="n">
        <x:v>1</x:v>
      </x:c>
    </x:row>
    <x:row r="41">
      <x:c r="A41" s="18" t="str">
        <x:v>2024_conv2023_ordinario_A-T40</x:v>
      </x:c>
      <x:c r="B41" s="18" t="n">
        <x:v>2024</x:v>
      </x:c>
      <x:c r="C41" s="18" t="n">
        <x:v>2023</x:v>
      </x:c>
      <x:c r="D41" s="28" t="n">
        <x:v>45626</x:v>
      </x:c>
      <x:c r="E41" s="18" t="str">
        <x:v>Acceso libre</x:v>
      </x:c>
      <x:c r="F41" s="18" t="str">
        <x:v>Primera parte</x:v>
      </x:c>
      <x:c r="G41" s="18" t="str">
        <x:v>A</x:v>
      </x:c>
      <x:c r="H41" s="18" t="str">
        <x:v>A/B</x:v>
      </x:c>
      <x:c r="I41" s="18" t="str">
        <x:v>Sí</x:v>
      </x:c>
      <x:c r="J41" s="18" t="str">
        <x:v>Modelo A usado como variante canónica; el modelo B oficial está archivado y permuta el orden y/o las opciones.</x:v>
      </x:c>
      <x:c r="K41" s="18" t="n">
        <x:v>40</x:v>
      </x:c>
      <x:c r="L41" s="18" t="str">
        <x:v>No</x:v>
      </x:c>
      <x:c r="M41" s="18" t="str">
        <x:v>De acuerdo con el artículo 84 del Reglamento General de Recaudación de la Seguridad Social, aprobado por Real Decreto 141512004, de 11 de junio, la providencia de apremio contendrá la advertencia expresa de que serán exigibles los intereses de demora devengados desde la finalización del plazo reglamentario de ingreso, si no se efectúa el pago en el plazo de:</x:v>
      </x:c>
      <x:c r="N41" s="18" t="str">
        <x:v>Quince días hábiles siguientes a la notificación.</x:v>
      </x:c>
      <x:c r="O41" s="18" t="str">
        <x:v>Quince días naturales siguientes a la notificación,</x:v>
      </x:c>
      <x:c r="P41" s="18" t="str">
        <x:v>Veinte días naturales siguientes a la notificación,</x:v>
      </x:c>
      <x:c r="Q41" s="18" t="str">
        <x:v>Un mes natural siguiente a la notificación.</x:v>
      </x:c>
      <x:c r="R41" s="18" t="str">
        <x:v>S06</x:v>
      </x:c>
      <x:c r="S41" s="18" t="n">
        <x:v>6</x:v>
      </x:c>
      <x:c r="T41" s="18" t="str">
        <x:v>Temario específico Seguridad Social</x:v>
      </x:c>
      <x:c r="U41" s="18" t="str">
        <x:v>La recaudación en vía ejecutiva. Normas generales. Iniciación y título ejecutivo. La providencia de apremio. Oposición y efectos. El embargo de bienes. Enajenación de bienes: modalidades. Créditos incobrables. Tercerías.</x:v>
      </x:c>
      <x:c r="V41" s="18" t="str">
        <x:v>providencia de apremio</x:v>
      </x:c>
      <x:c r="W41" s="18" t="str"/>
      <x:c r="X41" s="18" t="str">
        <x:v>84</x:v>
      </x:c>
      <x:c r="Y41" s="18" t="str">
        <x:v>Plazos</x:v>
      </x:c>
      <x:c r="Z41" s="18" t="str">
        <x:v>Alta</x:v>
      </x:c>
      <x:c r="AA41" s="18" t="str">
        <x:v>providencia de apremio</x:v>
      </x:c>
      <x:c r="AB41" s="18" t="str"/>
      <x:c r="AC41" s="18" t="str"/>
      <x:c r="AD41" s="18" t="str">
        <x:v>No</x:v>
      </x:c>
      <x:c r="AE41" s="18" t="str">
        <x:v>Teórico</x:v>
      </x:c>
      <x:c r="AF41" s="18" t="str">
        <x:v>B</x:v>
      </x:c>
      <x:c r="AG41" s="18" t="str">
        <x:v>B</x:v>
      </x:c>
      <x:c r="AH41" s="18" t="str">
        <x:v>Válida</x:v>
      </x:c>
      <x:c r="AI41" s="18" t="str">
        <x:v>01. Información oficial de la oposición\Exámenes oficiales anteriores\2024 Convocatoria 2023 - Cuestionario libre Modelo A.pdf</x:v>
      </x:c>
      <x:c r="AJ41" s="18" t="str">
        <x:v>https://www.seg-social.es/wps/portal/wss/internet/InformacionUtil/9950/88beb45d-ca83-4bab-8162-f94ef2894562</x:v>
      </x:c>
      <x:c r="AK41" s="18" t="str">
        <x:v>OCR Windows es-ES sobre PDF oficial</x:v>
      </x:c>
      <x:c r="AL41" s="18" t="n">
        <x:v>100</x:v>
      </x:c>
      <x:c r="AM41" s="18" t="str">
        <x:v>Alta</x:v>
      </x:c>
      <x:c r="AN41" s="18" t="str">
        <x:v>Regla jurídica determinista</x:v>
      </x:c>
      <x:c r="AO41" s="18" t="str">
        <x:v>2024_conv2023_ordinario_A-T40</x:v>
      </x:c>
      <x:c r="AP41" s="18" t="n">
        <x:v>1</x:v>
      </x:c>
    </x:row>
    <x:row r="42">
      <x:c r="A42" s="18" t="str">
        <x:v>2024_conv2023_ordinario_A-T41</x:v>
      </x:c>
      <x:c r="B42" s="18" t="n">
        <x:v>2024</x:v>
      </x:c>
      <x:c r="C42" s="18" t="n">
        <x:v>2023</x:v>
      </x:c>
      <x:c r="D42" s="28" t="n">
        <x:v>45626</x:v>
      </x:c>
      <x:c r="E42" s="18" t="str">
        <x:v>Acceso libre</x:v>
      </x:c>
      <x:c r="F42" s="18" t="str">
        <x:v>Primera parte</x:v>
      </x:c>
      <x:c r="G42" s="18" t="str">
        <x:v>A</x:v>
      </x:c>
      <x:c r="H42" s="18" t="str">
        <x:v>A/B</x:v>
      </x:c>
      <x:c r="I42" s="18" t="str">
        <x:v>Sí</x:v>
      </x:c>
      <x:c r="J42" s="18" t="str">
        <x:v>Modelo A usado como variante canónica; el modelo B oficial está archivado y permuta el orden y/o las opciones.</x:v>
      </x:c>
      <x:c r="K42" s="18" t="n">
        <x:v>41</x:v>
      </x:c>
      <x:c r="L42" s="18" t="str">
        <x:v>No</x:v>
      </x:c>
      <x:c r="M42" s="18" t="str">
        <x:v>EI artículo 87 del Reglamento General de Recaudación de la Seguridad Social, aprobado por Real Decreto 141512004, de II de junio, permite prever un incremento sobre la cuantia exigible en las actuaciones del procedimiento de apremio para el cobro de la deuda, en concepto de previsión de costas e intereses que puedan devengarse hasta eI momento efectivo del cobro, pero la previsión de costas no puede superar:</x:v>
      </x:c>
      <x:c r="N42" s="18" t="str">
        <x:v>EI diez por ciento del importe de la deuda.</x:v>
      </x:c>
      <x:c r="O42" s="18" t="str">
        <x:v>No existe límite.</x:v>
      </x:c>
      <x:c r="P42" s="18" t="str">
        <x:v>EI quince por ciento del importe de la deuda.</x:v>
      </x:c>
      <x:c r="Q42" s="18" t="str">
        <x:v>E! tres por ciento del importe de la deuda.</x:v>
      </x:c>
      <x:c r="R42" s="18" t="str">
        <x:v>S06</x:v>
      </x:c>
      <x:c r="S42" s="18" t="n">
        <x:v>6</x:v>
      </x:c>
      <x:c r="T42" s="18" t="str">
        <x:v>Temario específico Seguridad Social</x:v>
      </x:c>
      <x:c r="U42" s="18" t="str">
        <x:v>La recaudación en vía ejecutiva. Normas generales. Iniciación y título ejecutivo. La providencia de apremio. Oposición y efectos. El embargo de bienes. Enajenación de bienes: modalidades. Créditos incobrables. Tercerías.</x:v>
      </x:c>
      <x:c r="V42" s="18" t="str">
        <x:v>S06</x:v>
      </x:c>
      <x:c r="W42" s="18" t="str"/>
      <x:c r="X42" s="18" t="str">
        <x:v>87</x:v>
      </x:c>
      <x:c r="Y42" s="18" t="str">
        <x:v>Cálculos</x:v>
      </x:c>
      <x:c r="Z42" s="18" t="str">
        <x:v>Alta</x:v>
      </x:c>
      <x:c r="AA42" s="18" t="str">
        <x:v>S06</x:v>
      </x:c>
      <x:c r="AB42" s="18" t="str"/>
      <x:c r="AC42" s="18" t="str"/>
      <x:c r="AD42" s="18" t="str">
        <x:v>No</x:v>
      </x:c>
      <x:c r="AE42" s="18" t="str">
        <x:v>Teórico</x:v>
      </x:c>
      <x:c r="AF42" s="18" t="str">
        <x:v>D</x:v>
      </x:c>
      <x:c r="AG42" s="18" t="str">
        <x:v>D</x:v>
      </x:c>
      <x:c r="AH42" s="18" t="str">
        <x:v>Válida</x:v>
      </x:c>
      <x:c r="AI42" s="18" t="str">
        <x:v>01. Información oficial de la oposición\Exámenes oficiales anteriores\2024 Convocatoria 2023 - Cuestionario libre Modelo A.pdf</x:v>
      </x:c>
      <x:c r="AJ42" s="18" t="str">
        <x:v>https://www.seg-social.es/wps/portal/wss/internet/InformacionUtil/9950/88beb45d-ca83-4bab-8162-f94ef2894562</x:v>
      </x:c>
      <x:c r="AK42" s="18" t="str">
        <x:v>OCR Windows es-ES sobre PDF oficial</x:v>
      </x:c>
      <x:c r="AL42" s="18" t="n">
        <x:v>100</x:v>
      </x:c>
      <x:c r="AM42" s="18" t="str">
        <x:v>Alta</x:v>
      </x:c>
      <x:c r="AN42" s="18" t="str">
        <x:v>Regla jurídica determinista</x:v>
      </x:c>
      <x:c r="AO42" s="18" t="str">
        <x:v>2024_conv2023_ordinario_A-T41</x:v>
      </x:c>
      <x:c r="AP42" s="18" t="n">
        <x:v>1</x:v>
      </x:c>
    </x:row>
    <x:row r="43">
      <x:c r="A43" s="18" t="str">
        <x:v>2024_conv2023_ordinario_A-T42</x:v>
      </x:c>
      <x:c r="B43" s="18" t="n">
        <x:v>2024</x:v>
      </x:c>
      <x:c r="C43" s="18" t="n">
        <x:v>2023</x:v>
      </x:c>
      <x:c r="D43" s="28" t="n">
        <x:v>45626</x:v>
      </x:c>
      <x:c r="E43" s="18" t="str">
        <x:v>Acceso libre</x:v>
      </x:c>
      <x:c r="F43" s="18" t="str">
        <x:v>Primera parte</x:v>
      </x:c>
      <x:c r="G43" s="18" t="str">
        <x:v>A</x:v>
      </x:c>
      <x:c r="H43" s="18" t="str">
        <x:v>A/B</x:v>
      </x:c>
      <x:c r="I43" s="18" t="str">
        <x:v>Sí</x:v>
      </x:c>
      <x:c r="J43" s="18" t="str">
        <x:v>Modelo A usado como variante canónica; el modelo B oficial está archivado y permuta el orden y/o las opciones.</x:v>
      </x:c>
      <x:c r="K43" s="18" t="n">
        <x:v>42</x:v>
      </x:c>
      <x:c r="L43" s="18" t="str">
        <x:v>No</x:v>
      </x:c>
      <x:c r="M43" s="18" t="str">
        <x:v>Conforme establece el artículo 90 del Reglamento General de Recaudación de la Seguridad Social, aprobado por Real Decreto 1415/2004, de II de junio, la solicitud de información de movimientos de cuentas corrientes a bancos o cajas de ahorro exigirá la autorización previa:</x:v>
      </x:c>
      <x:c r="N43" s="18" t="str">
        <x:v>Del Director Provincial de la Tesorería General de la Seguridad Social competente.</x:v>
      </x:c>
      <x:c r="O43" s="18" t="str">
        <x:v>Del Director General de la Tesorería General de la Seguridad Social competente.</x:v>
      </x:c>
      <x:c r="P43" s="18" t="str">
        <x:v>Del Subdirector Provincial de la Tesorería General de la Seguridad Social competente en materia de recaudación ejecutiva.</x:v>
      </x:c>
      <x:c r="Q43" s="18" t="str">
        <x:v>Del Subdirector General de la Tesorería General de la Seguridad Social competente en materia de recaudación ejecutiva.</x:v>
      </x:c>
      <x:c r="R43" s="18" t="str">
        <x:v>S06</x:v>
      </x:c>
      <x:c r="S43" s="18" t="n">
        <x:v>6</x:v>
      </x:c>
      <x:c r="T43" s="18" t="str">
        <x:v>Temario específico Seguridad Social</x:v>
      </x:c>
      <x:c r="U43" s="18" t="str">
        <x:v>La recaudación en vía ejecutiva. Normas generales. Iniciación y título ejecutivo. La providencia de apremio. Oposición y efectos. El embargo de bienes. Enajenación de bienes: modalidades. Créditos incobrables. Tercerías.</x:v>
      </x:c>
      <x:c r="V43" s="18" t="str">
        <x:v>S06</x:v>
      </x:c>
      <x:c r="W43" s="18" t="str">
        <x:v>Real Decreto 1415/2004</x:v>
      </x:c>
      <x:c r="X43" s="18" t="str">
        <x:v>90</x:v>
      </x:c>
      <x:c r="Y43" s="18" t="str">
        <x:v>Procedimientos</x:v>
      </x:c>
      <x:c r="Z43" s="18" t="str">
        <x:v>Media</x:v>
      </x:c>
      <x:c r="AA43" s="18" t="str">
        <x:v>S06</x:v>
      </x:c>
      <x:c r="AB43" s="18" t="str"/>
      <x:c r="AC43" s="18" t="str"/>
      <x:c r="AD43" s="18" t="str">
        <x:v>No</x:v>
      </x:c>
      <x:c r="AE43" s="18" t="str">
        <x:v>Teórico</x:v>
      </x:c>
      <x:c r="AF43" s="18" t="str">
        <x:v>A</x:v>
      </x:c>
      <x:c r="AG43" s="18" t="str">
        <x:v>A</x:v>
      </x:c>
      <x:c r="AH43" s="18" t="str">
        <x:v>Válida</x:v>
      </x:c>
      <x:c r="AI43" s="18" t="str">
        <x:v>01. Información oficial de la oposición\Exámenes oficiales anteriores\2024 Convocatoria 2023 - Cuestionario libre Modelo A.pdf</x:v>
      </x:c>
      <x:c r="AJ43" s="18" t="str">
        <x:v>https://www.seg-social.es/wps/portal/wss/internet/InformacionUtil/9950/88beb45d-ca83-4bab-8162-f94ef2894562</x:v>
      </x:c>
      <x:c r="AK43" s="18" t="str">
        <x:v>OCR Windows es-ES sobre PDF oficial</x:v>
      </x:c>
      <x:c r="AL43" s="18" t="n">
        <x:v>100</x:v>
      </x:c>
      <x:c r="AM43" s="18" t="str">
        <x:v>Alta</x:v>
      </x:c>
      <x:c r="AN43" s="18" t="str">
        <x:v>Regla jurídica determinista</x:v>
      </x:c>
      <x:c r="AO43" s="18" t="str">
        <x:v>2024_conv2023_ordinario_A-T42</x:v>
      </x:c>
      <x:c r="AP43" s="18" t="n">
        <x:v>1</x:v>
      </x:c>
    </x:row>
    <x:row r="44">
      <x:c r="A44" s="18" t="str">
        <x:v>2024_conv2023_ordinario_A-T43</x:v>
      </x:c>
      <x:c r="B44" s="18" t="n">
        <x:v>2024</x:v>
      </x:c>
      <x:c r="C44" s="18" t="n">
        <x:v>2023</x:v>
      </x:c>
      <x:c r="D44" s="28" t="n">
        <x:v>45626</x:v>
      </x:c>
      <x:c r="E44" s="18" t="str">
        <x:v>Acceso libre</x:v>
      </x:c>
      <x:c r="F44" s="18" t="str">
        <x:v>Primera parte</x:v>
      </x:c>
      <x:c r="G44" s="18" t="str">
        <x:v>A</x:v>
      </x:c>
      <x:c r="H44" s="18" t="str">
        <x:v>A/B</x:v>
      </x:c>
      <x:c r="I44" s="18" t="str">
        <x:v>Sí</x:v>
      </x:c>
      <x:c r="J44" s="18" t="str">
        <x:v>Modelo A usado como variante canónica; el modelo B oficial está archivado y permuta el orden y/o las opciones.</x:v>
      </x:c>
      <x:c r="K44" s="18" t="n">
        <x:v>43</x:v>
      </x:c>
      <x:c r="L44" s="18" t="str">
        <x:v>No</x:v>
      </x:c>
      <x:c r="M44" s="18" t="str">
        <x:v>EI artículo 135 del Reglamento General de Recaudación de la Seguridad Social, aprobado por Real Decreto 1415/2004, de II de junio, establece que la reclamación en tercería se resolverá, previa la práctica de la prueba que pueda estimarse oportuna, por el Director Provincial de la Tesorería General de la Seguridad Social en eI plazo máximo de:</x:v>
      </x:c>
      <x:c r="N44" s="18" t="str">
        <x:v>Seis meses, a contar desde eI día en que se promovió.</x:v>
      </x:c>
      <x:c r="O44" s="18" t="str">
        <x:v>Tres meses, a contar desde eI día en que se promovió.</x:v>
      </x:c>
      <x:c r="P44" s="18" t="str">
        <x:v>Tres meses, a contar desde el día de la remisión por la unidad de recaudación ejecutiva a la Dirección Provincial para su resolución.</x:v>
      </x:c>
      <x:c r="Q44" s="18" t="str">
        <x:v>Seis meses, a contar desde eI día de la remisión por la unidad de recaudación ejecutiva a la Dirección Provincial para su resolución.</x:v>
      </x:c>
      <x:c r="R44" s="18" t="str">
        <x:v>S06</x:v>
      </x:c>
      <x:c r="S44" s="18" t="n">
        <x:v>6</x:v>
      </x:c>
      <x:c r="T44" s="18" t="str">
        <x:v>Temario específico Seguridad Social</x:v>
      </x:c>
      <x:c r="U44" s="18" t="str">
        <x:v>La recaudación en vía ejecutiva. Normas generales. Iniciación y título ejecutivo. La providencia de apremio. Oposición y efectos. El embargo de bienes. Enajenación de bienes: modalidades. Créditos incobrables. Tercerías.</x:v>
      </x:c>
      <x:c r="V44" s="18" t="str">
        <x:v>S06</x:v>
      </x:c>
      <x:c r="W44" s="18" t="str">
        <x:v>Real Decreto 1415/2004</x:v>
      </x:c>
      <x:c r="X44" s="18" t="str">
        <x:v>135</x:v>
      </x:c>
      <x:c r="Y44" s="18" t="str">
        <x:v>Plazos</x:v>
      </x:c>
      <x:c r="Z44" s="18" t="str">
        <x:v>Alta</x:v>
      </x:c>
      <x:c r="AA44" s="18" t="str">
        <x:v>S06</x:v>
      </x:c>
      <x:c r="AB44" s="18" t="str">
        <x:v>Tesorería General de la Seguridad Social</x:v>
      </x:c>
      <x:c r="AC44" s="18" t="str"/>
      <x:c r="AD44" s="18" t="str">
        <x:v>No</x:v>
      </x:c>
      <x:c r="AE44" s="18" t="str">
        <x:v>Teórico</x:v>
      </x:c>
      <x:c r="AF44" s="18" t="str">
        <x:v>B</x:v>
      </x:c>
      <x:c r="AG44" s="18" t="str">
        <x:v>B</x:v>
      </x:c>
      <x:c r="AH44" s="18" t="str">
        <x:v>Válida</x:v>
      </x:c>
      <x:c r="AI44" s="18" t="str">
        <x:v>01. Información oficial de la oposición\Exámenes oficiales anteriores\2024 Convocatoria 2023 - Cuestionario libre Modelo A.pdf</x:v>
      </x:c>
      <x:c r="AJ44" s="18" t="str">
        <x:v>https://www.seg-social.es/wps/portal/wss/internet/InformacionUtil/9950/88beb45d-ca83-4bab-8162-f94ef2894562</x:v>
      </x:c>
      <x:c r="AK44" s="18" t="str">
        <x:v>OCR Windows es-ES sobre PDF oficial</x:v>
      </x:c>
      <x:c r="AL44" s="18" t="n">
        <x:v>100</x:v>
      </x:c>
      <x:c r="AM44" s="18" t="str">
        <x:v>Alta</x:v>
      </x:c>
      <x:c r="AN44" s="18" t="str">
        <x:v>Regla jurídica determinista</x:v>
      </x:c>
      <x:c r="AO44" s="18" t="str">
        <x:v>2024_conv2023_ordinario_A-T43</x:v>
      </x:c>
      <x:c r="AP44" s="18" t="n">
        <x:v>1</x:v>
      </x:c>
    </x:row>
    <x:row r="45">
      <x:c r="A45" s="18" t="str">
        <x:v>2024_conv2023_ordinario_A-T44</x:v>
      </x:c>
      <x:c r="B45" s="18" t="n">
        <x:v>2024</x:v>
      </x:c>
      <x:c r="C45" s="18" t="n">
        <x:v>2023</x:v>
      </x:c>
      <x:c r="D45" s="28" t="n">
        <x:v>45626</x:v>
      </x:c>
      <x:c r="E45" s="18" t="str">
        <x:v>Acceso libre</x:v>
      </x:c>
      <x:c r="F45" s="18" t="str">
        <x:v>Primera parte</x:v>
      </x:c>
      <x:c r="G45" s="18" t="str">
        <x:v>A</x:v>
      </x:c>
      <x:c r="H45" s="18" t="str">
        <x:v>A/B</x:v>
      </x:c>
      <x:c r="I45" s="18" t="str">
        <x:v>Sí</x:v>
      </x:c>
      <x:c r="J45" s="18" t="str">
        <x:v>Modelo A usado como variante canónica; el modelo B oficial está archivado y permuta el orden y/o las opciones.</x:v>
      </x:c>
      <x:c r="K45" s="18" t="n">
        <x:v>44</x:v>
      </x:c>
      <x:c r="L45" s="18" t="str">
        <x:v>No</x:v>
      </x:c>
      <x:c r="M45" s="18" t="str">
        <x:v>Según eI artículo 54 del texto refundido de la Ley General de la Seguridad Social, ¿cuándo caduca eI derecho al percibo de las prestaciones a tanto alzado y por una sola vez?</x:v>
      </x:c>
      <x:c r="N45" s="18" t="str">
        <x:v>En un mes, a contar desde el día siguiente al de haber sido notificada en forma al interesado su reconocimiento.</x:v>
      </x:c>
      <x:c r="O45" s="18" t="str">
        <x:v>En un año, a contar desde eI día siguiente al de haber sido notificada en forma al interesado su reconocimiento.</x:v>
      </x:c>
      <x:c r="P45" s="18" t="str">
        <x:v>En un mes, a contar desde eI día siguiente al del hecho causante.</x:v>
      </x:c>
      <x:c r="Q45" s="18" t="str">
        <x:v>En un año a contar desde el día siguiente al del hecho causante.</x:v>
      </x:c>
      <x:c r="R45" s="18" t="str">
        <x:v>S07</x:v>
      </x:c>
      <x:c r="S45" s="18" t="n">
        <x:v>7</x:v>
      </x:c>
      <x:c r="T45" s="18" t="str">
        <x:v>Temario específico Seguridad Social</x:v>
      </x:c>
      <x:c r="U45" s="18" t="str">
        <x:v>Acción protectora. Contenido y clasificación de las prestaciones. Caracteres de las prestaciones. Incompatibilidades. Reintegro de las prestaciones indebidas. Requisitos generales del derecho a las prestaciones. Responsabilidades en orden a las prestaciones por incumplimiento de las obligaciones de afiliación, altas, bajas y cotización. Automaticidad y anticipo de prestaciones. Riesgo protegido: contingencias comunes y profesionales.</x:v>
      </x:c>
      <x:c r="V45" s="18" t="str">
        <x:v>S07</x:v>
      </x:c>
      <x:c r="W45" s="18" t="str">
        <x:v>texto refundido de la Ley General de la Seguridad Social</x:v>
      </x:c>
      <x:c r="X45" s="18" t="str">
        <x:v>54</x:v>
      </x:c>
      <x:c r="Y45" s="18" t="str">
        <x:v>Artículos literales</x:v>
      </x:c>
      <x:c r="Z45" s="18" t="str">
        <x:v>Media</x:v>
      </x:c>
      <x:c r="AA45" s="18" t="str">
        <x:v>S07</x:v>
      </x:c>
      <x:c r="AB45" s="18" t="str"/>
      <x:c r="AC45" s="18" t="str"/>
      <x:c r="AD45" s="18" t="str">
        <x:v>No</x:v>
      </x:c>
      <x:c r="AE45" s="18" t="str">
        <x:v>Teórico</x:v>
      </x:c>
      <x:c r="AF45" s="18" t="str">
        <x:v>B</x:v>
      </x:c>
      <x:c r="AG45" s="18" t="str">
        <x:v>B</x:v>
      </x:c>
      <x:c r="AH45" s="18" t="str">
        <x:v>Válida</x:v>
      </x:c>
      <x:c r="AI45" s="18" t="str">
        <x:v>01. Información oficial de la oposición\Exámenes oficiales anteriores\2024 Convocatoria 2023 - Cuestionario libre Modelo A.pdf</x:v>
      </x:c>
      <x:c r="AJ45" s="18" t="str">
        <x:v>https://www.seg-social.es/wps/portal/wss/internet/InformacionUtil/9950/88beb45d-ca83-4bab-8162-f94ef2894562</x:v>
      </x:c>
      <x:c r="AK45" s="18" t="str">
        <x:v>OCR Windows es-ES sobre PDF oficial</x:v>
      </x:c>
      <x:c r="AL45" s="18" t="n">
        <x:v>100</x:v>
      </x:c>
      <x:c r="AM45" s="18" t="str">
        <x:v>Alta</x:v>
      </x:c>
      <x:c r="AN45" s="18" t="str">
        <x:v>Regla jurídica determinista</x:v>
      </x:c>
      <x:c r="AO45" s="18" t="str">
        <x:v>2024_conv2023_ordinario_A-T44</x:v>
      </x:c>
      <x:c r="AP45" s="18" t="n">
        <x:v>1</x:v>
      </x:c>
    </x:row>
    <x:row r="46">
      <x:c r="A46" s="18" t="str">
        <x:v>2024_conv2023_ordinario_A-T45</x:v>
      </x:c>
      <x:c r="B46" s="18" t="n">
        <x:v>2024</x:v>
      </x:c>
      <x:c r="C46" s="18" t="n">
        <x:v>2023</x:v>
      </x:c>
      <x:c r="D46" s="28" t="n">
        <x:v>45626</x:v>
      </x:c>
      <x:c r="E46" s="18" t="str">
        <x:v>Acceso libre</x:v>
      </x:c>
      <x:c r="F46" s="18" t="str">
        <x:v>Primera parte</x:v>
      </x:c>
      <x:c r="G46" s="18" t="str">
        <x:v>A</x:v>
      </x:c>
      <x:c r="H46" s="18" t="str">
        <x:v>A/B</x:v>
      </x:c>
      <x:c r="I46" s="18" t="str">
        <x:v>Sí</x:v>
      </x:c>
      <x:c r="J46" s="18" t="str">
        <x:v>Modelo A usado como variante canónica; el modelo B oficial está archivado y permuta el orden y/o las opciones.</x:v>
      </x:c>
      <x:c r="K46" s="18" t="n">
        <x:v>45</x:v>
      </x:c>
      <x:c r="L46" s="18" t="str">
        <x:v>No</x:v>
      </x:c>
      <x:c r="M46" s="18" t="str">
        <x:v>Según eI artículo 53 del texto refundido de la Ley General de la Seguridad Social, con carácter general, con la salvedad de las excepciones que se determinen en la propia ley, ¿cuándo prescribirá el derecho al reconocimiento de las prestaciones?</x:v>
      </x:c>
      <x:c r="N46" s="18" t="str">
        <x:v>A los 3 años contados desde eI día siguiente a aquel en que tenga lugar eI hecho causante de la prestación de que se trate.</x:v>
      </x:c>
      <x:c r="O46" s="18" t="str">
        <x:v>A los 4 años contados desde eI día siguiente a aquel en que tenga lugar el hecho causante de la prestación de que se trate.</x:v>
      </x:c>
      <x:c r="P46" s="18" t="str">
        <x:v>A los 5 años contados desde el día siguiente a aquel en que tenga lugar eI hecho causante de la prestación de que se trate.</x:v>
      </x:c>
      <x:c r="Q46" s="18" t="str">
        <x:v>Nunca, todas las prestaciones de Seguridad Social son imprescriptibles.</x:v>
      </x:c>
      <x:c r="R46" s="18" t="str">
        <x:v>S07</x:v>
      </x:c>
      <x:c r="S46" s="18" t="n">
        <x:v>7</x:v>
      </x:c>
      <x:c r="T46" s="18" t="str">
        <x:v>Temario específico Seguridad Social</x:v>
      </x:c>
      <x:c r="U46" s="18" t="str">
        <x:v>Acción protectora. Contenido y clasificación de las prestaciones. Caracteres de las prestaciones. Incompatibilidades. Reintegro de las prestaciones indebidas. Requisitos generales del derecho a las prestaciones. Responsabilidades en orden a las prestaciones por incumplimiento de las obligaciones de afiliación, altas, bajas y cotización. Automaticidad y anticipo de prestaciones. Riesgo protegido: contingencias comunes y profesionales.</x:v>
      </x:c>
      <x:c r="V46" s="18" t="str">
        <x:v>S07</x:v>
      </x:c>
      <x:c r="W46" s="18" t="str">
        <x:v>texto refundido de la Ley General de la Seguridad Social</x:v>
      </x:c>
      <x:c r="X46" s="18" t="str">
        <x:v>53</x:v>
      </x:c>
      <x:c r="Y46" s="18" t="str">
        <x:v>Artículos literales</x:v>
      </x:c>
      <x:c r="Z46" s="18" t="str">
        <x:v>Media</x:v>
      </x:c>
      <x:c r="AA46" s="18" t="str">
        <x:v>S07</x:v>
      </x:c>
      <x:c r="AB46" s="18" t="str"/>
      <x:c r="AC46" s="18" t="str"/>
      <x:c r="AD46" s="18" t="str">
        <x:v>No</x:v>
      </x:c>
      <x:c r="AE46" s="18" t="str">
        <x:v>Teórico</x:v>
      </x:c>
      <x:c r="AF46" s="18" t="str">
        <x:v>C</x:v>
      </x:c>
      <x:c r="AG46" s="18" t="str">
        <x:v>C</x:v>
      </x:c>
      <x:c r="AH46" s="18" t="str">
        <x:v>Válida</x:v>
      </x:c>
      <x:c r="AI46" s="18" t="str">
        <x:v>01. Información oficial de la oposición\Exámenes oficiales anteriores\2024 Convocatoria 2023 - Cuestionario libre Modelo A.pdf</x:v>
      </x:c>
      <x:c r="AJ46" s="18" t="str">
        <x:v>https://www.seg-social.es/wps/portal/wss/internet/InformacionUtil/9950/88beb45d-ca83-4bab-8162-f94ef2894562</x:v>
      </x:c>
      <x:c r="AK46" s="18" t="str">
        <x:v>OCR Windows es-ES sobre PDF oficial</x:v>
      </x:c>
      <x:c r="AL46" s="18" t="n">
        <x:v>100</x:v>
      </x:c>
      <x:c r="AM46" s="18" t="str">
        <x:v>Alta</x:v>
      </x:c>
      <x:c r="AN46" s="18" t="str">
        <x:v>Regla jurídica determinista</x:v>
      </x:c>
      <x:c r="AO46" s="18" t="str">
        <x:v>2024_conv2023_ordinario_A-T45</x:v>
      </x:c>
      <x:c r="AP46" s="18" t="n">
        <x:v>1</x:v>
      </x:c>
    </x:row>
    <x:row r="47">
      <x:c r="A47" s="18" t="str">
        <x:v>2024_conv2023_ordinario_A-T46</x:v>
      </x:c>
      <x:c r="B47" s="18" t="n">
        <x:v>2024</x:v>
      </x:c>
      <x:c r="C47" s="18" t="n">
        <x:v>2023</x:v>
      </x:c>
      <x:c r="D47" s="28" t="n">
        <x:v>45626</x:v>
      </x:c>
      <x:c r="E47" s="18" t="str">
        <x:v>Acceso libre</x:v>
      </x:c>
      <x:c r="F47" s="18" t="str">
        <x:v>Primera parte</x:v>
      </x:c>
      <x:c r="G47" s="18" t="str">
        <x:v>A</x:v>
      </x:c>
      <x:c r="H47" s="18" t="str">
        <x:v>A/B</x:v>
      </x:c>
      <x:c r="I47" s="18" t="str">
        <x:v>Sí</x:v>
      </x:c>
      <x:c r="J47" s="18" t="str">
        <x:v>Modelo A usado como variante canónica; el modelo B oficial está archivado y permuta el orden y/o las opciones.</x:v>
      </x:c>
      <x:c r="K47" s="18" t="n">
        <x:v>46</x:v>
      </x:c>
      <x:c r="L47" s="18" t="str">
        <x:v>No</x:v>
      </x:c>
      <x:c r="M47" s="18" t="str">
        <x:v>Según 10 establecido en eI artículo 46 del texto refundido de la Ley General de la Seguridad Social, ¿cómo se efectuará eI pago de las pensiones contributivas derivadas de contingencias comunes?</x:v>
      </x:c>
      <x:c r="N47" s="18" t="str">
        <x:v>Serán satisfechas en doce pagas, correspondientes a cada uno de los meses del año.</x:v>
      </x:c>
      <x:c r="O47" s="18" t="str">
        <x:v>Serán satisfechas en catorce pagas, correspondientes a cada uno de los meses del año y dos pagas extraordinarias que se devengarán en los meses de julio y noviembre.</x:v>
      </x:c>
      <x:c r="P47" s="18" t="str">
        <x:v>Serán satisfechas en catorce pagas, correspondientes a cada uno de los meses del año y dos pagas extraordinarias que se devengarán en los meses de junio y diciembre.</x:v>
      </x:c>
      <x:c r="Q47" s="18" t="str">
        <x:v>Serán satisfechas en catorce pagas, correspondientes a cada uno de los meses del año y dos pagas extraordinarias que se devengarán en los meses de junio y noviembre.</x:v>
      </x:c>
      <x:c r="R47" s="18" t="str">
        <x:v>S07</x:v>
      </x:c>
      <x:c r="S47" s="18" t="n">
        <x:v>7</x:v>
      </x:c>
      <x:c r="T47" s="18" t="str">
        <x:v>Temario específico Seguridad Social</x:v>
      </x:c>
      <x:c r="U47" s="18" t="str">
        <x:v>Acción protectora. Contenido y clasificación de las prestaciones. Caracteres de las prestaciones. Incompatibilidades. Reintegro de las prestaciones indebidas. Requisitos generales del derecho a las prestaciones. Responsabilidades en orden a las prestaciones por incumplimiento de las obligaciones de afiliación, altas, bajas y cotización. Automaticidad y anticipo de prestaciones. Riesgo protegido: contingencias comunes y profesionales.</x:v>
      </x:c>
      <x:c r="V47" s="18" t="str">
        <x:v>S07</x:v>
      </x:c>
      <x:c r="W47" s="18" t="str">
        <x:v>texto refundido de la Ley General de la Seguridad Social</x:v>
      </x:c>
      <x:c r="X47" s="18" t="str">
        <x:v>46</x:v>
      </x:c>
      <x:c r="Y47" s="18" t="str">
        <x:v>Artículos literales</x:v>
      </x:c>
      <x:c r="Z47" s="18" t="str">
        <x:v>Media</x:v>
      </x:c>
      <x:c r="AA47" s="18" t="str">
        <x:v>S07</x:v>
      </x:c>
      <x:c r="AB47" s="18" t="str"/>
      <x:c r="AC47" s="18" t="str"/>
      <x:c r="AD47" s="18" t="str">
        <x:v>No</x:v>
      </x:c>
      <x:c r="AE47" s="18" t="str">
        <x:v>Teórico</x:v>
      </x:c>
      <x:c r="AF47" s="18" t="str">
        <x:v>D</x:v>
      </x:c>
      <x:c r="AG47" s="18" t="str">
        <x:v>D</x:v>
      </x:c>
      <x:c r="AH47" s="18" t="str">
        <x:v>Válida</x:v>
      </x:c>
      <x:c r="AI47" s="18" t="str">
        <x:v>01. Información oficial de la oposición\Exámenes oficiales anteriores\2024 Convocatoria 2023 - Cuestionario libre Modelo A.pdf</x:v>
      </x:c>
      <x:c r="AJ47" s="18" t="str">
        <x:v>https://www.seg-social.es/wps/portal/wss/internet/InformacionUtil/9950/88beb45d-ca83-4bab-8162-f94ef2894562</x:v>
      </x:c>
      <x:c r="AK47" s="18" t="str">
        <x:v>OCR Windows es-ES sobre PDF oficial</x:v>
      </x:c>
      <x:c r="AL47" s="18" t="n">
        <x:v>100</x:v>
      </x:c>
      <x:c r="AM47" s="18" t="str">
        <x:v>Alta</x:v>
      </x:c>
      <x:c r="AN47" s="18" t="str">
        <x:v>Regla jurídica determinista</x:v>
      </x:c>
      <x:c r="AO47" s="18" t="str">
        <x:v>2024_conv2023_ordinario_A-T46</x:v>
      </x:c>
      <x:c r="AP47" s="18" t="n">
        <x:v>1</x:v>
      </x:c>
    </x:row>
    <x:row r="48">
      <x:c r="A48" s="18" t="str">
        <x:v>2024_conv2023_ordinario_A-T47</x:v>
      </x:c>
      <x:c r="B48" s="18" t="n">
        <x:v>2024</x:v>
      </x:c>
      <x:c r="C48" s="18" t="n">
        <x:v>2023</x:v>
      </x:c>
      <x:c r="D48" s="28" t="n">
        <x:v>45626</x:v>
      </x:c>
      <x:c r="E48" s="18" t="str">
        <x:v>Acceso libre</x:v>
      </x:c>
      <x:c r="F48" s="18" t="str">
        <x:v>Primera parte</x:v>
      </x:c>
      <x:c r="G48" s="18" t="str">
        <x:v>A</x:v>
      </x:c>
      <x:c r="H48" s="18" t="str">
        <x:v>A/B</x:v>
      </x:c>
      <x:c r="I48" s="18" t="str">
        <x:v>Sí</x:v>
      </x:c>
      <x:c r="J48" s="18" t="str">
        <x:v>Modelo A usado como variante canónica; el modelo B oficial está archivado y permuta el orden y/o las opciones.</x:v>
      </x:c>
      <x:c r="K48" s="18" t="n">
        <x:v>47</x:v>
      </x:c>
      <x:c r="L48" s="18" t="str">
        <x:v>No</x:v>
      </x:c>
      <x:c r="M48" s="18" t="str">
        <x:v>De acuerdo con eI cuadro de enfermedades profesionales en eI sistema de la Seguridad Social aprobado por eI Real Decreto 1299/2006, de 10 de noviembre, ¿cuál de los siguientes grupos NO está incluido dentro de la clasificación del cuadro de enfermedades profesionales?</x:v>
      </x:c>
      <x:c r="N48" s="18" t="str">
        <x:v>Enfermedades profesionales causadas por agentes físicos.</x:v>
      </x:c>
      <x:c r="O48" s="18" t="str">
        <x:v>Enfermedades profesionales causadas por agentes carcinogénicos.</x:v>
      </x:c>
      <x:c r="P48" s="18" t="str">
        <x:v>Enfermedades profesionales causadas por agentes psicológicos.</x:v>
      </x:c>
      <x:c r="Q48" s="18" t="str">
        <x:v>Enfermedades profesionales causadas por agentes biológicos.</x:v>
      </x:c>
      <x:c r="R48" s="18" t="str">
        <x:v>S07</x:v>
      </x:c>
      <x:c r="S48" s="18" t="n">
        <x:v>7</x:v>
      </x:c>
      <x:c r="T48" s="18" t="str">
        <x:v>Temario específico Seguridad Social</x:v>
      </x:c>
      <x:c r="U48" s="18" t="str">
        <x:v>Acción protectora. Contenido y clasificación de las prestaciones. Caracteres de las prestaciones. Incompatibilidades. Reintegro de las prestaciones indebidas. Requisitos generales del derecho a las prestaciones. Responsabilidades en orden a las prestaciones por incumplimiento de las obligaciones de afiliación, altas, bajas y cotización. Automaticidad y anticipo de prestaciones. Riesgo protegido: contingencias comunes y profesionales.</x:v>
      </x:c>
      <x:c r="V48" s="18" t="str">
        <x:v>S07</x:v>
      </x:c>
      <x:c r="W48" s="18" t="str">
        <x:v>Real Decreto 1299/2006</x:v>
      </x:c>
      <x:c r="X48" s="18" t="str"/>
      <x:c r="Y48" s="18" t="str">
        <x:v>Artículos literales</x:v>
      </x:c>
      <x:c r="Z48" s="18" t="str">
        <x:v>Media</x:v>
      </x:c>
      <x:c r="AA48" s="18" t="str">
        <x:v>S07</x:v>
      </x:c>
      <x:c r="AB48" s="18" t="str"/>
      <x:c r="AC48" s="18" t="str"/>
      <x:c r="AD48" s="18" t="str">
        <x:v>Sí</x:v>
      </x:c>
      <x:c r="AE48" s="18" t="str">
        <x:v>Teórico</x:v>
      </x:c>
      <x:c r="AF48" s="18" t="str">
        <x:v>C</x:v>
      </x:c>
      <x:c r="AG48" s="18" t="str">
        <x:v>C</x:v>
      </x:c>
      <x:c r="AH48" s="18" t="str">
        <x:v>Válida</x:v>
      </x:c>
      <x:c r="AI48" s="18" t="str">
        <x:v>01. Información oficial de la oposición\Exámenes oficiales anteriores\2024 Convocatoria 2023 - Cuestionario libre Modelo A.pdf</x:v>
      </x:c>
      <x:c r="AJ48" s="18" t="str">
        <x:v>https://www.seg-social.es/wps/portal/wss/internet/InformacionUtil/9950/88beb45d-ca83-4bab-8162-f94ef2894562</x:v>
      </x:c>
      <x:c r="AK48" s="18" t="str">
        <x:v>OCR Windows es-ES sobre PDF oficial</x:v>
      </x:c>
      <x:c r="AL48" s="18" t="n">
        <x:v>100</x:v>
      </x:c>
      <x:c r="AM48" s="18" t="str">
        <x:v>Alta</x:v>
      </x:c>
      <x:c r="AN48" s="18" t="str">
        <x:v>Revisión jurídica individual</x:v>
      </x:c>
      <x:c r="AO48" s="18" t="str">
        <x:v>2024_conv2023_ordinario_A-T47</x:v>
      </x:c>
      <x:c r="AP48" s="18" t="n">
        <x:v>1</x:v>
      </x:c>
    </x:row>
    <x:row r="49">
      <x:c r="A49" s="18" t="str">
        <x:v>2024_conv2023_ordinario_A-T48</x:v>
      </x:c>
      <x:c r="B49" s="18" t="n">
        <x:v>2024</x:v>
      </x:c>
      <x:c r="C49" s="18" t="n">
        <x:v>2023</x:v>
      </x:c>
      <x:c r="D49" s="28" t="n">
        <x:v>45626</x:v>
      </x:c>
      <x:c r="E49" s="18" t="str">
        <x:v>Acceso libre</x:v>
      </x:c>
      <x:c r="F49" s="18" t="str">
        <x:v>Primera parte</x:v>
      </x:c>
      <x:c r="G49" s="18" t="str">
        <x:v>A</x:v>
      </x:c>
      <x:c r="H49" s="18" t="str">
        <x:v>A/B</x:v>
      </x:c>
      <x:c r="I49" s="18" t="str">
        <x:v>Sí</x:v>
      </x:c>
      <x:c r="J49" s="18" t="str">
        <x:v>Modelo A usado como variante canónica; el modelo B oficial está archivado y permuta el orden y/o las opciones.</x:v>
      </x:c>
      <x:c r="K49" s="18" t="n">
        <x:v>48</x:v>
      </x:c>
      <x:c r="L49" s="18" t="str">
        <x:v>No</x:v>
      </x:c>
      <x:c r="M49" s="18" t="str">
        <x:v>De acuerdo con eI art. 173 del texto refundido de la Ley General de la Seguridad Social, en caso de accidente de trabajo o enfermedad profesional, el subsidio se abonará.</x:v>
      </x:c>
      <x:c r="N49" s="18" t="str">
        <x:v>A partir del cuarto día de baja en el trabajo.</x:v>
      </x:c>
      <x:c r="O49" s="18" t="str">
        <x:v>A partir del tercer día de baja en el trabajo.</x:v>
      </x:c>
      <x:c r="P49" s="18" t="str">
        <x:v>Desde el día siguiente al de la baja en el trabajo, estando a cargo del empresario salario íntegro correspondiente al dia de la baja.</x:v>
      </x:c>
      <x:c r="Q49" s="18" t="str">
        <x:v>Desde eI día decimosegundo de baja en et trabajo.</x:v>
      </x:c>
      <x:c r="R49" s="18" t="str">
        <x:v>S08</x:v>
      </x:c>
      <x:c r="S49" s="18" t="n">
        <x:v>8</x:v>
      </x:c>
      <x:c r="T49" s="18" t="str">
        <x:v>Temario específico Seguridad Social</x:v>
      </x:c>
      <x:c r="U49" s="18" t="str">
        <x:v>Incapacidad temporal: concepto y causas que motivan esta situación. Beneficiarios. Prestación económica: determinación y cuantía. Nacimiento, duración y extinción del derecho al subsidio. Reconocimiento y pago. Control de la incapacidad. Incapacidad permanente contributiva: concepto. Grados de incapacidad. Prestaciones. Determinación y cuantía. Beneficiarios. Nacimiento, duración y extinción del derecho. Lesiones permanentes no incapacitantes. La calificación y revisión de la incapacidad permanente.</x:v>
      </x:c>
      <x:c r="V49" s="18" t="str">
        <x:v>S08</x:v>
      </x:c>
      <x:c r="W49" s="18" t="str">
        <x:v>texto refundido de la Ley General de la Seguridad Social</x:v>
      </x:c>
      <x:c r="X49" s="18" t="str"/>
      <x:c r="Y49" s="18" t="str">
        <x:v>Incapacidad</x:v>
      </x:c>
      <x:c r="Z49" s="18" t="str">
        <x:v>Media</x:v>
      </x:c>
      <x:c r="AA49" s="18" t="str">
        <x:v>S08</x:v>
      </x:c>
      <x:c r="AB49" s="18" t="str"/>
      <x:c r="AC49" s="18" t="str"/>
      <x:c r="AD49" s="18" t="str">
        <x:v>No</x:v>
      </x:c>
      <x:c r="AE49" s="18" t="str">
        <x:v>Teórico</x:v>
      </x:c>
      <x:c r="AF49" s="18" t="str">
        <x:v>C</x:v>
      </x:c>
      <x:c r="AG49" s="18" t="str">
        <x:v>C</x:v>
      </x:c>
      <x:c r="AH49" s="18" t="str">
        <x:v>Válida</x:v>
      </x:c>
      <x:c r="AI49" s="18" t="str">
        <x:v>01. Información oficial de la oposición\Exámenes oficiales anteriores\2024 Convocatoria 2023 - Cuestionario libre Modelo A.pdf</x:v>
      </x:c>
      <x:c r="AJ49" s="18" t="str">
        <x:v>https://www.seg-social.es/wps/portal/wss/internet/InformacionUtil/9950/88beb45d-ca83-4bab-8162-f94ef2894562</x:v>
      </x:c>
      <x:c r="AK49" s="18" t="str">
        <x:v>OCR Windows es-ES sobre PDF oficial</x:v>
      </x:c>
      <x:c r="AL49" s="18" t="n">
        <x:v>100</x:v>
      </x:c>
      <x:c r="AM49" s="18" t="str">
        <x:v>Alta</x:v>
      </x:c>
      <x:c r="AN49" s="18" t="str">
        <x:v>Regla jurídica determinista</x:v>
      </x:c>
      <x:c r="AO49" s="18" t="str">
        <x:v>2024_conv2023_ordinario_A-T48</x:v>
      </x:c>
      <x:c r="AP49" s="18" t="n">
        <x:v>1</x:v>
      </x:c>
    </x:row>
    <x:row r="50">
      <x:c r="A50" s="18" t="str">
        <x:v>2024_conv2023_ordinario_A-T49</x:v>
      </x:c>
      <x:c r="B50" s="18" t="n">
        <x:v>2024</x:v>
      </x:c>
      <x:c r="C50" s="18" t="n">
        <x:v>2023</x:v>
      </x:c>
      <x:c r="D50" s="28" t="n">
        <x:v>45626</x:v>
      </x:c>
      <x:c r="E50" s="18" t="str">
        <x:v>Acceso libre</x:v>
      </x:c>
      <x:c r="F50" s="18" t="str">
        <x:v>Primera parte</x:v>
      </x:c>
      <x:c r="G50" s="18" t="str">
        <x:v>A</x:v>
      </x:c>
      <x:c r="H50" s="18" t="str">
        <x:v>A/B</x:v>
      </x:c>
      <x:c r="I50" s="18" t="str">
        <x:v>Sí</x:v>
      </x:c>
      <x:c r="J50" s="18" t="str">
        <x:v>Modelo A usado como variante canónica; el modelo B oficial está archivado y permuta el orden y/o las opciones.</x:v>
      </x:c>
      <x:c r="K50" s="18" t="n">
        <x:v>49</x:v>
      </x:c>
      <x:c r="L50" s="18" t="str">
        <x:v>No</x:v>
      </x:c>
      <x:c r="M50" s="18" t="str">
        <x:v>En la situación especial de incapacidad temporal por menstruación incapacitante secundaria prevista en el párrafo segundo del articulo 169.1 .a) del texto refundido de la Ley General de la Seguridad Social, el subsidio se abonará</x:v>
      </x:c>
      <x:c r="N50" s="18" t="str">
        <x:v>A cargo de la Seguridad Social desde día de la baja en el trabajo.</x:v>
      </x:c>
      <x:c r="O50" s="18" t="str">
        <x:v>Desde ei día siguiente al de la baja en eI trabajo, estando a cargo del empresario eI salario íntegro correspondiente al día de la baja.</x:v>
      </x:c>
      <x:c r="P50" s="18" t="str">
        <x:v>A partir del cuarto dia de la baja en el trabajo.</x:v>
      </x:c>
      <x:c r="Q50" s="18" t="str">
        <x:v>A partir del tercer día de la baja en el trabajo.</x:v>
      </x:c>
      <x:c r="R50" s="18" t="str">
        <x:v>S08</x:v>
      </x:c>
      <x:c r="S50" s="18" t="n">
        <x:v>8</x:v>
      </x:c>
      <x:c r="T50" s="18" t="str">
        <x:v>Temario específico Seguridad Social</x:v>
      </x:c>
      <x:c r="U50" s="18" t="str">
        <x:v>Incapacidad temporal: concepto y causas que motivan esta situación. Beneficiarios. Prestación económica: determinación y cuantía. Nacimiento, duración y extinción del derecho al subsidio. Reconocimiento y pago. Control de la incapacidad. Incapacidad permanente contributiva: concepto. Grados de incapacidad. Prestaciones. Determinación y cuantía. Beneficiarios. Nacimiento, duración y extinción del derecho. Lesiones permanentes no incapacitantes. La calificación y revisión de la incapacidad permanente.</x:v>
      </x:c>
      <x:c r="V50" s="18" t="str">
        <x:v>incapacidad temporal</x:v>
      </x:c>
      <x:c r="W50" s="18" t="str">
        <x:v>texto refundido de la Ley General de la Seguridad Social</x:v>
      </x:c>
      <x:c r="X50" s="18" t="str">
        <x:v>169.1</x:v>
      </x:c>
      <x:c r="Y50" s="18" t="str">
        <x:v>Incapacidad</x:v>
      </x:c>
      <x:c r="Z50" s="18" t="str">
        <x:v>Media</x:v>
      </x:c>
      <x:c r="AA50" s="18" t="str">
        <x:v>incapacidad temporal</x:v>
      </x:c>
      <x:c r="AB50" s="18" t="str"/>
      <x:c r="AC50" s="18" t="str"/>
      <x:c r="AD50" s="18" t="str">
        <x:v>No</x:v>
      </x:c>
      <x:c r="AE50" s="18" t="str">
        <x:v>Teórico</x:v>
      </x:c>
      <x:c r="AF50" s="18" t="str">
        <x:v>A</x:v>
      </x:c>
      <x:c r="AG50" s="18" t="str">
        <x:v>A</x:v>
      </x:c>
      <x:c r="AH50" s="18" t="str">
        <x:v>Válida</x:v>
      </x:c>
      <x:c r="AI50" s="18" t="str">
        <x:v>01. Información oficial de la oposición\Exámenes oficiales anteriores\2024 Convocatoria 2023 - Cuestionario libre Modelo A.pdf</x:v>
      </x:c>
      <x:c r="AJ50" s="18" t="str">
        <x:v>https://www.seg-social.es/wps/portal/wss/internet/InformacionUtil/9950/88beb45d-ca83-4bab-8162-f94ef2894562</x:v>
      </x:c>
      <x:c r="AK50" s="18" t="str">
        <x:v>OCR Windows es-ES sobre PDF oficial</x:v>
      </x:c>
      <x:c r="AL50" s="18" t="n">
        <x:v>100</x:v>
      </x:c>
      <x:c r="AM50" s="18" t="str">
        <x:v>Alta</x:v>
      </x:c>
      <x:c r="AN50" s="18" t="str">
        <x:v>Regla jurídica determinista</x:v>
      </x:c>
      <x:c r="AO50" s="18" t="str">
        <x:v>2024_conv2023_ordinario_A-T49</x:v>
      </x:c>
      <x:c r="AP50" s="18" t="n">
        <x:v>1</x:v>
      </x:c>
    </x:row>
    <x:row r="51">
      <x:c r="A51" s="18" t="str">
        <x:v>2024_conv2023_ordinario_A-T50</x:v>
      </x:c>
      <x:c r="B51" s="18" t="n">
        <x:v>2024</x:v>
      </x:c>
      <x:c r="C51" s="18" t="n">
        <x:v>2023</x:v>
      </x:c>
      <x:c r="D51" s="28" t="n">
        <x:v>45626</x:v>
      </x:c>
      <x:c r="E51" s="18" t="str">
        <x:v>Acceso libre</x:v>
      </x:c>
      <x:c r="F51" s="18" t="str">
        <x:v>Primera parte</x:v>
      </x:c>
      <x:c r="G51" s="18" t="str">
        <x:v>A</x:v>
      </x:c>
      <x:c r="H51" s="18" t="str">
        <x:v>A/B</x:v>
      </x:c>
      <x:c r="I51" s="18" t="str">
        <x:v>Sí</x:v>
      </x:c>
      <x:c r="J51" s="18" t="str">
        <x:v>Modelo A usado como variante canónica; el modelo B oficial está archivado y permuta el orden y/o las opciones.</x:v>
      </x:c>
      <x:c r="K51" s="18" t="n">
        <x:v>50</x:v>
      </x:c>
      <x:c r="L51" s="18" t="str">
        <x:v>No</x:v>
      </x:c>
      <x:c r="M51" s="18" t="str">
        <x:v>De acuerdo con el art. 195 del texto refundido de la Ley General de la Seguridad Social, en el caso de incapacidad permanente parcial, eI período mínimo de cotización exigible será de:</x:v>
      </x:c>
      <x:c r="N51" s="18" t="str">
        <x:v>Mii quinientos días, que han de estar comprendidos en los diez años inmediatamente anteriores a la fecha en la que se haya extinguido la incapacidad temporal de la que se derive la incapacidad permanente.</x:v>
      </x:c>
      <x:c r="O51" s="18" t="str">
        <x:v>Mil quinientos días, que han de estar comprendidos en los quince años inmediatamente anteriores a la fecha en la que se haya extinguido la incapacidad temporal de la que se derive la incapacidad permanente.</x:v>
      </x:c>
      <x:c r="P51" s="18" t="str">
        <x:v>Mil trescientos días a 10 largo de la vida laboral de la persona trabajadora.</x:v>
      </x:c>
      <x:c r="Q51" s="18" t="str">
        <x:v>Mil ochocientos días, que han de estar comprendidos en los diez años inmediatamente anteriores a la fecha en la que se haya extinguido la incapacidad temporal de la que se derive la incapacidad permanente.</x:v>
      </x:c>
      <x:c r="R51" s="18" t="str">
        <x:v>S08</x:v>
      </x:c>
      <x:c r="S51" s="18" t="n">
        <x:v>8</x:v>
      </x:c>
      <x:c r="T51" s="18" t="str">
        <x:v>Temario específico Seguridad Social</x:v>
      </x:c>
      <x:c r="U51" s="18" t="str">
        <x:v>Incapacidad temporal: concepto y causas que motivan esta situación. Beneficiarios. Prestación económica: determinación y cuantía. Nacimiento, duración y extinción del derecho al subsidio. Reconocimiento y pago. Control de la incapacidad. Incapacidad permanente contributiva: concepto. Grados de incapacidad. Prestaciones. Determinación y cuantía. Beneficiarios. Nacimiento, duración y extinción del derecho. Lesiones permanentes no incapacitantes. La calificación y revisión de la incapacidad permanente.</x:v>
      </x:c>
      <x:c r="V51" s="18" t="str">
        <x:v>incapacidad permanente</x:v>
      </x:c>
      <x:c r="W51" s="18" t="str">
        <x:v>texto refundido de la Ley General de la Seguridad Social</x:v>
      </x:c>
      <x:c r="X51" s="18" t="str"/>
      <x:c r="Y51" s="18" t="str">
        <x:v>Requisitos</x:v>
      </x:c>
      <x:c r="Z51" s="18" t="str">
        <x:v>Media</x:v>
      </x:c>
      <x:c r="AA51" s="18" t="str">
        <x:v>incapacidad permanente</x:v>
      </x:c>
      <x:c r="AB51" s="18" t="str"/>
      <x:c r="AC51" s="18" t="str"/>
      <x:c r="AD51" s="18" t="str">
        <x:v>No</x:v>
      </x:c>
      <x:c r="AE51" s="18" t="str">
        <x:v>Teórico</x:v>
      </x:c>
      <x:c r="AF51" s="18" t="str">
        <x:v>D</x:v>
      </x:c>
      <x:c r="AG51" s="18" t="str">
        <x:v>D</x:v>
      </x:c>
      <x:c r="AH51" s="18" t="str">
        <x:v>Válida</x:v>
      </x:c>
      <x:c r="AI51" s="18" t="str">
        <x:v>01. Información oficial de la oposición\Exámenes oficiales anteriores\2024 Convocatoria 2023 - Cuestionario libre Modelo A.pdf</x:v>
      </x:c>
      <x:c r="AJ51" s="18" t="str">
        <x:v>https://www.seg-social.es/wps/portal/wss/internet/InformacionUtil/9950/88beb45d-ca83-4bab-8162-f94ef2894562</x:v>
      </x:c>
      <x:c r="AK51" s="18" t="str">
        <x:v>OCR Windows es-ES sobre PDF oficial</x:v>
      </x:c>
      <x:c r="AL51" s="18" t="n">
        <x:v>100</x:v>
      </x:c>
      <x:c r="AM51" s="18" t="str">
        <x:v>Alta</x:v>
      </x:c>
      <x:c r="AN51" s="18" t="str">
        <x:v>Regla jurídica determinista</x:v>
      </x:c>
      <x:c r="AO51" s="18" t="str">
        <x:v>2024_conv2023_ordinario_A-T50</x:v>
      </x:c>
      <x:c r="AP51" s="18" t="n">
        <x:v>1</x:v>
      </x:c>
    </x:row>
    <x:row r="52">
      <x:c r="A52" s="18" t="str">
        <x:v>2024_conv2023_ordinario_A-T51</x:v>
      </x:c>
      <x:c r="B52" s="18" t="n">
        <x:v>2024</x:v>
      </x:c>
      <x:c r="C52" s="18" t="n">
        <x:v>2023</x:v>
      </x:c>
      <x:c r="D52" s="28" t="n">
        <x:v>45626</x:v>
      </x:c>
      <x:c r="E52" s="18" t="str">
        <x:v>Acceso libre</x:v>
      </x:c>
      <x:c r="F52" s="18" t="str">
        <x:v>Primera parte</x:v>
      </x:c>
      <x:c r="G52" s="18" t="str">
        <x:v>A</x:v>
      </x:c>
      <x:c r="H52" s="18" t="str">
        <x:v>A/B</x:v>
      </x:c>
      <x:c r="I52" s="18" t="str">
        <x:v>Sí</x:v>
      </x:c>
      <x:c r="J52" s="18" t="str">
        <x:v>Modelo A usado como variante canónica; el modelo B oficial está archivado y permuta el orden y/o las opciones.</x:v>
      </x:c>
      <x:c r="K52" s="18" t="n">
        <x:v>51</x:v>
      </x:c>
      <x:c r="L52" s="18" t="str">
        <x:v>No</x:v>
      </x:c>
      <x:c r="M52" s="18" t="str">
        <x:v>Según el artículo 2 del Real Decreto 1300/1995, de 21 de julio, el Equipo de Valoración de Incapacidades, estará constituido por</x:v>
      </x:c>
      <x:c r="N52" s="18" t="str">
        <x:v>Un Presidente y cuatro Vocales.</x:v>
      </x:c>
      <x:c r="O52" s="18" t="str">
        <x:v>Un Presidente y tres Vocales.</x:v>
      </x:c>
      <x:c r="P52" s="18" t="str">
        <x:v>Un Presidente, tres Vocales y un Administrador.</x:v>
      </x:c>
      <x:c r="Q52" s="18" t="str">
        <x:v>Seis Vocales y seis Consejeros.</x:v>
      </x:c>
      <x:c r="R52" s="18" t="str">
        <x:v>S08</x:v>
      </x:c>
      <x:c r="S52" s="18" t="n">
        <x:v>8</x:v>
      </x:c>
      <x:c r="T52" s="18" t="str">
        <x:v>Temario específico Seguridad Social</x:v>
      </x:c>
      <x:c r="U52" s="18" t="str">
        <x:v>Incapacidad temporal: concepto y causas que motivan esta situación. Beneficiarios. Prestación económica: determinación y cuantía. Nacimiento, duración y extinción del derecho al subsidio. Reconocimiento y pago. Control de la incapacidad. Incapacidad permanente contributiva: concepto. Grados de incapacidad. Prestaciones. Determinación y cuantía. Beneficiarios. Nacimiento, duración y extinción del derecho. Lesiones permanentes no incapacitantes. La calificación y revisión de la incapacidad permanente.</x:v>
      </x:c>
      <x:c r="V52" s="18" t="str">
        <x:v>S08</x:v>
      </x:c>
      <x:c r="W52" s="18" t="str">
        <x:v>Real Decreto 1300/1995</x:v>
      </x:c>
      <x:c r="X52" s="18" t="str">
        <x:v>2</x:v>
      </x:c>
      <x:c r="Y52" s="18" t="str">
        <x:v>Incapacidad</x:v>
      </x:c>
      <x:c r="Z52" s="18" t="str">
        <x:v>Media</x:v>
      </x:c>
      <x:c r="AA52" s="18" t="str">
        <x:v>S08</x:v>
      </x:c>
      <x:c r="AB52" s="18" t="str"/>
      <x:c r="AC52" s="18" t="str"/>
      <x:c r="AD52" s="18" t="str">
        <x:v>No</x:v>
      </x:c>
      <x:c r="AE52" s="18" t="str">
        <x:v>Teórico</x:v>
      </x:c>
      <x:c r="AF52" s="18" t="str">
        <x:v>A</x:v>
      </x:c>
      <x:c r="AG52" s="18" t="str">
        <x:v>A</x:v>
      </x:c>
      <x:c r="AH52" s="18" t="str">
        <x:v>Válida</x:v>
      </x:c>
      <x:c r="AI52" s="18" t="str">
        <x:v>01. Información oficial de la oposición\Exámenes oficiales anteriores\2024 Convocatoria 2023 - Cuestionario libre Modelo A.pdf</x:v>
      </x:c>
      <x:c r="AJ52" s="18" t="str">
        <x:v>https://www.seg-social.es/wps/portal/wss/internet/InformacionUtil/9950/88beb45d-ca83-4bab-8162-f94ef2894562</x:v>
      </x:c>
      <x:c r="AK52" s="18" t="str">
        <x:v>OCR Windows es-ES sobre PDF oficial</x:v>
      </x:c>
      <x:c r="AL52" s="18" t="n">
        <x:v>100</x:v>
      </x:c>
      <x:c r="AM52" s="18" t="str">
        <x:v>Alta</x:v>
      </x:c>
      <x:c r="AN52" s="18" t="str">
        <x:v>Regla jurídica determinista</x:v>
      </x:c>
      <x:c r="AO52" s="18" t="str">
        <x:v>2024_conv2023_ordinario_A-T51</x:v>
      </x:c>
      <x:c r="AP52" s="18" t="n">
        <x:v>1</x:v>
      </x:c>
    </x:row>
    <x:row r="53">
      <x:c r="A53" s="18" t="str">
        <x:v>2024_conv2023_ordinario_A-T52</x:v>
      </x:c>
      <x:c r="B53" s="18" t="n">
        <x:v>2024</x:v>
      </x:c>
      <x:c r="C53" s="18" t="n">
        <x:v>2023</x:v>
      </x:c>
      <x:c r="D53" s="28" t="n">
        <x:v>45626</x:v>
      </x:c>
      <x:c r="E53" s="18" t="str">
        <x:v>Acceso libre</x:v>
      </x:c>
      <x:c r="F53" s="18" t="str">
        <x:v>Primera parte</x:v>
      </x:c>
      <x:c r="G53" s="18" t="str">
        <x:v>A</x:v>
      </x:c>
      <x:c r="H53" s="18" t="str">
        <x:v>A/B</x:v>
      </x:c>
      <x:c r="I53" s="18" t="str">
        <x:v>Sí</x:v>
      </x:c>
      <x:c r="J53" s="18" t="str">
        <x:v>Modelo A usado como variante canónica; el modelo B oficial está archivado y permuta el orden y/o las opciones.</x:v>
      </x:c>
      <x:c r="K53" s="18" t="n">
        <x:v>52</x:v>
      </x:c>
      <x:c r="L53" s="18" t="str">
        <x:v>No</x:v>
      </x:c>
      <x:c r="M53" s="18" t="str">
        <x:v>En virtud de 10 establecido por eI art. 178 del texto refundido de la Ley General de la Seguridad Social, el periodo mínimo de cotización que debe acreditarse por una persona mayor de veintiséis años para ser beneficiario del subsidio por nacimiento y cuidado de menor es:</x:v>
      </x:c>
      <x:c r="N53" s="18" t="str">
        <x:v>Ciento ochenta días cotizados dentro de los siete años inmediatamente anteriores al momento de inicio del descanso, o alternativamente, trescientos sesenta días cotizados a lo largo de su vida laboral, con anterioridad a esta última fecha.</x:v>
      </x:c>
      <x:c r="O53" s="18" t="str">
        <x:v>No se exige periodo mínimo de cotización.</x:v>
      </x:c>
      <x:c r="P53" s="18" t="str">
        <x:v>Noventa días cotizados dentro de los siete años inmediatamente anteriores al momento de inicio del descanso, o alternativamente, ciento ochenta dias cotizados a 10 largo de su vida laboral, con anterioridad a esta última fecha,</x:v>
      </x:c>
      <x:c r="Q53" s="18" t="str">
        <x:v>Ciento veinte días cotizados dentro de tos siete años inmediatamente anteriores al momento de inicio del descanso.</x:v>
      </x:c>
      <x:c r="R53" s="18" t="str">
        <x:v>S09</x:v>
      </x:c>
      <x:c r="S53" s="18" t="n">
        <x:v>9</x:v>
      </x:c>
      <x:c r="T53" s="18" t="str">
        <x:v>Temario específico Seguridad Social</x:v>
      </x:c>
      <x:c r="U53" s="18" t="str">
        <x:v>Nacimiento y cuidado de menor. Ejercicio corresponsable del cuidado del lactante. Prestación por riesgo durante el embarazo. Prestación por riesgo durante la lactancia natural. Asignación económica por hijo o menor acogido a cargo. Prestación económica por nacimiento o adopción de hijo en supuestos de familias numerosas o monoparentales y en los casos de madres o padres con discapacidad. Prestación por parto o adopción Subsidio por cuidado de menores afectados por cáncer u otra enfermedad grave.</x:v>
      </x:c>
      <x:c r="V53" s="18" t="str">
        <x:v>nacimiento y cuidado de menor</x:v>
      </x:c>
      <x:c r="W53" s="18" t="str">
        <x:v>texto refundido de la Ley General de la Seguridad Social</x:v>
      </x:c>
      <x:c r="X53" s="18" t="str"/>
      <x:c r="Y53" s="18" t="str">
        <x:v>Personas beneficiarias</x:v>
      </x:c>
      <x:c r="Z53" s="18" t="str">
        <x:v>Media</x:v>
      </x:c>
      <x:c r="AA53" s="18" t="str">
        <x:v>nacimiento y cuidado de menor</x:v>
      </x:c>
      <x:c r="AB53" s="18" t="str"/>
      <x:c r="AC53" s="18" t="str"/>
      <x:c r="AD53" s="18" t="str">
        <x:v>No</x:v>
      </x:c>
      <x:c r="AE53" s="18" t="str">
        <x:v>Teórico</x:v>
      </x:c>
      <x:c r="AF53" s="18" t="str">
        <x:v>A</x:v>
      </x:c>
      <x:c r="AG53" s="18" t="str">
        <x:v>A</x:v>
      </x:c>
      <x:c r="AH53" s="18" t="str">
        <x:v>Válida</x:v>
      </x:c>
      <x:c r="AI53" s="18" t="str">
        <x:v>01. Información oficial de la oposición\Exámenes oficiales anteriores\2024 Convocatoria 2023 - Cuestionario libre Modelo A.pdf</x:v>
      </x:c>
      <x:c r="AJ53" s="18" t="str">
        <x:v>https://www.seg-social.es/wps/portal/wss/internet/InformacionUtil/9950/88beb45d-ca83-4bab-8162-f94ef2894562</x:v>
      </x:c>
      <x:c r="AK53" s="18" t="str">
        <x:v>OCR Windows es-ES sobre PDF oficial</x:v>
      </x:c>
      <x:c r="AL53" s="18" t="n">
        <x:v>100</x:v>
      </x:c>
      <x:c r="AM53" s="18" t="str">
        <x:v>Alta</x:v>
      </x:c>
      <x:c r="AN53" s="18" t="str">
        <x:v>Regla jurídica determinista</x:v>
      </x:c>
      <x:c r="AO53" s="18" t="str">
        <x:v>2024_conv2023_ordinario_A-T52</x:v>
      </x:c>
      <x:c r="AP53" s="18" t="n">
        <x:v>1</x:v>
      </x:c>
    </x:row>
    <x:row r="54">
      <x:c r="A54" s="18" t="str">
        <x:v>2024_conv2023_ordinario_A-T53</x:v>
      </x:c>
      <x:c r="B54" s="18" t="n">
        <x:v>2024</x:v>
      </x:c>
      <x:c r="C54" s="18" t="n">
        <x:v>2023</x:v>
      </x:c>
      <x:c r="D54" s="28" t="n">
        <x:v>45626</x:v>
      </x:c>
      <x:c r="E54" s="18" t="str">
        <x:v>Acceso libre</x:v>
      </x:c>
      <x:c r="F54" s="18" t="str">
        <x:v>Primera parte</x:v>
      </x:c>
      <x:c r="G54" s="18" t="str">
        <x:v>A</x:v>
      </x:c>
      <x:c r="H54" s="18" t="str">
        <x:v>A/B</x:v>
      </x:c>
      <x:c r="I54" s="18" t="str">
        <x:v>Sí</x:v>
      </x:c>
      <x:c r="J54" s="18" t="str">
        <x:v>Modelo A usado como variante canónica; el modelo B oficial está archivado y permuta el orden y/o las opciones.</x:v>
      </x:c>
      <x:c r="K54" s="18" t="n">
        <x:v>53</x:v>
      </x:c>
      <x:c r="L54" s="18" t="str">
        <x:v>No</x:v>
      </x:c>
      <x:c r="M54" s="18" t="str">
        <x:v>Tal y como establece el art. 179 del texto refundido de la Ley General de la Seguridad Social, la prestación económica por nacimiento y cuidado de menor consistirá en:</x:v>
      </x:c>
      <x:c r="N54" s="18" t="str">
        <x:v>Un subsidio equivalente al 75 por ciento de la base reguladora correspondiente,</x:v>
      </x:c>
      <x:c r="O54" s="18" t="str">
        <x:v>Un subsidio equivalente al 60 por ciento de la base reguladora correspondiente.</x:v>
      </x:c>
      <x:c r="P54" s="18" t="str">
        <x:v>Un subsidio equivalente al 100 por ciento de la base reguladora correspondiente.</x:v>
      </x:c>
      <x:c r="Q54" s="18" t="str">
        <x:v>Un subsidio equivalente al 70 por ciento de la base reguladora correspondiente durante los seis primeros meses y del 60 por ciento el resto de duración de la prestación.</x:v>
      </x:c>
      <x:c r="R54" s="18" t="str">
        <x:v>S09</x:v>
      </x:c>
      <x:c r="S54" s="18" t="n">
        <x:v>9</x:v>
      </x:c>
      <x:c r="T54" s="18" t="str">
        <x:v>Temario específico Seguridad Social</x:v>
      </x:c>
      <x:c r="U54" s="18" t="str">
        <x:v>Nacimiento y cuidado de menor. Ejercicio corresponsable del cuidado del lactante. Prestación por riesgo durante el embarazo. Prestación por riesgo durante la lactancia natural. Asignación económica por hijo o menor acogido a cargo. Prestación económica por nacimiento o adopción de hijo en supuestos de familias numerosas o monoparentales y en los casos de madres o padres con discapacidad. Prestación por parto o adopción Subsidio por cuidado de menores afectados por cáncer u otra enfermedad grave.</x:v>
      </x:c>
      <x:c r="V54" s="18" t="str">
        <x:v>nacimiento y cuidado de menor</x:v>
      </x:c>
      <x:c r="W54" s="18" t="str">
        <x:v>texto refundido de la Ley General de la Seguridad Social</x:v>
      </x:c>
      <x:c r="X54" s="18" t="str"/>
      <x:c r="Y54" s="18" t="str">
        <x:v>Prestaciones familiares</x:v>
      </x:c>
      <x:c r="Z54" s="18" t="str">
        <x:v>Media</x:v>
      </x:c>
      <x:c r="AA54" s="18" t="str">
        <x:v>nacimiento y cuidado de menor</x:v>
      </x:c>
      <x:c r="AB54" s="18" t="str"/>
      <x:c r="AC54" s="18" t="str"/>
      <x:c r="AD54" s="18" t="str">
        <x:v>No</x:v>
      </x:c>
      <x:c r="AE54" s="18" t="str">
        <x:v>Teórico</x:v>
      </x:c>
      <x:c r="AF54" s="18" t="str">
        <x:v>C</x:v>
      </x:c>
      <x:c r="AG54" s="18" t="str">
        <x:v>C</x:v>
      </x:c>
      <x:c r="AH54" s="18" t="str">
        <x:v>Válida</x:v>
      </x:c>
      <x:c r="AI54" s="18" t="str">
        <x:v>01. Información oficial de la oposición\Exámenes oficiales anteriores\2024 Convocatoria 2023 - Cuestionario libre Modelo A.pdf</x:v>
      </x:c>
      <x:c r="AJ54" s="18" t="str">
        <x:v>https://www.seg-social.es/wps/portal/wss/internet/InformacionUtil/9950/88beb45d-ca83-4bab-8162-f94ef2894562</x:v>
      </x:c>
      <x:c r="AK54" s="18" t="str">
        <x:v>OCR Windows es-ES sobre PDF oficial</x:v>
      </x:c>
      <x:c r="AL54" s="18" t="n">
        <x:v>100</x:v>
      </x:c>
      <x:c r="AM54" s="18" t="str">
        <x:v>Alta</x:v>
      </x:c>
      <x:c r="AN54" s="18" t="str">
        <x:v>Regla jurídica determinista</x:v>
      </x:c>
      <x:c r="AO54" s="18" t="str">
        <x:v>2024_conv2023_ordinario_A-T53</x:v>
      </x:c>
      <x:c r="AP54" s="18" t="n">
        <x:v>1</x:v>
      </x:c>
    </x:row>
    <x:row r="55">
      <x:c r="A55" s="18" t="str">
        <x:v>2024_conv2023_ordinario_A-T54</x:v>
      </x:c>
      <x:c r="B55" s="18" t="n">
        <x:v>2024</x:v>
      </x:c>
      <x:c r="C55" s="18" t="n">
        <x:v>2023</x:v>
      </x:c>
      <x:c r="D55" s="28" t="n">
        <x:v>45626</x:v>
      </x:c>
      <x:c r="E55" s="18" t="str">
        <x:v>Acceso libre</x:v>
      </x:c>
      <x:c r="F55" s="18" t="str">
        <x:v>Primera parte</x:v>
      </x:c>
      <x:c r="G55" s="18" t="str">
        <x:v>A</x:v>
      </x:c>
      <x:c r="H55" s="18" t="str">
        <x:v>A/B</x:v>
      </x:c>
      <x:c r="I55" s="18" t="str">
        <x:v>Sí</x:v>
      </x:c>
      <x:c r="J55" s="18" t="str">
        <x:v>Modelo A usado como variante canónica; el modelo B oficial está archivado y permuta el orden y/o las opciones.</x:v>
      </x:c>
      <x:c r="K55" s="18" t="n">
        <x:v>54</x:v>
      </x:c>
      <x:c r="L55" s="18" t="str">
        <x:v>No</x:v>
      </x:c>
      <x:c r="M55" s="18" t="str">
        <x:v>En virtud del art. 352 del texto refundido de la Ley General de la Seguridad Social, uno de los requisitos para tener derecho a la asignación económica por hijo o menor a cargo es:</x:v>
      </x:c>
      <x:c r="N55" s="18" t="str">
        <x:v>Residir legalmente en territorio español.</x:v>
      </x:c>
      <x:c r="O55" s="18" t="str">
        <x:v>Tener un periodo cotizado de, al menos, 360 días a 10 largo de su vida laboral.</x:v>
      </x:c>
      <x:c r="P55" s="18" t="str">
        <x:v>Estar en situación de alta o asimilada a la de alta.</x:v>
      </x:c>
      <x:c r="Q55" s="18" t="str">
        <x:v>Ser beneficiario previo del Ingreso Mínimo Vital.</x:v>
      </x:c>
      <x:c r="R55" s="18" t="str">
        <x:v>S09</x:v>
      </x:c>
      <x:c r="S55" s="18" t="n">
        <x:v>9</x:v>
      </x:c>
      <x:c r="T55" s="18" t="str">
        <x:v>Temario específico Seguridad Social</x:v>
      </x:c>
      <x:c r="U55" s="18" t="str">
        <x:v>Nacimiento y cuidado de menor. Ejercicio corresponsable del cuidado del lactante. Prestación por riesgo durante el embarazo. Prestación por riesgo durante la lactancia natural. Asignación económica por hijo o menor acogido a cargo. Prestación económica por nacimiento o adopción de hijo en supuestos de familias numerosas o monoparentales y en los casos de madres o padres con discapacidad. Prestación por parto o adopción Subsidio por cuidado de menores afectados por cáncer u otra enfermedad grave.</x:v>
      </x:c>
      <x:c r="V55" s="18" t="str">
        <x:v>S09</x:v>
      </x:c>
      <x:c r="W55" s="18" t="str">
        <x:v>texto refundido de la Ley General de la Seguridad Social</x:v>
      </x:c>
      <x:c r="X55" s="18" t="str"/>
      <x:c r="Y55" s="18" t="str">
        <x:v>Requisitos</x:v>
      </x:c>
      <x:c r="Z55" s="18" t="str">
        <x:v>Media</x:v>
      </x:c>
      <x:c r="AA55" s="18" t="str">
        <x:v>S09</x:v>
      </x:c>
      <x:c r="AB55" s="18" t="str"/>
      <x:c r="AC55" s="18" t="str"/>
      <x:c r="AD55" s="18" t="str">
        <x:v>No</x:v>
      </x:c>
      <x:c r="AE55" s="18" t="str">
        <x:v>Teórico</x:v>
      </x:c>
      <x:c r="AF55" s="18" t="str">
        <x:v>A</x:v>
      </x:c>
      <x:c r="AG55" s="18" t="str">
        <x:v>A</x:v>
      </x:c>
      <x:c r="AH55" s="18" t="str">
        <x:v>Válida</x:v>
      </x:c>
      <x:c r="AI55" s="18" t="str">
        <x:v>01. Información oficial de la oposición\Exámenes oficiales anteriores\2024 Convocatoria 2023 - Cuestionario libre Modelo A.pdf</x:v>
      </x:c>
      <x:c r="AJ55" s="18" t="str">
        <x:v>https://www.seg-social.es/wps/portal/wss/internet/InformacionUtil/9950/88beb45d-ca83-4bab-8162-f94ef2894562</x:v>
      </x:c>
      <x:c r="AK55" s="18" t="str">
        <x:v>OCR Windows es-ES sobre PDF oficial</x:v>
      </x:c>
      <x:c r="AL55" s="18" t="n">
        <x:v>100</x:v>
      </x:c>
      <x:c r="AM55" s="18" t="str">
        <x:v>Alta</x:v>
      </x:c>
      <x:c r="AN55" s="18" t="str">
        <x:v>Regla jurídica determinista</x:v>
      </x:c>
      <x:c r="AO55" s="18" t="str">
        <x:v>2024_conv2023_ordinario_A-T54</x:v>
      </x:c>
      <x:c r="AP55" s="18" t="n">
        <x:v>1</x:v>
      </x:c>
    </x:row>
    <x:row r="56">
      <x:c r="A56" s="18" t="str">
        <x:v>2024_conv2023_ordinario_A-T55</x:v>
      </x:c>
      <x:c r="B56" s="18" t="n">
        <x:v>2024</x:v>
      </x:c>
      <x:c r="C56" s="18" t="n">
        <x:v>2023</x:v>
      </x:c>
      <x:c r="D56" s="28" t="n">
        <x:v>45626</x:v>
      </x:c>
      <x:c r="E56" s="18" t="str">
        <x:v>Acceso libre</x:v>
      </x:c>
      <x:c r="F56" s="18" t="str">
        <x:v>Primera parte</x:v>
      </x:c>
      <x:c r="G56" s="18" t="str">
        <x:v>A</x:v>
      </x:c>
      <x:c r="H56" s="18" t="str">
        <x:v>A/B</x:v>
      </x:c>
      <x:c r="I56" s="18" t="str">
        <x:v>Sí</x:v>
      </x:c>
      <x:c r="J56" s="18" t="str">
        <x:v>Modelo A usado como variante canónica; el modelo B oficial está archivado y permuta el orden y/o las opciones.</x:v>
      </x:c>
      <x:c r="K56" s="18" t="n">
        <x:v>55</x:v>
      </x:c>
      <x:c r="L56" s="18" t="str">
        <x:v>No</x:v>
      </x:c>
      <x:c r="M56" s="18" t="str">
        <x:v>En virtud del artículo 7 del Real Decreto 1148/2011, de 29 de julio, el subsidio por cuidado de menores afectados por cáncer u otra enfermedad grave se reconocerá:</x:v>
      </x:c>
      <x:c r="N56" s="18" t="str">
        <x:v>Por un periodo de dos meses, prorrogable por periodos de igual duracióm</x:v>
      </x:c>
      <x:c r="O56" s="18" t="str">
        <x:v>Por un periodo de tres meses, prorrogable por periodos de igual duración.</x:v>
      </x:c>
      <x:c r="P56" s="18" t="str">
        <x:v>Por un periodo de cuatro meses, prorrogable inicialmente por un periodo de cuatro meses y sucesivos de dos meses.</x:v>
      </x:c>
      <x:c r="Q56" s="18" t="str">
        <x:v>Por un periodo de un mes, prorrogable inicialmente por un periodo de dos meses y sucesivos de cuatro meses.</x:v>
      </x:c>
      <x:c r="R56" s="18" t="str">
        <x:v>S09</x:v>
      </x:c>
      <x:c r="S56" s="18" t="n">
        <x:v>9</x:v>
      </x:c>
      <x:c r="T56" s="18" t="str">
        <x:v>Temario específico Seguridad Social</x:v>
      </x:c>
      <x:c r="U56" s="18" t="str">
        <x:v>Nacimiento y cuidado de menor. Ejercicio corresponsable del cuidado del lactante. Prestación por riesgo durante el embarazo. Prestación por riesgo durante la lactancia natural. Asignación económica por hijo o menor acogido a cargo. Prestación económica por nacimiento o adopción de hijo en supuestos de familias numerosas o monoparentales y en los casos de madres o padres con discapacidad. Prestación por parto o adopción Subsidio por cuidado de menores afectados por cáncer u otra enfermedad grave.</x:v>
      </x:c>
      <x:c r="V56" s="18" t="str">
        <x:v>S09</x:v>
      </x:c>
      <x:c r="W56" s="18" t="str">
        <x:v>Real Decreto 1148/2011</x:v>
      </x:c>
      <x:c r="X56" s="18" t="str">
        <x:v>7</x:v>
      </x:c>
      <x:c r="Y56" s="18" t="str">
        <x:v>Prestaciones familiares</x:v>
      </x:c>
      <x:c r="Z56" s="18" t="str">
        <x:v>Media</x:v>
      </x:c>
      <x:c r="AA56" s="18" t="str">
        <x:v>S09</x:v>
      </x:c>
      <x:c r="AB56" s="18" t="str"/>
      <x:c r="AC56" s="18" t="str"/>
      <x:c r="AD56" s="18" t="str">
        <x:v>No</x:v>
      </x:c>
      <x:c r="AE56" s="18" t="str">
        <x:v>Teórico</x:v>
      </x:c>
      <x:c r="AF56" s="18" t="str">
        <x:v>D</x:v>
      </x:c>
      <x:c r="AG56" s="18" t="str">
        <x:v>D</x:v>
      </x:c>
      <x:c r="AH56" s="18" t="str">
        <x:v>Válida</x:v>
      </x:c>
      <x:c r="AI56" s="18" t="str">
        <x:v>01. Información oficial de la oposición\Exámenes oficiales anteriores\2024 Convocatoria 2023 - Cuestionario libre Modelo A.pdf</x:v>
      </x:c>
      <x:c r="AJ56" s="18" t="str">
        <x:v>https://www.seg-social.es/wps/portal/wss/internet/InformacionUtil/9950/88beb45d-ca83-4bab-8162-f94ef2894562</x:v>
      </x:c>
      <x:c r="AK56" s="18" t="str">
        <x:v>OCR Windows es-ES sobre PDF oficial</x:v>
      </x:c>
      <x:c r="AL56" s="18" t="n">
        <x:v>100</x:v>
      </x:c>
      <x:c r="AM56" s="18" t="str">
        <x:v>Alta</x:v>
      </x:c>
      <x:c r="AN56" s="18" t="str">
        <x:v>Regla jurídica determinista</x:v>
      </x:c>
      <x:c r="AO56" s="18" t="str">
        <x:v>2024_conv2023_ordinario_A-T55</x:v>
      </x:c>
      <x:c r="AP56" s="18" t="n">
        <x:v>1</x:v>
      </x:c>
    </x:row>
    <x:row r="57">
      <x:c r="A57" s="18" t="str">
        <x:v>2024_conv2023_ordinario_A-T56</x:v>
      </x:c>
      <x:c r="B57" s="18" t="n">
        <x:v>2024</x:v>
      </x:c>
      <x:c r="C57" s="18" t="n">
        <x:v>2023</x:v>
      </x:c>
      <x:c r="D57" s="28" t="n">
        <x:v>45626</x:v>
      </x:c>
      <x:c r="E57" s="18" t="str">
        <x:v>Acceso libre</x:v>
      </x:c>
      <x:c r="F57" s="18" t="str">
        <x:v>Primera parte</x:v>
      </x:c>
      <x:c r="G57" s="18" t="str">
        <x:v>A</x:v>
      </x:c>
      <x:c r="H57" s="18" t="str">
        <x:v>A/B</x:v>
      </x:c>
      <x:c r="I57" s="18" t="str">
        <x:v>Sí</x:v>
      </x:c>
      <x:c r="J57" s="18" t="str">
        <x:v>Modelo A usado como variante canónica; el modelo B oficial está archivado y permuta el orden y/o las opciones.</x:v>
      </x:c>
      <x:c r="K57" s="18" t="n">
        <x:v>56</x:v>
      </x:c>
      <x:c r="L57" s="18" t="str">
        <x:v>No</x:v>
      </x:c>
      <x:c r="M57" s="18" t="str">
        <x:v>Según el artículo 205 del texto refundido de la Ley General de la Seguridad Social, ¿qué periodo mínimo de cotización será necesario para acceder a la jubilación en su modalidad contributiva?</x:v>
      </x:c>
      <x:c r="N57" s="18" t="str">
        <x:v>15 años de los cuales al menos cinco deberán estar comprendidos dentro de los quince años inmediatamente anteriores al momento de causar eI derecho.</x:v>
      </x:c>
      <x:c r="O57" s="18" t="str">
        <x:v>25 años de los cueles al menos diez deberán estar comprendidos dentro de fos quince años inmediatamente anteriores al momento de causar el derecho.</x:v>
      </x:c>
      <x:c r="P57" s="18" t="str">
        <x:v>15 años de tos cuales al menos dos deberán estar comprendidos dentro de los diez años inmediatamente anteriores al momento de causar eI derecho.</x:v>
      </x:c>
      <x:c r="Q57" s="18" t="str">
        <x:v>15 años de los cuales al menos dos deberán estar comprendidos dentro de los quince años inmediatamente anteriores al momento de causar el derecho.</x:v>
      </x:c>
      <x:c r="R57" s="18" t="str">
        <x:v>S10</x:v>
      </x:c>
      <x:c r="S57" s="18" t="n">
        <x:v>10</x:v>
      </x:c>
      <x:c r="T57" s="18" t="str">
        <x:v>Temario específico Seguridad Social</x:v>
      </x:c>
      <x:c r="U57" s="18" t="str">
        <x:v>Jubilación en la modalidad contributiva: concepto. Jubilación ordinaria: requisitos: especial referencia a la edad de jubilación. Determinación de la cuantía de la prestación: base reguladora y porcentaje. Jubilación anticipada, jubilación parcial y jubilación flexible. Compatibilidad de la pensión de jubilación y el trabajo. Suspensión y extinción de la prestación. Especial referencia a la aplicación de la normativa anterior a la Ley 27/2011.</x:v>
      </x:c>
      <x:c r="V57" s="18" t="str">
        <x:v>jubilación</x:v>
      </x:c>
      <x:c r="W57" s="18" t="str">
        <x:v>texto refundido de la Ley General de la Seguridad Social</x:v>
      </x:c>
      <x:c r="X57" s="18" t="str">
        <x:v>205</x:v>
      </x:c>
      <x:c r="Y57" s="18" t="str">
        <x:v>Requisitos</x:v>
      </x:c>
      <x:c r="Z57" s="18" t="str">
        <x:v>Media</x:v>
      </x:c>
      <x:c r="AA57" s="18" t="str">
        <x:v>jubilación</x:v>
      </x:c>
      <x:c r="AB57" s="18" t="str"/>
      <x:c r="AC57" s="18" t="str"/>
      <x:c r="AD57" s="18" t="str">
        <x:v>No</x:v>
      </x:c>
      <x:c r="AE57" s="18" t="str">
        <x:v>Teórico</x:v>
      </x:c>
      <x:c r="AF57" s="18" t="str">
        <x:v>D</x:v>
      </x:c>
      <x:c r="AG57" s="18" t="str">
        <x:v>D</x:v>
      </x:c>
      <x:c r="AH57" s="18" t="str">
        <x:v>Válida</x:v>
      </x:c>
      <x:c r="AI57" s="18" t="str">
        <x:v>01. Información oficial de la oposición\Exámenes oficiales anteriores\2024 Convocatoria 2023 - Cuestionario libre Modelo A.pdf</x:v>
      </x:c>
      <x:c r="AJ57" s="18" t="str">
        <x:v>https://www.seg-social.es/wps/portal/wss/internet/InformacionUtil/9950/88beb45d-ca83-4bab-8162-f94ef2894562</x:v>
      </x:c>
      <x:c r="AK57" s="18" t="str">
        <x:v>OCR Windows es-ES sobre PDF oficial</x:v>
      </x:c>
      <x:c r="AL57" s="18" t="n">
        <x:v>100</x:v>
      </x:c>
      <x:c r="AM57" s="18" t="str">
        <x:v>Alta</x:v>
      </x:c>
      <x:c r="AN57" s="18" t="str">
        <x:v>Regla jurídica determinista</x:v>
      </x:c>
      <x:c r="AO57" s="18" t="str">
        <x:v>2024_conv2023_ordinario_A-T56</x:v>
      </x:c>
      <x:c r="AP57" s="18" t="n">
        <x:v>1</x:v>
      </x:c>
    </x:row>
    <x:row r="58">
      <x:c r="A58" s="18" t="str">
        <x:v>2024_conv2023_ordinario_A-T57</x:v>
      </x:c>
      <x:c r="B58" s="18" t="n">
        <x:v>2024</x:v>
      </x:c>
      <x:c r="C58" s="18" t="n">
        <x:v>2023</x:v>
      </x:c>
      <x:c r="D58" s="28" t="n">
        <x:v>45626</x:v>
      </x:c>
      <x:c r="E58" s="18" t="str">
        <x:v>Acceso libre</x:v>
      </x:c>
      <x:c r="F58" s="18" t="str">
        <x:v>Primera parte</x:v>
      </x:c>
      <x:c r="G58" s="18" t="str">
        <x:v>A</x:v>
      </x:c>
      <x:c r="H58" s="18" t="str">
        <x:v>A/B</x:v>
      </x:c>
      <x:c r="I58" s="18" t="str">
        <x:v>Sí</x:v>
      </x:c>
      <x:c r="J58" s="18" t="str">
        <x:v>Modelo A usado como variante canónica; el modelo B oficial está archivado y permuta el orden y/o las opciones.</x:v>
      </x:c>
      <x:c r="K58" s="18" t="n">
        <x:v>57</x:v>
      </x:c>
      <x:c r="L58" s="18" t="str">
        <x:v>No</x:v>
      </x:c>
      <x:c r="M58" s="18" t="str">
        <x:v>Según el artículo 235 del texto refundido de la Ley General de la Seguridad Social, ¿qué número de días se reconocerán como periodos de cotización asimilados por parto a efectos de pensiones contributivas de jubilación y de incapacidad permanente?</x:v>
      </x:c>
      <x:c r="N58" s="18" t="str">
        <x:v>Un total de noventa y ocho días completos de cotización por cada parto de un solo hijo y de 7 días más por cada hijo a paflir del segundo, este incluido, si el parto fuera múltiple.</x:v>
      </x:c>
      <x:c r="O58" s="18" t="str">
        <x:v>Un total de ciento doce días completos de cotización por cada parto de un solo hijo y de 7 días más por cada hijo a partir del segundo, este incluido, si el parto fuera múltiple.</x:v>
      </x:c>
      <x:c r="P58" s="18" t="str">
        <x:v>Un total de ciento doce dias completos de cotización por cada parto de un solo hijo y de 14 días más por cada hijo a partir del segundo, este incluido, si el parto fuera múltiple.</x:v>
      </x:c>
      <x:c r="Q58" s="18" t="str">
        <x:v>Un total de ciento catorce días completos de cotización por cada parto de un solo hijo y de 14 días más por cada hijo a partir del segundo, este incluido, si eI parto fuera múltiple.</x:v>
      </x:c>
      <x:c r="R58" s="18" t="str">
        <x:v>S12</x:v>
      </x:c>
      <x:c r="S58" s="18" t="n">
        <x:v>12</x:v>
      </x:c>
      <x:c r="T58" s="18" t="str">
        <x:v>Temario específico Seguridad Social</x:v>
      </x:c>
      <x:c r="U58" s="18" t="str">
        <x:v>Prestaciones no contributivas y asistenciales. El ingreso mínimo vital: beneficiarios, requisitos y duración. Obligaciones de las personas beneficiarias. Cuantía, pago, reintegro de prestaciones indebidas. Prestaciones familiares múltiples. Prestaciones familiares en la modalidad contributiva. Las pensiones no contributivas: Invalidez no contributiva: Jubilación no contributiva.</x:v>
      </x:c>
      <x:c r="V58" s="18" t="str">
        <x:v>incapacidad permanente</x:v>
      </x:c>
      <x:c r="W58" s="18" t="str">
        <x:v>texto refundido de la Ley General de la Seguridad Social</x:v>
      </x:c>
      <x:c r="X58" s="18" t="str">
        <x:v>235</x:v>
      </x:c>
      <x:c r="Y58" s="18" t="str">
        <x:v>Plazos</x:v>
      </x:c>
      <x:c r="Z58" s="18" t="str">
        <x:v>Media</x:v>
      </x:c>
      <x:c r="AA58" s="18" t="str">
        <x:v>incapacidad permanente</x:v>
      </x:c>
      <x:c r="AB58" s="18" t="str"/>
      <x:c r="AC58" s="18" t="str"/>
      <x:c r="AD58" s="18" t="str">
        <x:v>No</x:v>
      </x:c>
      <x:c r="AE58" s="18" t="str">
        <x:v>Teórico</x:v>
      </x:c>
      <x:c r="AF58" s="18" t="str">
        <x:v>C</x:v>
      </x:c>
      <x:c r="AG58" s="18" t="str">
        <x:v>C</x:v>
      </x:c>
      <x:c r="AH58" s="18" t="str">
        <x:v>Válida</x:v>
      </x:c>
      <x:c r="AI58" s="18" t="str">
        <x:v>01. Información oficial de la oposición\Exámenes oficiales anteriores\2024 Convocatoria 2023 - Cuestionario libre Modelo A.pdf</x:v>
      </x:c>
      <x:c r="AJ58" s="18" t="str">
        <x:v>https://www.seg-social.es/wps/portal/wss/internet/InformacionUtil/9950/88beb45d-ca83-4bab-8162-f94ef2894562</x:v>
      </x:c>
      <x:c r="AK58" s="18" t="str">
        <x:v>OCR Windows es-ES sobre PDF oficial</x:v>
      </x:c>
      <x:c r="AL58" s="18" t="n">
        <x:v>100</x:v>
      </x:c>
      <x:c r="AM58" s="18" t="str">
        <x:v>Alta</x:v>
      </x:c>
      <x:c r="AN58" s="18" t="str">
        <x:v>Revisión jurídica individual</x:v>
      </x:c>
      <x:c r="AO58" s="18" t="str">
        <x:v>2024_conv2023_ordinario_A-T57</x:v>
      </x:c>
      <x:c r="AP58" s="18" t="n">
        <x:v>1</x:v>
      </x:c>
    </x:row>
    <x:row r="59">
      <x:c r="A59" s="18" t="str">
        <x:v>2024_conv2023_ordinario_A-T58</x:v>
      </x:c>
      <x:c r="B59" s="18" t="n">
        <x:v>2024</x:v>
      </x:c>
      <x:c r="C59" s="18" t="n">
        <x:v>2023</x:v>
      </x:c>
      <x:c r="D59" s="28" t="n">
        <x:v>45626</x:v>
      </x:c>
      <x:c r="E59" s="18" t="str">
        <x:v>Acceso libre</x:v>
      </x:c>
      <x:c r="F59" s="18" t="str">
        <x:v>Primera parte</x:v>
      </x:c>
      <x:c r="G59" s="18" t="str">
        <x:v>A</x:v>
      </x:c>
      <x:c r="H59" s="18" t="str">
        <x:v>A/B</x:v>
      </x:c>
      <x:c r="I59" s="18" t="str">
        <x:v>Sí</x:v>
      </x:c>
      <x:c r="J59" s="18" t="str">
        <x:v>Modelo A usado como variante canónica; el modelo B oficial está archivado y permuta el orden y/o las opciones.</x:v>
      </x:c>
      <x:c r="K59" s="18" t="n">
        <x:v>58</x:v>
      </x:c>
      <x:c r="L59" s="18" t="str">
        <x:v>No</x:v>
      </x:c>
      <x:c r="M59" s="18" t="str">
        <x:v>Según 10 establecido en el articulo 213 del texto refundido de la Ley General de la Seguridad Social, ¿en cuál de los siguientes casos será compatible el percibo de la pensión de jubilación con la realización de trabajos por cuenta propia?</x:v>
      </x:c>
      <x:c r="N59" s="18" t="str">
        <x:v>Con la realización de trabajos por cuenta propia cuyos ingresos anuales totales no superen eI salario minimo interprofesional (SMI), en cómputo anual.</x:v>
      </x:c>
      <x:c r="O59" s="18" t="str">
        <x:v>Con la realización de trabajos por cuenta propia cuyos ingresos anuales totales no superen el doble del salario minimo interprofesional (SMI), en cómputo anual.</x:v>
      </x:c>
      <x:c r="P59" s="18" t="str">
        <x:v>Con la realización de trabajos por cuenta propia cuyos ingresos mensuales totales no superen el importe del indicador público de Renta a Efectos Múltiples (IPREM), en cómputo anual.</x:v>
      </x:c>
      <x:c r="Q59" s="18" t="str">
        <x:v>Con la realización de trabajos por cuenta propia cuyos ingresos mensuales totales no superen eI doble del importe del indicador público de Renta a Efectos Múltiples (IPREM), en cómputo anual.</x:v>
      </x:c>
      <x:c r="R59" s="18" t="str">
        <x:v>S10</x:v>
      </x:c>
      <x:c r="S59" s="18" t="n">
        <x:v>10</x:v>
      </x:c>
      <x:c r="T59" s="18" t="str">
        <x:v>Temario específico Seguridad Social</x:v>
      </x:c>
      <x:c r="U59" s="18" t="str">
        <x:v>Jubilación en la modalidad contributiva: concepto. Jubilación ordinaria: requisitos: especial referencia a la edad de jubilación. Determinación de la cuantía de la prestación: base reguladora y porcentaje. Jubilación anticipada, jubilación parcial y jubilación flexible. Compatibilidad de la pensión de jubilación y el trabajo. Suspensión y extinción de la prestación. Especial referencia a la aplicación de la normativa anterior a la Ley 27/2011.</x:v>
      </x:c>
      <x:c r="V59" s="18" t="str">
        <x:v>jubilación</x:v>
      </x:c>
      <x:c r="W59" s="18" t="str">
        <x:v>texto refundido de la Ley General de la Seguridad Social</x:v>
      </x:c>
      <x:c r="X59" s="18" t="str">
        <x:v>213</x:v>
      </x:c>
      <x:c r="Y59" s="18" t="str">
        <x:v>Jubilación</x:v>
      </x:c>
      <x:c r="Z59" s="18" t="str">
        <x:v>Media</x:v>
      </x:c>
      <x:c r="AA59" s="18" t="str">
        <x:v>jubilación</x:v>
      </x:c>
      <x:c r="AB59" s="18" t="str"/>
      <x:c r="AC59" s="18" t="str"/>
      <x:c r="AD59" s="18" t="str">
        <x:v>No</x:v>
      </x:c>
      <x:c r="AE59" s="18" t="str">
        <x:v>Teórico</x:v>
      </x:c>
      <x:c r="AF59" s="18" t="str">
        <x:v>A</x:v>
      </x:c>
      <x:c r="AG59" s="18" t="str">
        <x:v>A</x:v>
      </x:c>
      <x:c r="AH59" s="18" t="str">
        <x:v>Válida</x:v>
      </x:c>
      <x:c r="AI59" s="18" t="str">
        <x:v>01. Información oficial de la oposición\Exámenes oficiales anteriores\2024 Convocatoria 2023 - Cuestionario libre Modelo A.pdf</x:v>
      </x:c>
      <x:c r="AJ59" s="18" t="str">
        <x:v>https://www.seg-social.es/wps/portal/wss/internet/InformacionUtil/9950/88beb45d-ca83-4bab-8162-f94ef2894562</x:v>
      </x:c>
      <x:c r="AK59" s="18" t="str">
        <x:v>OCR Windows es-ES sobre PDF oficial</x:v>
      </x:c>
      <x:c r="AL59" s="18" t="n">
        <x:v>100</x:v>
      </x:c>
      <x:c r="AM59" s="18" t="str">
        <x:v>Alta</x:v>
      </x:c>
      <x:c r="AN59" s="18" t="str">
        <x:v>Regla jurídica determinista</x:v>
      </x:c>
      <x:c r="AO59" s="18" t="str">
        <x:v>2024_conv2023_ordinario_A-T58</x:v>
      </x:c>
      <x:c r="AP59" s="18" t="n">
        <x:v>1</x:v>
      </x:c>
    </x:row>
    <x:row r="60">
      <x:c r="A60" s="18" t="str">
        <x:v>2024_conv2023_ordinario_A-T59</x:v>
      </x:c>
      <x:c r="B60" s="18" t="n">
        <x:v>2024</x:v>
      </x:c>
      <x:c r="C60" s="18" t="n">
        <x:v>2023</x:v>
      </x:c>
      <x:c r="D60" s="28" t="n">
        <x:v>45626</x:v>
      </x:c>
      <x:c r="E60" s="18" t="str">
        <x:v>Acceso libre</x:v>
      </x:c>
      <x:c r="F60" s="18" t="str">
        <x:v>Primera parte</x:v>
      </x:c>
      <x:c r="G60" s="18" t="str">
        <x:v>A</x:v>
      </x:c>
      <x:c r="H60" s="18" t="str">
        <x:v>A/B</x:v>
      </x:c>
      <x:c r="I60" s="18" t="str">
        <x:v>Sí</x:v>
      </x:c>
      <x:c r="J60" s="18" t="str">
        <x:v>Modelo A usado como variante canónica; el modelo B oficial está archivado y permuta el orden y/o las opciones.</x:v>
      </x:c>
      <x:c r="K60" s="18" t="n">
        <x:v>59</x:v>
      </x:c>
      <x:c r="L60" s="18" t="str">
        <x:v>No</x:v>
      </x:c>
      <x:c r="M60" s="18" t="str">
        <x:v>De acuerdo con 10 establecido en el articulo 210 del texto refundido de la Ley General de la Seguridad Social, respecto de la cuantía de la pensión de jubilación anticipada por causas no imputables al trabajador en los supuestos en que deban aplicarse coeficientes reductores por edad en el momento del hecho causante, una vez aplicados, ¿a qué cuantia no podrá ser superior el importe de la pensión resultante?</x:v>
      </x:c>
      <x:c r="N60" s="18" t="str">
        <x:v>A la cuantía que resulte de reducir eI tope máximo de pensión en un 0,25 por ciento por cada trimestre o fracción de trimestre de anticipación.</x:v>
      </x:c>
      <x:c r="O60" s="18" t="str">
        <x:v>A la cuantía que resulte de reducir eI tope máximo de pensión en un 0,50 por ciento por cada trimestre o fracción de trimestre de anticipación.</x:v>
      </x:c>
      <x:c r="P60" s="18" t="str">
        <x:v>A la cuantía que resulte de reducir eI tope máximo de pensión en un 0,25 por ciento por cada año o fracción de año de anticipación.</x:v>
      </x:c>
      <x:c r="Q60" s="18" t="str">
        <x:v>A la cuantía que resulte de reducir el tope máximo de pensión en un 1 por ciento por cada año o fracción de año de anticipación.</x:v>
      </x:c>
      <x:c r="R60" s="18" t="str">
        <x:v>S10</x:v>
      </x:c>
      <x:c r="S60" s="18" t="n">
        <x:v>10</x:v>
      </x:c>
      <x:c r="T60" s="18" t="str">
        <x:v>Temario específico Seguridad Social</x:v>
      </x:c>
      <x:c r="U60" s="18" t="str">
        <x:v>Jubilación en la modalidad contributiva: concepto. Jubilación ordinaria: requisitos: especial referencia a la edad de jubilación. Determinación de la cuantía de la prestación: base reguladora y porcentaje. Jubilación anticipada, jubilación parcial y jubilación flexible. Compatibilidad de la pensión de jubilación y el trabajo. Suspensión y extinción de la prestación. Especial referencia a la aplicación de la normativa anterior a la Ley 27/2011.</x:v>
      </x:c>
      <x:c r="V60" s="18" t="str">
        <x:v>jubilación anticipada</x:v>
      </x:c>
      <x:c r="W60" s="18" t="str">
        <x:v>texto refundido de la Ley General de la Seguridad Social</x:v>
      </x:c>
      <x:c r="X60" s="18" t="str">
        <x:v>210</x:v>
      </x:c>
      <x:c r="Y60" s="18" t="str">
        <x:v>Cálculos</x:v>
      </x:c>
      <x:c r="Z60" s="18" t="str">
        <x:v>Alta</x:v>
      </x:c>
      <x:c r="AA60" s="18" t="str">
        <x:v>jubilación anticipada</x:v>
      </x:c>
      <x:c r="AB60" s="18" t="str"/>
      <x:c r="AC60" s="18" t="str"/>
      <x:c r="AD60" s="18" t="str">
        <x:v>No</x:v>
      </x:c>
      <x:c r="AE60" s="18" t="str">
        <x:v>Teórico</x:v>
      </x:c>
      <x:c r="AF60" s="18" t="str">
        <x:v>B</x:v>
      </x:c>
      <x:c r="AG60" s="18" t="str">
        <x:v>B</x:v>
      </x:c>
      <x:c r="AH60" s="18" t="str">
        <x:v>Válida</x:v>
      </x:c>
      <x:c r="AI60" s="18" t="str">
        <x:v>01. Información oficial de la oposición\Exámenes oficiales anteriores\2024 Convocatoria 2023 - Cuestionario libre Modelo A.pdf</x:v>
      </x:c>
      <x:c r="AJ60" s="18" t="str">
        <x:v>https://www.seg-social.es/wps/portal/wss/internet/InformacionUtil/9950/88beb45d-ca83-4bab-8162-f94ef2894562</x:v>
      </x:c>
      <x:c r="AK60" s="18" t="str">
        <x:v>OCR Windows es-ES sobre PDF oficial</x:v>
      </x:c>
      <x:c r="AL60" s="18" t="n">
        <x:v>100</x:v>
      </x:c>
      <x:c r="AM60" s="18" t="str">
        <x:v>Alta</x:v>
      </x:c>
      <x:c r="AN60" s="18" t="str">
        <x:v>Regla jurídica determinista</x:v>
      </x:c>
      <x:c r="AO60" s="18" t="str">
        <x:v>2024_conv2023_ordinario_A-T59</x:v>
      </x:c>
      <x:c r="AP60" s="18" t="n">
        <x:v>1</x:v>
      </x:c>
    </x:row>
    <x:row r="61">
      <x:c r="A61" s="18" t="str">
        <x:v>2024_conv2023_ordinario_A-T60</x:v>
      </x:c>
      <x:c r="B61" s="18" t="n">
        <x:v>2024</x:v>
      </x:c>
      <x:c r="C61" s="18" t="n">
        <x:v>2023</x:v>
      </x:c>
      <x:c r="D61" s="28" t="n">
        <x:v>45626</x:v>
      </x:c>
      <x:c r="E61" s="18" t="str">
        <x:v>Acceso libre</x:v>
      </x:c>
      <x:c r="F61" s="18" t="str">
        <x:v>Primera parte</x:v>
      </x:c>
      <x:c r="G61" s="18" t="str">
        <x:v>A</x:v>
      </x:c>
      <x:c r="H61" s="18" t="str">
        <x:v>A/B</x:v>
      </x:c>
      <x:c r="I61" s="18" t="str">
        <x:v>Sí</x:v>
      </x:c>
      <x:c r="J61" s="18" t="str">
        <x:v>Modelo A usado como variante canónica; el modelo B oficial está archivado y permuta el orden y/o las opciones.</x:v>
      </x:c>
      <x:c r="K61" s="18" t="n">
        <x:v>60</x:v>
      </x:c>
      <x:c r="L61" s="18" t="str">
        <x:v>No</x:v>
      </x:c>
      <x:c r="M61" s="18" t="str">
        <x:v>Según 10 establecido en el artículo 215 del texto refundido de la Ley General de la Seguridad Social, ¿cuál será eI período mínimo de cotización necesario en el momento del hecho causante para acceder a la jubilación parcial?</x:v>
      </x:c>
      <x:c r="N61" s="18" t="str">
        <x:v>30 años cotizados para todos tos supuestos.</x:v>
      </x:c>
      <x:c r="O61" s="18" t="str">
        <x:v>33 años cotizados salvo que se acredite un grado de discapacidad igual o superior al 33% en cuyo caso el período mínimo de cotización será de 25 años.</x:v>
      </x:c>
      <x:c r="P61" s="18" t="str">
        <x:v>33 años cotizados salvo que se acredite un grado de discapacidad igual o superior al 65% en cuyo caso eI período mínimo de cotización será de 30 años.</x:v>
      </x:c>
      <x:c r="Q61" s="18" t="str">
        <x:v>30 años cotizados salvo que se acredite un grado de discapacidad igual o superior al 33% en cuyo caso el período mínimo de cotización será de 25 años.</x:v>
      </x:c>
      <x:c r="R61" s="18" t="str">
        <x:v>S10</x:v>
      </x:c>
      <x:c r="S61" s="18" t="n">
        <x:v>10</x:v>
      </x:c>
      <x:c r="T61" s="18" t="str">
        <x:v>Temario específico Seguridad Social</x:v>
      </x:c>
      <x:c r="U61" s="18" t="str">
        <x:v>Jubilación en la modalidad contributiva: concepto. Jubilación ordinaria: requisitos: especial referencia a la edad de jubilación. Determinación de la cuantía de la prestación: base reguladora y porcentaje. Jubilación anticipada, jubilación parcial y jubilación flexible. Compatibilidad de la pensión de jubilación y el trabajo. Suspensión y extinción de la prestación. Especial referencia a la aplicación de la normativa anterior a la Ley 27/2011.</x:v>
      </x:c>
      <x:c r="V61" s="18" t="str">
        <x:v>jubilación</x:v>
      </x:c>
      <x:c r="W61" s="18" t="str">
        <x:v>texto refundido de la Ley General de la Seguridad Social</x:v>
      </x:c>
      <x:c r="X61" s="18" t="str">
        <x:v>215</x:v>
      </x:c>
      <x:c r="Y61" s="18" t="str">
        <x:v>Requisitos</x:v>
      </x:c>
      <x:c r="Z61" s="18" t="str">
        <x:v>Media</x:v>
      </x:c>
      <x:c r="AA61" s="18" t="str">
        <x:v>jubilación</x:v>
      </x:c>
      <x:c r="AB61" s="18" t="str"/>
      <x:c r="AC61" s="18" t="str"/>
      <x:c r="AD61" s="18" t="str">
        <x:v>No</x:v>
      </x:c>
      <x:c r="AE61" s="18" t="str">
        <x:v>Teórico</x:v>
      </x:c>
      <x:c r="AF61" s="18" t="str">
        <x:v>B</x:v>
      </x:c>
      <x:c r="AG61" s="18" t="str">
        <x:v>B</x:v>
      </x:c>
      <x:c r="AH61" s="18" t="str">
        <x:v>Válida</x:v>
      </x:c>
      <x:c r="AI61" s="18" t="str">
        <x:v>01. Información oficial de la oposición\Exámenes oficiales anteriores\2024 Convocatoria 2023 - Cuestionario libre Modelo A.pdf</x:v>
      </x:c>
      <x:c r="AJ61" s="18" t="str">
        <x:v>https://www.seg-social.es/wps/portal/wss/internet/InformacionUtil/9950/88beb45d-ca83-4bab-8162-f94ef2894562</x:v>
      </x:c>
      <x:c r="AK61" s="18" t="str">
        <x:v>OCR Windows es-ES sobre PDF oficial</x:v>
      </x:c>
      <x:c r="AL61" s="18" t="n">
        <x:v>100</x:v>
      </x:c>
      <x:c r="AM61" s="18" t="str">
        <x:v>Alta</x:v>
      </x:c>
      <x:c r="AN61" s="18" t="str">
        <x:v>Regla jurídica determinista</x:v>
      </x:c>
      <x:c r="AO61" s="18" t="str">
        <x:v>2024_conv2023_ordinario_A-T60</x:v>
      </x:c>
      <x:c r="AP61" s="18" t="n">
        <x:v>1</x:v>
      </x:c>
    </x:row>
    <x:row r="62">
      <x:c r="A62" s="18" t="str">
        <x:v>2024_conv2023_ordinario_A-T61</x:v>
      </x:c>
      <x:c r="B62" s="18" t="n">
        <x:v>2024</x:v>
      </x:c>
      <x:c r="C62" s="18" t="n">
        <x:v>2023</x:v>
      </x:c>
      <x:c r="D62" s="28" t="n">
        <x:v>45626</x:v>
      </x:c>
      <x:c r="E62" s="18" t="str">
        <x:v>Acceso libre</x:v>
      </x:c>
      <x:c r="F62" s="18" t="str">
        <x:v>Primera parte</x:v>
      </x:c>
      <x:c r="G62" s="18" t="str">
        <x:v>A</x:v>
      </x:c>
      <x:c r="H62" s="18" t="str">
        <x:v>A/B</x:v>
      </x:c>
      <x:c r="I62" s="18" t="str">
        <x:v>Sí</x:v>
      </x:c>
      <x:c r="J62" s="18" t="str">
        <x:v>Modelo A usado como variante canónica; el modelo B oficial está archivado y permuta el orden y/o las opciones.</x:v>
      </x:c>
      <x:c r="K62" s="18" t="n">
        <x:v>61</x:v>
      </x:c>
      <x:c r="L62" s="18" t="str">
        <x:v>No</x:v>
      </x:c>
      <x:c r="M62" s="18" t="str">
        <x:v>EI derecho al reconocimiento de las prestaciones por muerte y supervivencia, con excepción del auxilio por defunción:</x:v>
      </x:c>
      <x:c r="N62" s="18" t="str">
        <x:v>Será imprescriptible, sin perjuicio de que los efectos de tal reconocimiento se produzcan a partir de los tres meses anteriores a la fecha en la que se presente la correspondiente solicitud</x:v>
      </x:c>
      <x:c r="O62" s="18" t="str">
        <x:v>Será imprescriptible, sin perjuicio de que los efectos de tal reconocimiento se produzcan a partir de los tres meses posteriores a la fecha en ta que se presente la correspondiente solicitud.</x:v>
      </x:c>
      <x:c r="P62" s="18" t="str">
        <x:v>Será imprescriptible, sin perjuicio de que los efectos de tal reconocimiento se produzcan a partir de los dos meses anteriores a la fecha en la que se presente la correspondiente solicitud.</x:v>
      </x:c>
      <x:c r="Q62" s="18" t="str">
        <x:v>Será imprescriptible, sin perjuicio de que los efectos de tal reconocimiento se produzcan a partir de los dos meses posteriores a la fecha en la que se presente la correspondiente solicitud.</x:v>
      </x:c>
      <x:c r="R62" s="18" t="str">
        <x:v>S11</x:v>
      </x:c>
      <x:c r="S62" s="18" t="n">
        <x:v>11</x:v>
      </x:c>
      <x:c r="T62" s="18" t="str">
        <x:v>Temario específico Seguridad Social</x:v>
      </x:c>
      <x:c r="U62" s="18" t="str">
        <x:v>La protección por muerte y supervivencia. Hecho causante. Requisitos para las prestaciones de viudedad, orfandad y en favor de familiares. Cuantía de las prestaciones. Compatibilidad. Suspensión y Extinción. Normas específicas en caso de muerte derivada de accidente de trabajo o enfermedad profesional. Efectividad económica de las prestaciones. El auxilio por defunción.</x:v>
      </x:c>
      <x:c r="V62" s="18" t="str">
        <x:v>S11</x:v>
      </x:c>
      <x:c r="W62" s="18" t="str"/>
      <x:c r="X62" s="18" t="str"/>
      <x:c r="Y62" s="18" t="str">
        <x:v>Muerte y supervivencia</x:v>
      </x:c>
      <x:c r="Z62" s="18" t="str">
        <x:v>Básica</x:v>
      </x:c>
      <x:c r="AA62" s="18" t="str">
        <x:v>S11</x:v>
      </x:c>
      <x:c r="AB62" s="18" t="str"/>
      <x:c r="AC62" s="18" t="str"/>
      <x:c r="AD62" s="18" t="str">
        <x:v>No</x:v>
      </x:c>
      <x:c r="AE62" s="18" t="str">
        <x:v>Teórico</x:v>
      </x:c>
      <x:c r="AF62" s="18" t="str">
        <x:v>A</x:v>
      </x:c>
      <x:c r="AG62" s="18" t="str">
        <x:v>A</x:v>
      </x:c>
      <x:c r="AH62" s="18" t="str">
        <x:v>Válida</x:v>
      </x:c>
      <x:c r="AI62" s="18" t="str">
        <x:v>01. Información oficial de la oposición\Exámenes oficiales anteriores\2024 Convocatoria 2023 - Cuestionario libre Modelo A.pdf</x:v>
      </x:c>
      <x:c r="AJ62" s="18" t="str">
        <x:v>https://www.seg-social.es/wps/portal/wss/internet/InformacionUtil/9950/88beb45d-ca83-4bab-8162-f94ef2894562</x:v>
      </x:c>
      <x:c r="AK62" s="18" t="str">
        <x:v>OCR Windows es-ES sobre PDF oficial</x:v>
      </x:c>
      <x:c r="AL62" s="18" t="n">
        <x:v>100</x:v>
      </x:c>
      <x:c r="AM62" s="18" t="str">
        <x:v>Alta</x:v>
      </x:c>
      <x:c r="AN62" s="18" t="str">
        <x:v>Regla jurídica determinista</x:v>
      </x:c>
      <x:c r="AO62" s="18" t="str">
        <x:v>2024_conv2023_ordinario_A-T61</x:v>
      </x:c>
      <x:c r="AP62" s="18" t="n">
        <x:v>1</x:v>
      </x:c>
    </x:row>
    <x:row r="63">
      <x:c r="A63" s="18" t="str">
        <x:v>2024_conv2023_ordinario_A-T62</x:v>
      </x:c>
      <x:c r="B63" s="18" t="n">
        <x:v>2024</x:v>
      </x:c>
      <x:c r="C63" s="18" t="n">
        <x:v>2023</x:v>
      </x:c>
      <x:c r="D63" s="28" t="n">
        <x:v>45626</x:v>
      </x:c>
      <x:c r="E63" s="18" t="str">
        <x:v>Acceso libre</x:v>
      </x:c>
      <x:c r="F63" s="18" t="str">
        <x:v>Primera parte</x:v>
      </x:c>
      <x:c r="G63" s="18" t="str">
        <x:v>A</x:v>
      </x:c>
      <x:c r="H63" s="18" t="str">
        <x:v>A/B</x:v>
      </x:c>
      <x:c r="I63" s="18" t="str">
        <x:v>Sí</x:v>
      </x:c>
      <x:c r="J63" s="18" t="str">
        <x:v>Modelo A usado como variante canónica; el modelo B oficial está archivado y permuta el orden y/o las opciones.</x:v>
      </x:c>
      <x:c r="K63" s="18" t="n">
        <x:v>62</x:v>
      </x:c>
      <x:c r="L63" s="18" t="str">
        <x:v>No</x:v>
      </x:c>
      <x:c r="M63" s="18" t="str">
        <x:v>De acuerdo con eI artículo 224.1 del texto refundido de la Ley General de la Seguridad Social, señale la respuesta INCORRECTA:</x:v>
      </x:c>
      <x:c r="N63" s="18" t="str">
        <x:v>Será beneficiario de la pensión de orfandad eI hijo del fallecido, cualquiera que sea la naturaleza de su filiación, menor de 25 años que no efectúe un trabajo lucrativo por cuenta ajena o propia, o cuando realizándolo, los ingresos que obtenga resuiten inferiores, en cómputo anual, a ta cuantia vigente para eI salario mínimo interprofesional, también en cómputo anua[ y que el causante se encontrase en alta o situación asimilada a la de alta, o fuera pensionista en los términos del artículo 217.1 .c).</x:v>
      </x:c>
      <x:c r="O63" s="18" t="str">
        <x:v>Será beneficiario de la pensión de orfandad eI hijo del fallecido, cualquiera que sea la naturaleza de su filiación, menor de 21 años, y que el causante se encontrase en alta o situación asimilada a la de alta, o fuera pensionista en los términos del artículo 217.11c).</x:v>
      </x:c>
      <x:c r="P63" s="18" t="str">
        <x:v>Será beneficiario de la pensión de orfandad eI hijo del fallecido, cualquiera que sea la naturaleza de su filiación, que esté incapacitado para eI trabajo y que el causante se encontrase en alta o situación asimilada a la de alta, o fuera pensionista en los términos del articulo 217,1 .c).</x:v>
      </x:c>
      <x:c r="Q63" s="18" t="str">
        <x:v>Será beneficiario de la pensión de orfandad el hijo del fallecido, cualquiera que sea la naturaleza de su filiación, que esté incapacitado para eI trabajo, siempre que sea menor de 25 años y que el causante se encontrase en alta o situación asimilada a la de alta, o fuera pensionista en los términos del articulo 217.1 .c).</x:v>
      </x:c>
      <x:c r="R63" s="18" t="str">
        <x:v>S11</x:v>
      </x:c>
      <x:c r="S63" s="18" t="n">
        <x:v>11</x:v>
      </x:c>
      <x:c r="T63" s="18" t="str">
        <x:v>Temario específico Seguridad Social</x:v>
      </x:c>
      <x:c r="U63" s="18" t="str">
        <x:v>La protección por muerte y supervivencia. Hecho causante. Requisitos para las prestaciones de viudedad, orfandad y en favor de familiares. Cuantía de las prestaciones. Compatibilidad. Suspensión y Extinción. Normas específicas en caso de muerte derivada de accidente de trabajo o enfermedad profesional. Efectividad económica de las prestaciones. El auxilio por defunción.</x:v>
      </x:c>
      <x:c r="V63" s="18" t="str">
        <x:v>S11</x:v>
      </x:c>
      <x:c r="W63" s="18" t="str">
        <x:v>texto refundido de la Ley General de la Seguridad Social</x:v>
      </x:c>
      <x:c r="X63" s="18" t="str">
        <x:v>224.1</x:v>
      </x:c>
      <x:c r="Y63" s="18" t="str">
        <x:v>Muerte y supervivencia</x:v>
      </x:c>
      <x:c r="Z63" s="18" t="str">
        <x:v>Alta</x:v>
      </x:c>
      <x:c r="AA63" s="18" t="str">
        <x:v>S11</x:v>
      </x:c>
      <x:c r="AB63" s="18" t="str"/>
      <x:c r="AC63" s="18" t="str"/>
      <x:c r="AD63" s="18" t="str">
        <x:v>Sí</x:v>
      </x:c>
      <x:c r="AE63" s="18" t="str">
        <x:v>Teórico</x:v>
      </x:c>
      <x:c r="AF63" s="18" t="str">
        <x:v>D</x:v>
      </x:c>
      <x:c r="AG63" s="18" t="str">
        <x:v>D</x:v>
      </x:c>
      <x:c r="AH63" s="18" t="str">
        <x:v>Válida</x:v>
      </x:c>
      <x:c r="AI63" s="18" t="str">
        <x:v>01. Información oficial de la oposición\Exámenes oficiales anteriores\2024 Convocatoria 2023 - Cuestionario libre Modelo A.pdf</x:v>
      </x:c>
      <x:c r="AJ63" s="18" t="str">
        <x:v>https://www.seg-social.es/wps/portal/wss/internet/InformacionUtil/9950/88beb45d-ca83-4bab-8162-f94ef2894562</x:v>
      </x:c>
      <x:c r="AK63" s="18" t="str">
        <x:v>OCR Windows es-ES sobre PDF oficial</x:v>
      </x:c>
      <x:c r="AL63" s="18" t="n">
        <x:v>100</x:v>
      </x:c>
      <x:c r="AM63" s="18" t="str">
        <x:v>Alta</x:v>
      </x:c>
      <x:c r="AN63" s="18" t="str">
        <x:v>Regla jurídica determinista</x:v>
      </x:c>
      <x:c r="AO63" s="18" t="str">
        <x:v>2024_conv2023_ordinario_A-T62</x:v>
      </x:c>
      <x:c r="AP63" s="18" t="n">
        <x:v>1</x:v>
      </x:c>
    </x:row>
    <x:row r="64">
      <x:c r="A64" s="18" t="str">
        <x:v>2024_conv2023_ordinario_A-T63</x:v>
      </x:c>
      <x:c r="B64" s="18" t="n">
        <x:v>2024</x:v>
      </x:c>
      <x:c r="C64" s="18" t="n">
        <x:v>2023</x:v>
      </x:c>
      <x:c r="D64" s="28" t="n">
        <x:v>45626</x:v>
      </x:c>
      <x:c r="E64" s="18" t="str">
        <x:v>Acceso libre</x:v>
      </x:c>
      <x:c r="F64" s="18" t="str">
        <x:v>Primera parte</x:v>
      </x:c>
      <x:c r="G64" s="18" t="str">
        <x:v>A</x:v>
      </x:c>
      <x:c r="H64" s="18" t="str">
        <x:v>A/B</x:v>
      </x:c>
      <x:c r="I64" s="18" t="str">
        <x:v>Sí</x:v>
      </x:c>
      <x:c r="J64" s="18" t="str">
        <x:v>Modelo A usado como variante canónica; el modelo B oficial está archivado y permuta el orden y/o las opciones.</x:v>
      </x:c>
      <x:c r="K64" s="18" t="n">
        <x:v>63</x:v>
      </x:c>
      <x:c r="L64" s="18" t="str">
        <x:v>No</x:v>
      </x:c>
      <x:c r="M64" s="18" t="str">
        <x:v>Según la Orden de 13 de febrero de 1967, es requisito para ser considerado beneficiario de la pensión en favor de familiares:</x:v>
      </x:c>
      <x:c r="N64" s="18" t="str">
        <x:v>Que convivan con el causante, aunque no dependan económicamente de él, con seis meses de antelación al fallecimiento de aquel.</x:v>
      </x:c>
      <x:c r="O64" s="18" t="str">
        <x:v>Que convivan con el causante, aunque no dependan económicamente de él, con un año de antelación al fallecimiento de aquel.</x:v>
      </x:c>
      <x:c r="P64" s="18" t="str">
        <x:v>Que convivan con el causante y a sus expensas con un año de antelación al fallecimiento de aquel.</x:v>
      </x:c>
      <x:c r="Q64" s="18" t="str">
        <x:v>Que convivan con el causante y a sus expensas con dos años de antelación al fallecimiento de aquel.</x:v>
      </x:c>
      <x:c r="R64" s="18" t="str">
        <x:v>S11</x:v>
      </x:c>
      <x:c r="S64" s="18" t="n">
        <x:v>11</x:v>
      </x:c>
      <x:c r="T64" s="18" t="str">
        <x:v>Temario específico Seguridad Social</x:v>
      </x:c>
      <x:c r="U64" s="18" t="str">
        <x:v>La protección por muerte y supervivencia. Hecho causante. Requisitos para las prestaciones de viudedad, orfandad y en favor de familiares. Cuantía de las prestaciones. Compatibilidad. Suspensión y Extinción. Normas específicas en caso de muerte derivada de accidente de trabajo o enfermedad profesional. Efectividad económica de las prestaciones. El auxilio por defunción.</x:v>
      </x:c>
      <x:c r="V64" s="18" t="str">
        <x:v>S11</x:v>
      </x:c>
      <x:c r="W64" s="18" t="str"/>
      <x:c r="X64" s="18" t="str"/>
      <x:c r="Y64" s="18" t="str">
        <x:v>Personas beneficiarias</x:v>
      </x:c>
      <x:c r="Z64" s="18" t="str">
        <x:v>Media</x:v>
      </x:c>
      <x:c r="AA64" s="18" t="str">
        <x:v>S11</x:v>
      </x:c>
      <x:c r="AB64" s="18" t="str"/>
      <x:c r="AC64" s="18" t="str"/>
      <x:c r="AD64" s="18" t="str">
        <x:v>No</x:v>
      </x:c>
      <x:c r="AE64" s="18" t="str">
        <x:v>Teórico</x:v>
      </x:c>
      <x:c r="AF64" s="18" t="str">
        <x:v>D</x:v>
      </x:c>
      <x:c r="AG64" s="18" t="str">
        <x:v>D</x:v>
      </x:c>
      <x:c r="AH64" s="18" t="str">
        <x:v>Válida</x:v>
      </x:c>
      <x:c r="AI64" s="18" t="str">
        <x:v>01. Información oficial de la oposición\Exámenes oficiales anteriores\2024 Convocatoria 2023 - Cuestionario libre Modelo A.pdf</x:v>
      </x:c>
      <x:c r="AJ64" s="18" t="str">
        <x:v>https://www.seg-social.es/wps/portal/wss/internet/InformacionUtil/9950/88beb45d-ca83-4bab-8162-f94ef2894562</x:v>
      </x:c>
      <x:c r="AK64" s="18" t="str">
        <x:v>OCR Windows es-ES sobre PDF oficial</x:v>
      </x:c>
      <x:c r="AL64" s="18" t="n">
        <x:v>100</x:v>
      </x:c>
      <x:c r="AM64" s="18" t="str">
        <x:v>Alta</x:v>
      </x:c>
      <x:c r="AN64" s="18" t="str">
        <x:v>Regla jurídica determinista</x:v>
      </x:c>
      <x:c r="AO64" s="18" t="str">
        <x:v>2024_conv2023_ordinario_A-T63</x:v>
      </x:c>
      <x:c r="AP64" s="18" t="n">
        <x:v>1</x:v>
      </x:c>
    </x:row>
    <x:row r="65">
      <x:c r="A65" s="18" t="str">
        <x:v>2024_conv2023_ordinario_A-T64</x:v>
      </x:c>
      <x:c r="B65" s="18" t="n">
        <x:v>2024</x:v>
      </x:c>
      <x:c r="C65" s="18" t="n">
        <x:v>2023</x:v>
      </x:c>
      <x:c r="D65" s="28" t="n">
        <x:v>45626</x:v>
      </x:c>
      <x:c r="E65" s="18" t="str">
        <x:v>Acceso libre</x:v>
      </x:c>
      <x:c r="F65" s="18" t="str">
        <x:v>Primera parte</x:v>
      </x:c>
      <x:c r="G65" s="18" t="str">
        <x:v>A</x:v>
      </x:c>
      <x:c r="H65" s="18" t="str">
        <x:v>A/B</x:v>
      </x:c>
      <x:c r="I65" s="18" t="str">
        <x:v>Sí</x:v>
      </x:c>
      <x:c r="J65" s="18" t="str">
        <x:v>Modelo A usado como variante canónica; el modelo B oficial está archivado y permuta el orden y/o las opciones.</x:v>
      </x:c>
      <x:c r="K65" s="18" t="n">
        <x:v>64</x:v>
      </x:c>
      <x:c r="L65" s="18" t="str">
        <x:v>No</x:v>
      </x:c>
      <x:c r="M65" s="18" t="str">
        <x:v>Según el artículo 232 del texto refundido de la Ley General de la Seguridad Social, en relación con la suspensión cautelar de las prestaciones de muerte y supervivencia:</x:v>
      </x:c>
      <x:c r="N65" s="18" t="str">
        <x:v>La entidad gestora suspenderá cautelarmente el abono de las mismas cuando recaiga resolución judicial de la que se deriven indicios racionales de que el sujeto investigado es responsable de un delito doloso de homicidio en cualquiera de sus formas, si la víctima fuera eI sujeto causante de la prestación, con efectos del día primero del mes siguiente a aquel en que Ie sea comunicada tal circunstancia.</x:v>
      </x:c>
      <x:c r="O65" s="18" t="str">
        <x:v>EI juez suspenderá cautelarmente el abono de [as mismas cuando recaiga resolución judicial de la que se deriven indicios racionales de que el sujeto investigado es responsable de un delito doloso de homicidio en cualquiera de sus formas, si la víctima tuera el sujeto causante de la prestación, con efectos del dia primero del mes siguiente a aquel en que Ie sea comunicada tal circunstancia.</x:v>
      </x:c>
      <x:c r="P65" s="18" t="str">
        <x:v>La entidad gestora suspenderá cautelarmente el abono de las mismas cuando recaiga resolución judicial de la que se deriven indicios racionales de que eI sujeto investigado es responsable de un delito doloso de homicidio en cualquiera de sus formas, si la victima fuera el sujeto causante de la prestación, con efectos del día primero del mes en que le sea comunicada tal circunstancia.</x:v>
      </x:c>
      <x:c r="Q65" s="18" t="str">
        <x:v>EI juez suspenderá cautelarmente eI abono de las mismas cuando recaiga resolución judicial de la que se deriven indicios racionales de que eI sujeto investigado es responsable de un delito doloso de homicidio en cualquiera de sus formas, si la víctima fuera eI sujeto causante de la prestación, con efectos del día primero del mes en que le sea comunicada tal circunstancia.</x:v>
      </x:c>
      <x:c r="R65" s="18" t="str">
        <x:v>S11</x:v>
      </x:c>
      <x:c r="S65" s="18" t="n">
        <x:v>11</x:v>
      </x:c>
      <x:c r="T65" s="18" t="str">
        <x:v>Temario específico Seguridad Social</x:v>
      </x:c>
      <x:c r="U65" s="18" t="str">
        <x:v>La protección por muerte y supervivencia. Hecho causante. Requisitos para las prestaciones de viudedad, orfandad y en favor de familiares. Cuantía de las prestaciones. Compatibilidad. Suspensión y Extinción. Normas específicas en caso de muerte derivada de accidente de trabajo o enfermedad profesional. Efectividad económica de las prestaciones. El auxilio por defunción.</x:v>
      </x:c>
      <x:c r="V65" s="18" t="str">
        <x:v>S11</x:v>
      </x:c>
      <x:c r="W65" s="18" t="str">
        <x:v>texto refundido de la Ley General de la Seguridad Social</x:v>
      </x:c>
      <x:c r="X65" s="18" t="str">
        <x:v>232</x:v>
      </x:c>
      <x:c r="Y65" s="18" t="str">
        <x:v>Causas de suspensión</x:v>
      </x:c>
      <x:c r="Z65" s="18" t="str">
        <x:v>Media</x:v>
      </x:c>
      <x:c r="AA65" s="18" t="str">
        <x:v>S11</x:v>
      </x:c>
      <x:c r="AB65" s="18" t="str"/>
      <x:c r="AC65" s="18" t="str"/>
      <x:c r="AD65" s="18" t="str">
        <x:v>No</x:v>
      </x:c>
      <x:c r="AE65" s="18" t="str">
        <x:v>Teórico</x:v>
      </x:c>
      <x:c r="AF65" s="18" t="str">
        <x:v>A</x:v>
      </x:c>
      <x:c r="AG65" s="18" t="str">
        <x:v>A</x:v>
      </x:c>
      <x:c r="AH65" s="18" t="str">
        <x:v>Válida</x:v>
      </x:c>
      <x:c r="AI65" s="18" t="str">
        <x:v>01. Información oficial de la oposición\Exámenes oficiales anteriores\2024 Convocatoria 2023 - Cuestionario libre Modelo A.pdf</x:v>
      </x:c>
      <x:c r="AJ65" s="18" t="str">
        <x:v>https://www.seg-social.es/wps/portal/wss/internet/InformacionUtil/9950/88beb45d-ca83-4bab-8162-f94ef2894562</x:v>
      </x:c>
      <x:c r="AK65" s="18" t="str">
        <x:v>OCR Windows es-ES sobre PDF oficial</x:v>
      </x:c>
      <x:c r="AL65" s="18" t="n">
        <x:v>100</x:v>
      </x:c>
      <x:c r="AM65" s="18" t="str">
        <x:v>Alta</x:v>
      </x:c>
      <x:c r="AN65" s="18" t="str">
        <x:v>Regla jurídica determinista</x:v>
      </x:c>
      <x:c r="AO65" s="18" t="str">
        <x:v>2024_conv2023_ordinario_A-T64</x:v>
      </x:c>
      <x:c r="AP65" s="18" t="n">
        <x:v>1</x:v>
      </x:c>
    </x:row>
    <x:row r="66">
      <x:c r="A66" s="18" t="str">
        <x:v>2024_conv2023_ordinario_A-T65</x:v>
      </x:c>
      <x:c r="B66" s="18" t="n">
        <x:v>2024</x:v>
      </x:c>
      <x:c r="C66" s="18" t="n">
        <x:v>2023</x:v>
      </x:c>
      <x:c r="D66" s="28" t="n">
        <x:v>45626</x:v>
      </x:c>
      <x:c r="E66" s="18" t="str">
        <x:v>Acceso libre</x:v>
      </x:c>
      <x:c r="F66" s="18" t="str">
        <x:v>Primera parte</x:v>
      </x:c>
      <x:c r="G66" s="18" t="str">
        <x:v>A</x:v>
      </x:c>
      <x:c r="H66" s="18" t="str">
        <x:v>A/B</x:v>
      </x:c>
      <x:c r="I66" s="18" t="str">
        <x:v>Sí</x:v>
      </x:c>
      <x:c r="J66" s="18" t="str">
        <x:v>Modelo A usado como variante canónica; el modelo B oficial está archivado y permuta el orden y/o las opciones.</x:v>
      </x:c>
      <x:c r="K66" s="18" t="n">
        <x:v>65</x:v>
      </x:c>
      <x:c r="L66" s="18" t="str">
        <x:v>No</x:v>
      </x:c>
      <x:c r="M66" s="18" t="str">
        <x:v>De acuerdo con el articulo 3 de la Ley 19/2021, la prestación del Ingreso Mínimo Vital presenta alguna de las siguientes características:</x:v>
      </x:c>
      <x:c r="N66" s="18" t="str">
        <x:v>Es transferible.</x:v>
      </x:c>
      <x:c r="O66" s="18" t="str">
        <x:v>Se articula en su acción protectora dirigiéndose exclusivamente a unidades de convivencia, atendiendo a su estructura y características específicas.</x:v>
      </x:c>
      <x:c r="P66" s="18" t="str">
        <x:v>Se configura como una red de protección dirigida a permitir el tránsito desde una situación de exclusión a una de participación en la sociedad.</x:v>
      </x:c>
      <x:c r="Q66" s="18" t="str">
        <x:v>Es una prestación cuya duración se prolongará mientras persista la situación de vulnerabilidad económica, aunque no se mantengan los requisitos que originaron eI derecho a su percepción.</x:v>
      </x:c>
      <x:c r="R66" s="18" t="str">
        <x:v>S12</x:v>
      </x:c>
      <x:c r="S66" s="18" t="n">
        <x:v>12</x:v>
      </x:c>
      <x:c r="T66" s="18" t="str">
        <x:v>Temario específico Seguridad Social</x:v>
      </x:c>
      <x:c r="U66" s="18" t="str">
        <x:v>Prestaciones no contributivas y asistenciales. El ingreso mínimo vital: beneficiarios, requisitos y duración. Obligaciones de las personas beneficiarias. Cuantía, pago, reintegro de prestaciones indebidas. Prestaciones familiares múltiples. Prestaciones familiares en la modalidad contributiva. Las pensiones no contributivas: Invalidez no contributiva: Jubilación no contributiva.</x:v>
      </x:c>
      <x:c r="V66" s="18" t="str">
        <x:v>ingreso mínimo vital</x:v>
      </x:c>
      <x:c r="W66" s="18" t="str">
        <x:v>Ley 19/2021</x:v>
      </x:c>
      <x:c r="X66" s="18" t="str">
        <x:v>3</x:v>
      </x:c>
      <x:c r="Y66" s="18" t="str">
        <x:v>Prestaciones no contributivas</x:v>
      </x:c>
      <x:c r="Z66" s="18" t="str">
        <x:v>Media</x:v>
      </x:c>
      <x:c r="AA66" s="18" t="str">
        <x:v>ingreso mínimo vital</x:v>
      </x:c>
      <x:c r="AB66" s="18" t="str"/>
      <x:c r="AC66" s="18" t="str"/>
      <x:c r="AD66" s="18" t="str">
        <x:v>No</x:v>
      </x:c>
      <x:c r="AE66" s="18" t="str">
        <x:v>Teórico</x:v>
      </x:c>
      <x:c r="AF66" s="18" t="str">
        <x:v>C</x:v>
      </x:c>
      <x:c r="AG66" s="18" t="str">
        <x:v>C</x:v>
      </x:c>
      <x:c r="AH66" s="18" t="str">
        <x:v>Válida</x:v>
      </x:c>
      <x:c r="AI66" s="18" t="str">
        <x:v>01. Información oficial de la oposición\Exámenes oficiales anteriores\2024 Convocatoria 2023 - Cuestionario libre Modelo A.pdf</x:v>
      </x:c>
      <x:c r="AJ66" s="18" t="str">
        <x:v>https://www.seg-social.es/wps/portal/wss/internet/InformacionUtil/9950/88beb45d-ca83-4bab-8162-f94ef2894562</x:v>
      </x:c>
      <x:c r="AK66" s="18" t="str">
        <x:v>OCR Windows es-ES sobre PDF oficial</x:v>
      </x:c>
      <x:c r="AL66" s="18" t="n">
        <x:v>100</x:v>
      </x:c>
      <x:c r="AM66" s="18" t="str">
        <x:v>Alta</x:v>
      </x:c>
      <x:c r="AN66" s="18" t="str">
        <x:v>Regla jurídica determinista</x:v>
      </x:c>
      <x:c r="AO66" s="18" t="str">
        <x:v>2024_conv2023_ordinario_A-T65</x:v>
      </x:c>
      <x:c r="AP66" s="18" t="n">
        <x:v>1</x:v>
      </x:c>
    </x:row>
    <x:row r="67">
      <x:c r="A67" s="18" t="str">
        <x:v>2024_conv2023_ordinario_A-T66</x:v>
      </x:c>
      <x:c r="B67" s="18" t="n">
        <x:v>2024</x:v>
      </x:c>
      <x:c r="C67" s="18" t="n">
        <x:v>2023</x:v>
      </x:c>
      <x:c r="D67" s="28" t="n">
        <x:v>45626</x:v>
      </x:c>
      <x:c r="E67" s="18" t="str">
        <x:v>Acceso libre</x:v>
      </x:c>
      <x:c r="F67" s="18" t="str">
        <x:v>Primera parte</x:v>
      </x:c>
      <x:c r="G67" s="18" t="str">
        <x:v>A</x:v>
      </x:c>
      <x:c r="H67" s="18" t="str">
        <x:v>A/B</x:v>
      </x:c>
      <x:c r="I67" s="18" t="str">
        <x:v>Sí</x:v>
      </x:c>
      <x:c r="J67" s="18" t="str">
        <x:v>Modelo A usado como variante canónica; el modelo B oficial está archivado y permuta el orden y/o las opciones.</x:v>
      </x:c>
      <x:c r="K67" s="18" t="n">
        <x:v>66</x:v>
      </x:c>
      <x:c r="L67" s="18" t="str">
        <x:v>No</x:v>
      </x:c>
      <x:c r="M67" s="18" t="str">
        <x:v>Según el artículo 6 de la Ley 19/2021, por la que se establece eI Ingreso Minimo Vital, señale la respuesta CORRECTA en relación con la unidad de convivencia:</x:v>
      </x:c>
      <x:c r="N67" s="18" t="str">
        <x:v>Se considerará que rompe la convivencia la separación transitoria por razón de estudios, trabajo, tratamiento médico, rehabilitación u otras causas similares.</x:v>
      </x:c>
      <x:c r="O67" s="18" t="str">
        <x:v>En algunos casos, una misma persona podrá formar parte de dos o más unidades de convivencia.</x:v>
      </x:c>
      <x:c r="P67" s="18" t="str">
        <x:v>EI fallecimiento de alguna de las personas que constituyen la unidad de convivencia alterará la consideración de tal.</x:v>
      </x:c>
      <x:c r="Q67" s="18" t="str">
        <x:v>Es requisito para la consideración de integrante de la unidad de convivencia la residencia efecliva, legal y continuada en España.</x:v>
      </x:c>
      <x:c r="R67" s="18" t="str">
        <x:v>S12</x:v>
      </x:c>
      <x:c r="S67" s="18" t="n">
        <x:v>12</x:v>
      </x:c>
      <x:c r="T67" s="18" t="str">
        <x:v>Temario específico Seguridad Social</x:v>
      </x:c>
      <x:c r="U67" s="18" t="str">
        <x:v>Prestaciones no contributivas y asistenciales. El ingreso mínimo vital: beneficiarios, requisitos y duración. Obligaciones de las personas beneficiarias. Cuantía, pago, reintegro de prestaciones indebidas. Prestaciones familiares múltiples. Prestaciones familiares en la modalidad contributiva. Las pensiones no contributivas: Invalidez no contributiva: Jubilación no contributiva.</x:v>
      </x:c>
      <x:c r="V67" s="18" t="str">
        <x:v>ingreso mínimo vital</x:v>
      </x:c>
      <x:c r="W67" s="18" t="str">
        <x:v>Ley 19/2021</x:v>
      </x:c>
      <x:c r="X67" s="18" t="str">
        <x:v>6</x:v>
      </x:c>
      <x:c r="Y67" s="18" t="str">
        <x:v>Prestaciones no contributivas</x:v>
      </x:c>
      <x:c r="Z67" s="18" t="str">
        <x:v>Media</x:v>
      </x:c>
      <x:c r="AA67" s="18" t="str">
        <x:v>ingreso mínimo vital</x:v>
      </x:c>
      <x:c r="AB67" s="18" t="str"/>
      <x:c r="AC67" s="18" t="str"/>
      <x:c r="AD67" s="18" t="str">
        <x:v>No</x:v>
      </x:c>
      <x:c r="AE67" s="18" t="str">
        <x:v>Teórico</x:v>
      </x:c>
      <x:c r="AF67" s="18" t="str">
        <x:v>D</x:v>
      </x:c>
      <x:c r="AG67" s="18" t="str">
        <x:v>D</x:v>
      </x:c>
      <x:c r="AH67" s="18" t="str">
        <x:v>Válida</x:v>
      </x:c>
      <x:c r="AI67" s="18" t="str">
        <x:v>01. Información oficial de la oposición\Exámenes oficiales anteriores\2024 Convocatoria 2023 - Cuestionario libre Modelo A.pdf</x:v>
      </x:c>
      <x:c r="AJ67" s="18" t="str">
        <x:v>https://www.seg-social.es/wps/portal/wss/internet/InformacionUtil/9950/88beb45d-ca83-4bab-8162-f94ef2894562</x:v>
      </x:c>
      <x:c r="AK67" s="18" t="str">
        <x:v>OCR Windows es-ES sobre PDF oficial</x:v>
      </x:c>
      <x:c r="AL67" s="18" t="n">
        <x:v>100</x:v>
      </x:c>
      <x:c r="AM67" s="18" t="str">
        <x:v>Alta</x:v>
      </x:c>
      <x:c r="AN67" s="18" t="str">
        <x:v>Regla jurídica determinista</x:v>
      </x:c>
      <x:c r="AO67" s="18" t="str">
        <x:v>2024_conv2023_ordinario_A-T66</x:v>
      </x:c>
      <x:c r="AP67" s="18" t="n">
        <x:v>1</x:v>
      </x:c>
    </x:row>
    <x:row r="68">
      <x:c r="A68" s="18" t="str">
        <x:v>2024_conv2023_ordinario_A-T67</x:v>
      </x:c>
      <x:c r="B68" s="18" t="n">
        <x:v>2024</x:v>
      </x:c>
      <x:c r="C68" s="18" t="n">
        <x:v>2023</x:v>
      </x:c>
      <x:c r="D68" s="28" t="n">
        <x:v>45626</x:v>
      </x:c>
      <x:c r="E68" s="18" t="str">
        <x:v>Acceso libre</x:v>
      </x:c>
      <x:c r="F68" s="18" t="str">
        <x:v>Primera parte</x:v>
      </x:c>
      <x:c r="G68" s="18" t="str">
        <x:v>A</x:v>
      </x:c>
      <x:c r="H68" s="18" t="str">
        <x:v>A/B</x:v>
      </x:c>
      <x:c r="I68" s="18" t="str">
        <x:v>Sí</x:v>
      </x:c>
      <x:c r="J68" s="18" t="str">
        <x:v>Modelo A usado como variante canónica; el modelo B oficial está archivado y permuta el orden y/o las opciones.</x:v>
      </x:c>
      <x:c r="K68" s="18" t="n">
        <x:v>67</x:v>
      </x:c>
      <x:c r="L68" s="18" t="str">
        <x:v>No</x:v>
      </x:c>
      <x:c r="M68" s="18" t="str">
        <x:v>Según el articulo 363 del texto refundido de la Ley General de la Seguridad Social, se consideran beneficiarios de la pensión de invalidez no contributiva las personas que cumplan alguno de los siguientes requisitos:</x:v>
      </x:c>
      <x:c r="N68" s="18" t="str">
        <x:v>Estar afectado por una discapacidad o por una enfermedad crónica, en un grado igual o superior al 33%.</x:v>
      </x:c>
      <x:c r="O68" s="18" t="str">
        <x:v>Residir legalmente en territorio español y haberlo hecho durante 3 años, de los cuales 2 años deben ser inmediatamente anteriores a la fecha de solicitud de la pensión,</x:v>
      </x:c>
      <x:c r="P68" s="18" t="str">
        <x:v>Ser mayor de 18 años y menor de 65 años de edad.</x:v>
      </x:c>
      <x:c r="Q68" s="18" t="str">
        <x:v>Todas son correctas,</x:v>
      </x:c>
      <x:c r="R68" s="18" t="str">
        <x:v>S12</x:v>
      </x:c>
      <x:c r="S68" s="18" t="n">
        <x:v>12</x:v>
      </x:c>
      <x:c r="T68" s="18" t="str">
        <x:v>Temario específico Seguridad Social</x:v>
      </x:c>
      <x:c r="U68" s="18" t="str">
        <x:v>Prestaciones no contributivas y asistenciales. El ingreso mínimo vital: beneficiarios, requisitos y duración. Obligaciones de las personas beneficiarias. Cuantía, pago, reintegro de prestaciones indebidas. Prestaciones familiares múltiples. Prestaciones familiares en la modalidad contributiva. Las pensiones no contributivas: Invalidez no contributiva: Jubilación no contributiva.</x:v>
      </x:c>
      <x:c r="V68" s="18" t="str">
        <x:v>S12</x:v>
      </x:c>
      <x:c r="W68" s="18" t="str">
        <x:v>texto refundido de la Ley General de la Seguridad Social</x:v>
      </x:c>
      <x:c r="X68" s="18" t="str">
        <x:v>363</x:v>
      </x:c>
      <x:c r="Y68" s="18" t="str">
        <x:v>Personas beneficiarias</x:v>
      </x:c>
      <x:c r="Z68" s="18" t="str">
        <x:v>Media</x:v>
      </x:c>
      <x:c r="AA68" s="18" t="str">
        <x:v>S12</x:v>
      </x:c>
      <x:c r="AB68" s="18" t="str"/>
      <x:c r="AC68" s="18" t="str"/>
      <x:c r="AD68" s="18" t="str">
        <x:v>No</x:v>
      </x:c>
      <x:c r="AE68" s="18" t="str">
        <x:v>Teórico</x:v>
      </x:c>
      <x:c r="AF68" s="18" t="str">
        <x:v>C</x:v>
      </x:c>
      <x:c r="AG68" s="18" t="str">
        <x:v>C</x:v>
      </x:c>
      <x:c r="AH68" s="18" t="str">
        <x:v>Válida</x:v>
      </x:c>
      <x:c r="AI68" s="18" t="str">
        <x:v>01. Información oficial de la oposición\Exámenes oficiales anteriores\2024 Convocatoria 2023 - Cuestionario libre Modelo A.pdf</x:v>
      </x:c>
      <x:c r="AJ68" s="18" t="str">
        <x:v>https://www.seg-social.es/wps/portal/wss/internet/InformacionUtil/9950/88beb45d-ca83-4bab-8162-f94ef2894562</x:v>
      </x:c>
      <x:c r="AK68" s="18" t="str">
        <x:v>OCR Windows es-ES sobre PDF oficial</x:v>
      </x:c>
      <x:c r="AL68" s="18" t="n">
        <x:v>100</x:v>
      </x:c>
      <x:c r="AM68" s="18" t="str">
        <x:v>Alta</x:v>
      </x:c>
      <x:c r="AN68" s="18" t="str">
        <x:v>Regla jurídica determinista</x:v>
      </x:c>
      <x:c r="AO68" s="18" t="str">
        <x:v>2024_conv2023_ordinario_A-T67</x:v>
      </x:c>
      <x:c r="AP68" s="18" t="n">
        <x:v>1</x:v>
      </x:c>
    </x:row>
    <x:row r="69">
      <x:c r="A69" s="18" t="str">
        <x:v>2024_conv2023_ordinario_A-T68</x:v>
      </x:c>
      <x:c r="B69" s="18" t="n">
        <x:v>2024</x:v>
      </x:c>
      <x:c r="C69" s="18" t="n">
        <x:v>2023</x:v>
      </x:c>
      <x:c r="D69" s="28" t="n">
        <x:v>45626</x:v>
      </x:c>
      <x:c r="E69" s="18" t="str">
        <x:v>Acceso libre</x:v>
      </x:c>
      <x:c r="F69" s="18" t="str">
        <x:v>Primera parte</x:v>
      </x:c>
      <x:c r="G69" s="18" t="str">
        <x:v>A</x:v>
      </x:c>
      <x:c r="H69" s="18" t="str">
        <x:v>A/B</x:v>
      </x:c>
      <x:c r="I69" s="18" t="str">
        <x:v>Sí</x:v>
      </x:c>
      <x:c r="J69" s="18" t="str">
        <x:v>Modelo A usado como variante canónica; el modelo B oficial está archivado y permuta el orden y/o las opciones.</x:v>
      </x:c>
      <x:c r="K69" s="18" t="n">
        <x:v>68</x:v>
      </x:c>
      <x:c r="L69" s="18" t="str">
        <x:v>No</x:v>
      </x:c>
      <x:c r="M69" s="18" t="str">
        <x:v>De acuerdo con el artículo 366 del texto refundido de la Ley General de la Seguridad Social, las pensiones de invalidez en su modalidad no contributiva son compatibles:</x:v>
      </x:c>
      <x:c r="N69" s="18" t="str">
        <x:v>Únicamente con el ejercicio de aquellas actividades no lucrativas, compatibles con eI estada del inválido y que no representen un cambio en la capacidad de trabajo.</x:v>
      </x:c>
      <x:c r="O69" s="18" t="str">
        <x:v>Con eI ejercicio de aquellas actividades, sean o no lucrativas, compatibles con el estado del inválido y que no representen un cambio en la capacidad de trabajo.</x:v>
      </x:c>
      <x:c r="P69" s="18" t="str">
        <x:v>Únicamente con eI ejercicio de aquellas actividades lucrativas, compatibles con el estado del inválido y que no representen un cambio en la capacidad de trabajo.</x:v>
      </x:c>
      <x:c r="Q69" s="18" t="str">
        <x:v>Con el ejercicio de aquellas actividades, sean o no lucrativas, compatibles con eI estado del inválido y que representen un cambio en la capacidad de trabajo,</x:v>
      </x:c>
      <x:c r="R69" s="18" t="str">
        <x:v>S12</x:v>
      </x:c>
      <x:c r="S69" s="18" t="n">
        <x:v>12</x:v>
      </x:c>
      <x:c r="T69" s="18" t="str">
        <x:v>Temario específico Seguridad Social</x:v>
      </x:c>
      <x:c r="U69" s="18" t="str">
        <x:v>Prestaciones no contributivas y asistenciales. El ingreso mínimo vital: beneficiarios, requisitos y duración. Obligaciones de las personas beneficiarias. Cuantía, pago, reintegro de prestaciones indebidas. Prestaciones familiares múltiples. Prestaciones familiares en la modalidad contributiva. Las pensiones no contributivas: Invalidez no contributiva: Jubilación no contributiva.</x:v>
      </x:c>
      <x:c r="V69" s="18" t="str">
        <x:v>S12</x:v>
      </x:c>
      <x:c r="W69" s="18" t="str">
        <x:v>texto refundido de la Ley General de la Seguridad Social</x:v>
      </x:c>
      <x:c r="X69" s="18" t="str">
        <x:v>366</x:v>
      </x:c>
      <x:c r="Y69" s="18" t="str">
        <x:v>Prestaciones no contributivas</x:v>
      </x:c>
      <x:c r="Z69" s="18" t="str">
        <x:v>Media</x:v>
      </x:c>
      <x:c r="AA69" s="18" t="str">
        <x:v>S12</x:v>
      </x:c>
      <x:c r="AB69" s="18" t="str"/>
      <x:c r="AC69" s="18" t="str"/>
      <x:c r="AD69" s="18" t="str">
        <x:v>No</x:v>
      </x:c>
      <x:c r="AE69" s="18" t="str">
        <x:v>Teórico</x:v>
      </x:c>
      <x:c r="AF69" s="18" t="str">
        <x:v>B</x:v>
      </x:c>
      <x:c r="AG69" s="18" t="str">
        <x:v>B</x:v>
      </x:c>
      <x:c r="AH69" s="18" t="str">
        <x:v>Válida</x:v>
      </x:c>
      <x:c r="AI69" s="18" t="str">
        <x:v>01. Información oficial de la oposición\Exámenes oficiales anteriores\2024 Convocatoria 2023 - Cuestionario libre Modelo A.pdf</x:v>
      </x:c>
      <x:c r="AJ69" s="18" t="str">
        <x:v>https://www.seg-social.es/wps/portal/wss/internet/InformacionUtil/9950/88beb45d-ca83-4bab-8162-f94ef2894562</x:v>
      </x:c>
      <x:c r="AK69" s="18" t="str">
        <x:v>OCR Windows es-ES sobre PDF oficial</x:v>
      </x:c>
      <x:c r="AL69" s="18" t="n">
        <x:v>100</x:v>
      </x:c>
      <x:c r="AM69" s="18" t="str">
        <x:v>Alta</x:v>
      </x:c>
      <x:c r="AN69" s="18" t="str">
        <x:v>Regla jurídica determinista</x:v>
      </x:c>
      <x:c r="AO69" s="18" t="str">
        <x:v>2024_conv2023_ordinario_A-T68</x:v>
      </x:c>
      <x:c r="AP69" s="18" t="n">
        <x:v>1</x:v>
      </x:c>
    </x:row>
    <x:row r="70">
      <x:c r="A70" s="18" t="str">
        <x:v>2024_conv2023_ordinario_A-T69</x:v>
      </x:c>
      <x:c r="B70" s="18" t="n">
        <x:v>2024</x:v>
      </x:c>
      <x:c r="C70" s="18" t="n">
        <x:v>2023</x:v>
      </x:c>
      <x:c r="D70" s="28" t="n">
        <x:v>45626</x:v>
      </x:c>
      <x:c r="E70" s="18" t="str">
        <x:v>Acceso libre</x:v>
      </x:c>
      <x:c r="F70" s="18" t="str">
        <x:v>Primera parte</x:v>
      </x:c>
      <x:c r="G70" s="18" t="str">
        <x:v>A</x:v>
      </x:c>
      <x:c r="H70" s="18" t="str">
        <x:v>A/B</x:v>
      </x:c>
      <x:c r="I70" s="18" t="str">
        <x:v>Sí</x:v>
      </x:c>
      <x:c r="J70" s="18" t="str">
        <x:v>Modelo A usado como variante canónica; el modelo B oficial está archivado y permuta el orden y/o las opciones.</x:v>
      </x:c>
      <x:c r="K70" s="18" t="n">
        <x:v>69</x:v>
      </x:c>
      <x:c r="L70" s="18" t="str">
        <x:v>No</x:v>
      </x:c>
      <x:c r="M70" s="18" t="str">
        <x:v>De acuerdo con eI artículo 373 del texto refundido de la Ley General de la Seguridad Social, la gestión de las pensiones no contributivas de invalidez y jubilación le corresponde:</x:v>
      </x:c>
      <x:c r="N70" s="18" t="str">
        <x:v>Instituto Nacional de la Seguridad Social (INSS).</x:v>
      </x:c>
      <x:c r="O70" s="18" t="str">
        <x:v>Instituto de Mayores y Servicios Sociales (IMSERSO).</x:v>
      </x:c>
      <x:c r="P70" s="18" t="str">
        <x:v>Tesorería General de la Seguridad Social (TGSS).</x:v>
      </x:c>
      <x:c r="Q70" s="18" t="str">
        <x:v>Instituto Social de la Marina (ISM),</x:v>
      </x:c>
      <x:c r="R70" s="18" t="str">
        <x:v>S12</x:v>
      </x:c>
      <x:c r="S70" s="18" t="n">
        <x:v>12</x:v>
      </x:c>
      <x:c r="T70" s="18" t="str">
        <x:v>Temario específico Seguridad Social</x:v>
      </x:c>
      <x:c r="U70" s="18" t="str">
        <x:v>Prestaciones no contributivas y asistenciales. El ingreso mínimo vital: beneficiarios, requisitos y duración. Obligaciones de las personas beneficiarias. Cuantía, pago, reintegro de prestaciones indebidas. Prestaciones familiares múltiples. Prestaciones familiares en la modalidad contributiva. Las pensiones no contributivas: Invalidez no contributiva: Jubilación no contributiva.</x:v>
      </x:c>
      <x:c r="V70" s="18" t="str">
        <x:v>jubilación</x:v>
      </x:c>
      <x:c r="W70" s="18" t="str">
        <x:v>texto refundido de la Ley General de la Seguridad Social</x:v>
      </x:c>
      <x:c r="X70" s="18" t="str">
        <x:v>373</x:v>
      </x:c>
      <x:c r="Y70" s="18" t="str">
        <x:v>Prestaciones no contributivas</x:v>
      </x:c>
      <x:c r="Z70" s="18" t="str">
        <x:v>Media</x:v>
      </x:c>
      <x:c r="AA70" s="18" t="str">
        <x:v>jubilación</x:v>
      </x:c>
      <x:c r="AB70" s="18" t="str"/>
      <x:c r="AC70" s="18" t="str"/>
      <x:c r="AD70" s="18" t="str">
        <x:v>No</x:v>
      </x:c>
      <x:c r="AE70" s="18" t="str">
        <x:v>Teórico</x:v>
      </x:c>
      <x:c r="AF70" s="18" t="str">
        <x:v>B</x:v>
      </x:c>
      <x:c r="AG70" s="18" t="str">
        <x:v>B</x:v>
      </x:c>
      <x:c r="AH70" s="18" t="str">
        <x:v>Válida</x:v>
      </x:c>
      <x:c r="AI70" s="18" t="str">
        <x:v>01. Información oficial de la oposición\Exámenes oficiales anteriores\2024 Convocatoria 2023 - Cuestionario libre Modelo A.pdf</x:v>
      </x:c>
      <x:c r="AJ70" s="18" t="str">
        <x:v>https://www.seg-social.es/wps/portal/wss/internet/InformacionUtil/9950/88beb45d-ca83-4bab-8162-f94ef2894562</x:v>
      </x:c>
      <x:c r="AK70" s="18" t="str">
        <x:v>OCR Windows es-ES sobre PDF oficial</x:v>
      </x:c>
      <x:c r="AL70" s="18" t="n">
        <x:v>100</x:v>
      </x:c>
      <x:c r="AM70" s="18" t="str">
        <x:v>Alta</x:v>
      </x:c>
      <x:c r="AN70" s="18" t="str">
        <x:v>Revisión jurídica individual</x:v>
      </x:c>
      <x:c r="AO70" s="18" t="str">
        <x:v>2024_conv2023_ordinario_A-T69</x:v>
      </x:c>
      <x:c r="AP70" s="18" t="n">
        <x:v>1</x:v>
      </x:c>
    </x:row>
    <x:row r="71">
      <x:c r="A71" s="18" t="str">
        <x:v>2024_conv2023_ordinario_A-T70</x:v>
      </x:c>
      <x:c r="B71" s="18" t="n">
        <x:v>2024</x:v>
      </x:c>
      <x:c r="C71" s="18" t="n">
        <x:v>2023</x:v>
      </x:c>
      <x:c r="D71" s="28" t="n">
        <x:v>45626</x:v>
      </x:c>
      <x:c r="E71" s="18" t="str">
        <x:v>Acceso libre</x:v>
      </x:c>
      <x:c r="F71" s="18" t="str">
        <x:v>Primera parte</x:v>
      </x:c>
      <x:c r="G71" s="18" t="str">
        <x:v>A</x:v>
      </x:c>
      <x:c r="H71" s="18" t="str">
        <x:v>A/B</x:v>
      </x:c>
      <x:c r="I71" s="18" t="str">
        <x:v>Sí</x:v>
      </x:c>
      <x:c r="J71" s="18" t="str">
        <x:v>Modelo A usado como variante canónica; el modelo B oficial está archivado y permuta el orden y/o las opciones.</x:v>
      </x:c>
      <x:c r="K71" s="18" t="n">
        <x:v>70</x:v>
      </x:c>
      <x:c r="L71" s="18" t="str">
        <x:v>No</x:v>
      </x:c>
      <x:c r="M71" s="18" t="str">
        <x:v>Según el artículo 117 del texto refundido de la Ley General de la Seguridad Social, en la Tesorería General de la Seguridad Social se constituirá un Fondo de Reserva de la Seguridad Social con la finalidad de:</x:v>
      </x:c>
      <x:c r="N71" s="18" t="str">
        <x:v>Atender las obligaciones económicas originadas en las entidades y Servicios Comunes de la Seguridad Social,</x:v>
      </x:c>
      <x:c r="O71" s="18" t="str">
        <x:v>Atender las necesidades financieras en materia de prestaciones contributivas del sistema de la Seguridad Social en la forma y condiciones previstos en esta ley.</x:v>
      </x:c>
      <x:c r="P71" s="18" t="str">
        <x:v>EI Fondo de Reserva de la Seguridad Social no se constituye en la Tesorería General de la Seguridad Social.</x:v>
      </x:c>
      <x:c r="Q71" s="18" t="str">
        <x:v>Atender las necesidades financieras en materia de prestaciones no contributivas del sistema de la Seguridad Social en la forma y condiciones previstos en esta ley.</x:v>
      </x:c>
      <x:c r="R71" s="18" t="str">
        <x:v>S13</x:v>
      </x:c>
      <x:c r="S71" s="18" t="n">
        <x:v>13</x:v>
      </x:c>
      <x:c r="T71" s="18" t="str">
        <x:v>Temario específico Seguridad Social</x:v>
      </x:c>
      <x:c r="U71" s="18" t="str">
        <x:v>Recursos generales del sistema de la Seguridad Social. El patrimonio único de la seguridad social: titularidad, adscripción, administración y custodia. Los negocios jurídicos patrimoniales: adquisición, enajenación, arrendamiento y cesión. El Fondo de Reserva de la Seguridad Social: constitución, dotación y disposición. Gestión de los recursos financieros: atribución de funciones. Pago de prestaciones de la Seguridad Social.</x:v>
      </x:c>
      <x:c r="V71" s="18" t="str">
        <x:v>Fondo de Reserva</x:v>
      </x:c>
      <x:c r="W71" s="18" t="str">
        <x:v>texto refundido de la Ley General de la Seguridad Social</x:v>
      </x:c>
      <x:c r="X71" s="18" t="str">
        <x:v>117</x:v>
      </x:c>
      <x:c r="Y71" s="18" t="str">
        <x:v>Artículos literales</x:v>
      </x:c>
      <x:c r="Z71" s="18" t="str">
        <x:v>Media</x:v>
      </x:c>
      <x:c r="AA71" s="18" t="str">
        <x:v>Fondo de Reserva</x:v>
      </x:c>
      <x:c r="AB71" s="18" t="str">
        <x:v>Tesorería General de la Seguridad Social</x:v>
      </x:c>
      <x:c r="AC71" s="18" t="str"/>
      <x:c r="AD71" s="18" t="str">
        <x:v>No</x:v>
      </x:c>
      <x:c r="AE71" s="18" t="str">
        <x:v>Teórico</x:v>
      </x:c>
      <x:c r="AF71" s="18" t="str">
        <x:v>B</x:v>
      </x:c>
      <x:c r="AG71" s="18" t="str">
        <x:v>B</x:v>
      </x:c>
      <x:c r="AH71" s="18" t="str">
        <x:v>Válida</x:v>
      </x:c>
      <x:c r="AI71" s="18" t="str">
        <x:v>01. Información oficial de la oposición\Exámenes oficiales anteriores\2024 Convocatoria 2023 - Cuestionario libre Modelo A.pdf</x:v>
      </x:c>
      <x:c r="AJ71" s="18" t="str">
        <x:v>https://www.seg-social.es/wps/portal/wss/internet/InformacionUtil/9950/88beb45d-ca83-4bab-8162-f94ef2894562</x:v>
      </x:c>
      <x:c r="AK71" s="18" t="str">
        <x:v>OCR Windows es-ES sobre PDF oficial</x:v>
      </x:c>
      <x:c r="AL71" s="18" t="n">
        <x:v>100</x:v>
      </x:c>
      <x:c r="AM71" s="18" t="str">
        <x:v>Alta</x:v>
      </x:c>
      <x:c r="AN71" s="18" t="str">
        <x:v>Regla jurídica determinista</x:v>
      </x:c>
      <x:c r="AO71" s="18" t="str">
        <x:v>2024_conv2023_ordinario_A-T70</x:v>
      </x:c>
      <x:c r="AP71" s="18" t="n">
        <x:v>1</x:v>
      </x:c>
    </x:row>
    <x:row r="72">
      <x:c r="A72" s="18" t="str">
        <x:v>2024_conv2023_ordinario_A-T71</x:v>
      </x:c>
      <x:c r="B72" s="18" t="n">
        <x:v>2024</x:v>
      </x:c>
      <x:c r="C72" s="18" t="n">
        <x:v>2023</x:v>
      </x:c>
      <x:c r="D72" s="28" t="n">
        <x:v>45626</x:v>
      </x:c>
      <x:c r="E72" s="18" t="str">
        <x:v>Acceso libre</x:v>
      </x:c>
      <x:c r="F72" s="18" t="str">
        <x:v>Primera parte</x:v>
      </x:c>
      <x:c r="G72" s="18" t="str">
        <x:v>A</x:v>
      </x:c>
      <x:c r="H72" s="18" t="str">
        <x:v>A/B</x:v>
      </x:c>
      <x:c r="I72" s="18" t="str">
        <x:v>Sí</x:v>
      </x:c>
      <x:c r="J72" s="18" t="str">
        <x:v>Modelo A usado como variante canónica; el modelo B oficial está archivado y permuta el orden y/o las opciones.</x:v>
      </x:c>
      <x:c r="K72" s="18" t="n">
        <x:v>71</x:v>
      </x:c>
      <x:c r="L72" s="18" t="str">
        <x:v>Sí</x:v>
      </x:c>
      <x:c r="M72" s="18" t="str">
        <x:v>Según el artículo 59 de la Ley Orgánica 2/1979, de 3 de octubre, eI Tribunal Constitucional entenderá de -los conflictos que se susciten sobre las competencias o atribuciones asignadas directamente por la Constitución, los Estatutos de Autonomía o las leyes orgánicas u ordinarias dictadas para delimitar los INCORRECTA: ámbitos propios del Estado y las Comunidades Autónomas y que opongan: Señale la respuesta</x:v>
      </x:c>
      <x:c r="N72" s="18" t="str">
        <x:v>A dos o más Comunidades Autónomas entre sí.</x:v>
      </x:c>
      <x:c r="O72" s="18" t="str">
        <x:v>Los conflictos en defensa de la autonomía local que planteen los municipios y provincias frente al Estado o a una Comunidad Autónoma.</x:v>
      </x:c>
      <x:c r="P72" s="18" t="str">
        <x:v>AI Estado con una o más Comunidades Autónomas.</x:v>
      </x:c>
      <x:c r="Q72" s="18" t="str">
        <x:v>Al Gobierno con el Congreso de los Diputados, el Senado o eI Tribunal Supremo; o a cualquiera de estos órganos constitucionales entre sí.</x:v>
      </x:c>
      <x:c r="R72" s="18" t="str">
        <x:v>G03</x:v>
      </x:c>
      <x:c r="S72" s="18" t="n">
        <x:v>3</x:v>
      </x:c>
      <x:c r="T72" s="18" t="str">
        <x:v>Temario general</x:v>
      </x:c>
      <x:c r="U72" s="18" t="str">
        <x:v>El Tribunal Constitucional. Organización, composición y atribuciones.</x:v>
      </x:c>
      <x:c r="V72" s="18" t="str">
        <x:v>G03</x:v>
      </x:c>
      <x:c r="W72" s="18" t="str">
        <x:v>Ley Orgánica 2/1979</x:v>
      </x:c>
      <x:c r="X72" s="18" t="str">
        <x:v>59</x:v>
      </x:c>
      <x:c r="Y72" s="18" t="str">
        <x:v>Competencias</x:v>
      </x:c>
      <x:c r="Z72" s="18" t="str">
        <x:v>Alta</x:v>
      </x:c>
      <x:c r="AA72" s="18" t="str">
        <x:v>G03</x:v>
      </x:c>
      <x:c r="AB72" s="18" t="str">
        <x:v>Tribunal Constitucional</x:v>
      </x:c>
      <x:c r="AC72" s="18" t="str"/>
      <x:c r="AD72" s="18" t="str">
        <x:v>Sí</x:v>
      </x:c>
      <x:c r="AE72" s="18" t="str">
        <x:v>Teórico</x:v>
      </x:c>
      <x:c r="AF72" s="18" t="str">
        <x:v>D</x:v>
      </x:c>
      <x:c r="AG72" s="18" t="str">
        <x:v>D</x:v>
      </x:c>
      <x:c r="AH72" s="18" t="str">
        <x:v>Válida</x:v>
      </x:c>
      <x:c r="AI72" s="18" t="str">
        <x:v>01. Información oficial de la oposición\Exámenes oficiales anteriores\2024 Convocatoria 2023 - Cuestionario libre Modelo A.pdf</x:v>
      </x:c>
      <x:c r="AJ72" s="18" t="str">
        <x:v>https://www.seg-social.es/wps/portal/wss/internet/InformacionUtil/9950/88beb45d-ca83-4bab-8162-f94ef2894562</x:v>
      </x:c>
      <x:c r="AK72" s="18" t="str">
        <x:v>OCR Windows es-ES sobre PDF oficial</x:v>
      </x:c>
      <x:c r="AL72" s="18" t="n">
        <x:v>100</x:v>
      </x:c>
      <x:c r="AM72" s="18" t="str">
        <x:v>Alta</x:v>
      </x:c>
      <x:c r="AN72" s="18" t="str">
        <x:v>Regla jurídica determinista</x:v>
      </x:c>
      <x:c r="AO72" s="18" t="str">
        <x:v>2024_conv2023_ordinario_A-T71</x:v>
      </x:c>
      <x:c r="AP72" s="18" t="n">
        <x:v>1</x:v>
      </x:c>
    </x:row>
    <x:row r="73">
      <x:c r="A73" s="18" t="str">
        <x:v>2024_conv2023_ordinario_A-T72</x:v>
      </x:c>
      <x:c r="B73" s="18" t="n">
        <x:v>2024</x:v>
      </x:c>
      <x:c r="C73" s="18" t="n">
        <x:v>2023</x:v>
      </x:c>
      <x:c r="D73" s="28" t="n">
        <x:v>45626</x:v>
      </x:c>
      <x:c r="E73" s="18" t="str">
        <x:v>Acceso libre</x:v>
      </x:c>
      <x:c r="F73" s="18" t="str">
        <x:v>Primera parte</x:v>
      </x:c>
      <x:c r="G73" s="18" t="str">
        <x:v>A</x:v>
      </x:c>
      <x:c r="H73" s="18" t="str">
        <x:v>A/B</x:v>
      </x:c>
      <x:c r="I73" s="18" t="str">
        <x:v>Sí</x:v>
      </x:c>
      <x:c r="J73" s="18" t="str">
        <x:v>Modelo A usado como variante canónica; el modelo B oficial está archivado y permuta el orden y/o las opciones.</x:v>
      </x:c>
      <x:c r="K73" s="18" t="n">
        <x:v>72</x:v>
      </x:c>
      <x:c r="L73" s="18" t="str">
        <x:v>Sí</x:v>
      </x:c>
      <x:c r="M73" s="18" t="str">
        <x:v>EI artículo 10 de la Orden TAS/2865/2003, de 13 de octubre enumera las causas de extinción del convenio especial, señale la respuesta INCORRECTA:</x:v>
      </x:c>
      <x:c r="N73" s="18" t="str">
        <x:v>Por fallecimiento del interesado.</x:v>
      </x:c>
      <x:c r="O73" s="18" t="str">
        <x:v>Por adquirir eI interesado la condición de pensionista por jubilación o incapacidad permanente en cualquiera de los Regímenes del sistema de la Seguridad Social.</x:v>
      </x:c>
      <x:c r="P73" s="18" t="str">
        <x:v>Por decisión del interesado, comunicada por escrito o por medios técnicos a la Dirección Provincial de la Tesorería General de la seguridad Social o Administración correspondiente de la misma.</x:v>
      </x:c>
      <x:c r="Q73" s="18" t="str">
        <x:v>Por desplazamiento del suscriptor al extranjero, aunque este desplazamiento supere los 90 días o, en su caso, la prórroga que pueda concederse, tanto si el trabajador o asimilado queda incluido como si queda excluido del campo de aplicación de la seguridad Social en eI país al que se desplace eI suscriptor del convenio.</x:v>
      </x:c>
      <x:c r="R73" s="18" t="str">
        <x:v>S03</x:v>
      </x:c>
      <x:c r="S73" s="18" t="n">
        <x:v>3</x:v>
      </x:c>
      <x:c r="T73" s="18" t="str">
        <x:v>Temario específico Seguridad Social</x:v>
      </x:c>
      <x:c r="U73" s="18" t="str">
        <x:v>Normas sobre afiliación. Altas y bajas en el régimen general. Procedimiento y efectos. El convenio especial y otras situaciones asimiladas a la del alta. Encuadramiento e inscripción.</x:v>
      </x:c>
      <x:c r="V73" s="18" t="str">
        <x:v>S03</x:v>
      </x:c>
      <x:c r="W73" s="18" t="str"/>
      <x:c r="X73" s="18" t="str">
        <x:v>10</x:v>
      </x:c>
      <x:c r="Y73" s="18" t="str">
        <x:v>Causas de extinción</x:v>
      </x:c>
      <x:c r="Z73" s="18" t="str">
        <x:v>Alta</x:v>
      </x:c>
      <x:c r="AA73" s="18" t="str">
        <x:v>S03</x:v>
      </x:c>
      <x:c r="AB73" s="18" t="str"/>
      <x:c r="AC73" s="18" t="str"/>
      <x:c r="AD73" s="18" t="str">
        <x:v>Sí</x:v>
      </x:c>
      <x:c r="AE73" s="18" t="str">
        <x:v>Teórico</x:v>
      </x:c>
      <x:c r="AF73" s="18" t="str">
        <x:v>D</x:v>
      </x:c>
      <x:c r="AG73" s="18" t="str">
        <x:v>D</x:v>
      </x:c>
      <x:c r="AH73" s="18" t="str">
        <x:v>Válida</x:v>
      </x:c>
      <x:c r="AI73" s="18" t="str">
        <x:v>01. Información oficial de la oposición\Exámenes oficiales anteriores\2024 Convocatoria 2023 - Cuestionario libre Modelo A.pdf</x:v>
      </x:c>
      <x:c r="AJ73" s="18" t="str">
        <x:v>https://www.seg-social.es/wps/portal/wss/internet/InformacionUtil/9950/88beb45d-ca83-4bab-8162-f94ef2894562</x:v>
      </x:c>
      <x:c r="AK73" s="18" t="str">
        <x:v>OCR Windows es-ES sobre PDF oficial</x:v>
      </x:c>
      <x:c r="AL73" s="18" t="n">
        <x:v>100</x:v>
      </x:c>
      <x:c r="AM73" s="18" t="str">
        <x:v>Alta</x:v>
      </x:c>
      <x:c r="AN73" s="18" t="str">
        <x:v>Regla jurídica determinista</x:v>
      </x:c>
      <x:c r="AO73" s="18" t="str">
        <x:v>2024_conv2023_ordinario_A-T72</x:v>
      </x:c>
      <x:c r="AP73" s="18" t="n">
        <x:v>1</x:v>
      </x:c>
    </x:row>
    <x:row r="74">
      <x:c r="A74" s="18" t="str">
        <x:v>2024_conv2023_ordinario_A-T73</x:v>
      </x:c>
      <x:c r="B74" s="18" t="n">
        <x:v>2024</x:v>
      </x:c>
      <x:c r="C74" s="18" t="n">
        <x:v>2023</x:v>
      </x:c>
      <x:c r="D74" s="28" t="n">
        <x:v>45626</x:v>
      </x:c>
      <x:c r="E74" s="18" t="str">
        <x:v>Acceso libre</x:v>
      </x:c>
      <x:c r="F74" s="18" t="str">
        <x:v>Primera parte</x:v>
      </x:c>
      <x:c r="G74" s="18" t="str">
        <x:v>A</x:v>
      </x:c>
      <x:c r="H74" s="18" t="str">
        <x:v>A/B</x:v>
      </x:c>
      <x:c r="I74" s="18" t="str">
        <x:v>Sí</x:v>
      </x:c>
      <x:c r="J74" s="18" t="str">
        <x:v>Modelo A usado como variante canónica; el modelo B oficial está archivado y permuta el orden y/o las opciones.</x:v>
      </x:c>
      <x:c r="K74" s="18" t="n">
        <x:v>73</x:v>
      </x:c>
      <x:c r="L74" s="18" t="str">
        <x:v>Sí</x:v>
      </x:c>
      <x:c r="M74" s="18" t="str">
        <x:v>De acuerdo con 10 establecido en el artículo 153 del texto refundido de la Ley General de la Seguridad Social, sobre la cotización en supuestos de compatibilidad de jubilación y trabajo y la cotización especial de solidaridad, indique la respuesta CORRECTA:</x:v>
      </x:c>
      <x:c r="N74" s="18" t="str">
        <x:v>La cotización especial de solidaridad será del 7 por ciento sobre la base de cotización por contingencias comunes, no computable a efectos de prestaciones, que se distribuirá entre empresario y trabajador, corriendo a cargo del empresario eI 5 por ciento y del trabajador eI 2 por ciento.</x:v>
      </x:c>
      <x:c r="O74" s="18" t="str">
        <x:v>La cotización especial de solidaridad será del 8 por ciento sobre la base de cotización por contingencias profesionales, no computable a efectos de prestaciones, que se distribuirá entre empresario y trabajador, corriendo a cargo del empresario eI 5 por ciento y del trabajador eI 3 por ciento.</x:v>
      </x:c>
      <x:c r="P74" s="18" t="str">
        <x:v>La cotización especial de solidaridad será del 9 por ciento sobre la base de cotización por contingencias comunes, no computable a efectos de prestaciones, que se distribuirá entre empresario y trabajador, corriendo a cargo del empresario eI 7 por ciento y del trabajador el 2 por ciento.</x:v>
      </x:c>
      <x:c r="Q74" s="18" t="str">
        <x:v>La cotización especial de solidaridad será del 10 por ciento sobre la base de cotización por contingencias comunes, que será computable a efectos de prestaciones, que se distribuirá entre empresario y trabajador, corriendo a cargo del empresario el 8 por ciento y del trabajador eI 2 por ciento.</x:v>
      </x:c>
      <x:c r="R74" s="18" t="str">
        <x:v>S10</x:v>
      </x:c>
      <x:c r="S74" s="18" t="n">
        <x:v>10</x:v>
      </x:c>
      <x:c r="T74" s="18" t="str">
        <x:v>Temario específico Seguridad Social</x:v>
      </x:c>
      <x:c r="U74" s="18" t="str">
        <x:v>Jubilación en la modalidad contributiva: concepto. Jubilación ordinaria: requisitos: especial referencia a la edad de jubilación. Determinación de la cuantía de la prestación: base reguladora y porcentaje. Jubilación anticipada, jubilación parcial y jubilación flexible. Compatibilidad de la pensión de jubilación y el trabajo. Suspensión y extinción de la prestación. Especial referencia a la aplicación de la normativa anterior a la Ley 27/2011.</x:v>
      </x:c>
      <x:c r="V74" s="18" t="str">
        <x:v>jubilación</x:v>
      </x:c>
      <x:c r="W74" s="18" t="str">
        <x:v>texto refundido de la Ley General de la Seguridad Social</x:v>
      </x:c>
      <x:c r="X74" s="18" t="str">
        <x:v>153</x:v>
      </x:c>
      <x:c r="Y74" s="18" t="str">
        <x:v>Jubilación</x:v>
      </x:c>
      <x:c r="Z74" s="18" t="str">
        <x:v>Media</x:v>
      </x:c>
      <x:c r="AA74" s="18" t="str">
        <x:v>jubilación</x:v>
      </x:c>
      <x:c r="AB74" s="18" t="str"/>
      <x:c r="AC74" s="18" t="str"/>
      <x:c r="AD74" s="18" t="str">
        <x:v>No</x:v>
      </x:c>
      <x:c r="AE74" s="18" t="str">
        <x:v>Teórico</x:v>
      </x:c>
      <x:c r="AF74" s="18" t="str">
        <x:v>C</x:v>
      </x:c>
      <x:c r="AG74" s="18" t="str">
        <x:v>C</x:v>
      </x:c>
      <x:c r="AH74" s="18" t="str">
        <x:v>Válida</x:v>
      </x:c>
      <x:c r="AI74" s="18" t="str">
        <x:v>01. Información oficial de la oposición\Exámenes oficiales anteriores\2024 Convocatoria 2023 - Cuestionario libre Modelo A.pdf</x:v>
      </x:c>
      <x:c r="AJ74" s="18" t="str">
        <x:v>https://www.seg-social.es/wps/portal/wss/internet/InformacionUtil/9950/88beb45d-ca83-4bab-8162-f94ef2894562</x:v>
      </x:c>
      <x:c r="AK74" s="18" t="str">
        <x:v>OCR Windows es-ES sobre PDF oficial</x:v>
      </x:c>
      <x:c r="AL74" s="18" t="n">
        <x:v>100</x:v>
      </x:c>
      <x:c r="AM74" s="18" t="str">
        <x:v>Alta</x:v>
      </x:c>
      <x:c r="AN74" s="18" t="str">
        <x:v>Regla jurídica determinista</x:v>
      </x:c>
      <x:c r="AO74" s="18" t="str">
        <x:v>2024_conv2023_ordinario_A-T73</x:v>
      </x:c>
      <x:c r="AP74" s="18" t="n">
        <x:v>1</x:v>
      </x:c>
    </x:row>
    <x:row r="75">
      <x:c r="A75" s="18" t="str">
        <x:v>2024_conv2023_ordinario_A-P01</x:v>
      </x:c>
      <x:c r="B75" s="18" t="n">
        <x:v>2024</x:v>
      </x:c>
      <x:c r="C75" s="18" t="n">
        <x:v>2023</x:v>
      </x:c>
      <x:c r="D75" s="28" t="n">
        <x:v>45626</x:v>
      </x:c>
      <x:c r="E75" s="18" t="str">
        <x:v>Acceso libre</x:v>
      </x:c>
      <x:c r="F75" s="18" t="str">
        <x:v>Segunda parte</x:v>
      </x:c>
      <x:c r="G75" s="18" t="str">
        <x:v>A</x:v>
      </x:c>
      <x:c r="H75" s="18" t="str">
        <x:v>A/B</x:v>
      </x:c>
      <x:c r="I75" s="18" t="str">
        <x:v>Sí</x:v>
      </x:c>
      <x:c r="J75" s="18" t="str">
        <x:v>Modelo A usado como variante canónica; el modelo B oficial está archivado y permuta el orden y/o las opciones.</x:v>
      </x:c>
      <x:c r="K75" s="18" t="n">
        <x:v>1</x:v>
      </x:c>
      <x:c r="L75" s="18" t="str">
        <x:v>No</x:v>
      </x:c>
      <x:c r="M75" s="18" t="str">
        <x:v>La dtligencia de embargo del local, debió de ser notificada a:</x:v>
      </x:c>
      <x:c r="N75" s="18" t="str">
        <x:v>Exeusivamente a la empresa "Señor de La Lage, S.L.".</x:v>
      </x:c>
      <x:c r="O75" s="18" t="str">
        <x:v>Única, nente a la entidad financiera que tenía inscrita la hipoteca.</x:v>
      </x:c>
      <x:c r="P75" s="18" t="str">
        <x:v>A la empresa "Señor de La Lage, S.L.", de forma obligatoria y a criterio del recaudador ejecutivo a la entidad financiera a cuyo favor está inscrita la hipoteca.</x:v>
      </x:c>
      <x:c r="Q75" s="18" t="str">
        <x:v>Obligatoriamente a la empresa "Señor de La Lage, S.L." y a la entidad financiera a cuyo favor está inscrita la hipoteca. La empresa "Señor de La Lage, S.L." quiere contratar a Maximiliano Rubín como técnico de laboratorio, y pretende que inicie la actividad laboral eI día 3 de octubre de 2024. Por eI desarrollo de su trabajo va a percibir un salario de I .200 euros en catorce pagas y además una retribución fija mensual por importe de 100 euros, en concepto de productividad.</x:v>
      </x:c>
      <x:c r="R75" s="18" t="str">
        <x:v>S06</x:v>
      </x:c>
      <x:c r="S75" s="18" t="n">
        <x:v>6</x:v>
      </x:c>
      <x:c r="T75" s="18" t="str">
        <x:v>Temario específico Seguridad Social</x:v>
      </x:c>
      <x:c r="U75" s="18" t="str">
        <x:v>La recaudación en vía ejecutiva. Normas generales. Iniciación y título ejecutivo. La providencia de apremio. Oposición y efectos. El embargo de bienes. Enajenación de bienes: modalidades. Créditos incobrables. Tercerías.</x:v>
      </x:c>
      <x:c r="V75" s="18" t="str">
        <x:v>embargo</x:v>
      </x:c>
      <x:c r="W75" s="18" t="str"/>
      <x:c r="X75" s="18" t="str"/>
      <x:c r="Y75" s="18" t="str">
        <x:v>Recaudación ejecutiva</x:v>
      </x:c>
      <x:c r="Z75" s="18" t="str">
        <x:v>Media</x:v>
      </x:c>
      <x:c r="AA75" s="18" t="str">
        <x:v>embargo</x:v>
      </x:c>
      <x:c r="AB75" s="18" t="str"/>
      <x:c r="AC75" s="18" t="str"/>
      <x:c r="AD75" s="18" t="str">
        <x:v>No</x:v>
      </x:c>
      <x:c r="AE75" s="18" t="str">
        <x:v>Práctico</x:v>
      </x:c>
      <x:c r="AF75" s="18" t="str">
        <x:v>D</x:v>
      </x:c>
      <x:c r="AG75" s="18" t="str">
        <x:v>D</x:v>
      </x:c>
      <x:c r="AH75" s="18" t="str">
        <x:v>Válida</x:v>
      </x:c>
      <x:c r="AI75" s="18" t="str">
        <x:v>01. Información oficial de la oposición\Exámenes oficiales anteriores\2024 Convocatoria 2023 - Cuestionario libre Modelo A.pdf</x:v>
      </x:c>
      <x:c r="AJ75" s="18" t="str">
        <x:v>https://www.seg-social.es/wps/portal/wss/internet/InformacionUtil/9950/88beb45d-ca83-4bab-8162-f94ef2894562</x:v>
      </x:c>
      <x:c r="AK75" s="18" t="str">
        <x:v>OCR Windows es-ES sobre PDF oficial</x:v>
      </x:c>
      <x:c r="AL75" s="18" t="n">
        <x:v>100</x:v>
      </x:c>
      <x:c r="AM75" s="18" t="str">
        <x:v>Alta</x:v>
      </x:c>
      <x:c r="AN75" s="18" t="str">
        <x:v>Regla jurídica determinista</x:v>
      </x:c>
      <x:c r="AO75" s="18" t="str">
        <x:v>2024_conv2023_ordinario_A-P01</x:v>
      </x:c>
      <x:c r="AP75" s="18" t="n">
        <x:v>1</x:v>
      </x:c>
    </x:row>
    <x:row r="76">
      <x:c r="A76" s="18" t="str">
        <x:v>2024_conv2023_ordinario_A-P02</x:v>
      </x:c>
      <x:c r="B76" s="18" t="n">
        <x:v>2024</x:v>
      </x:c>
      <x:c r="C76" s="18" t="n">
        <x:v>2023</x:v>
      </x:c>
      <x:c r="D76" s="28" t="n">
        <x:v>45626</x:v>
      </x:c>
      <x:c r="E76" s="18" t="str">
        <x:v>Acceso libre</x:v>
      </x:c>
      <x:c r="F76" s="18" t="str">
        <x:v>Segunda parte</x:v>
      </x:c>
      <x:c r="G76" s="18" t="str">
        <x:v>A</x:v>
      </x:c>
      <x:c r="H76" s="18" t="str">
        <x:v>A/B</x:v>
      </x:c>
      <x:c r="I76" s="18" t="str">
        <x:v>Sí</x:v>
      </x:c>
      <x:c r="J76" s="18" t="str">
        <x:v>Modelo A usado como variante canónica; el modelo B oficial está archivado y permuta el orden y/o las opciones.</x:v>
      </x:c>
      <x:c r="K76" s="18" t="n">
        <x:v>2</x:v>
      </x:c>
      <x:c r="L76" s="18" t="str">
        <x:v>No</x:v>
      </x:c>
      <x:c r="M76" s="18" t="str">
        <x:v>La solicitud de alta en la Seguridad Social del trabajador Maximiliano Rubín deberá realizarse por la empresa "Señor de La Lage, S.L.":</x:v>
      </x:c>
      <x:c r="N76" s="18" t="str">
        <x:v>Desde el día 3 de octubre, hasta el día 9 de octubre de 2024.</x:v>
      </x:c>
      <x:c r="O76" s="18" t="str">
        <x:v>Desde el día 4 de agosto, hasta eI día 2 de octubre de 2024.</x:v>
      </x:c>
      <x:c r="P76" s="18" t="str">
        <x:v>Desde eI día I de octubre, hasta eI día 4 de octubre de 2024.</x:v>
      </x:c>
      <x:c r="Q76" s="18" t="str">
        <x:v>Desde el día 4 de agosto, hasta eI día 9 de octubre de 2024.</x:v>
      </x:c>
      <x:c r="R76" s="18" t="str">
        <x:v>S03</x:v>
      </x:c>
      <x:c r="S76" s="18" t="n">
        <x:v>3</x:v>
      </x:c>
      <x:c r="T76" s="18" t="str">
        <x:v>Temario específico Seguridad Social</x:v>
      </x:c>
      <x:c r="U76" s="18" t="str">
        <x:v>Normas sobre afiliación. Altas y bajas en el régimen general. Procedimiento y efectos. El convenio especial y otras situaciones asimiladas a la del alta. Encuadramiento e inscripción.</x:v>
      </x:c>
      <x:c r="V76" s="18" t="str">
        <x:v>alta</x:v>
      </x:c>
      <x:c r="W76" s="18" t="str"/>
      <x:c r="X76" s="18" t="str"/>
      <x:c r="Y76" s="18" t="str">
        <x:v>Procedimientos</x:v>
      </x:c>
      <x:c r="Z76" s="18" t="str">
        <x:v>Media</x:v>
      </x:c>
      <x:c r="AA76" s="18" t="str">
        <x:v>alta</x:v>
      </x:c>
      <x:c r="AB76" s="18" t="str"/>
      <x:c r="AC76" s="18" t="str"/>
      <x:c r="AD76" s="18" t="str">
        <x:v>No</x:v>
      </x:c>
      <x:c r="AE76" s="18" t="str">
        <x:v>Práctico</x:v>
      </x:c>
      <x:c r="AF76" s="18" t="str">
        <x:v>B</x:v>
      </x:c>
      <x:c r="AG76" s="18" t="str">
        <x:v>B</x:v>
      </x:c>
      <x:c r="AH76" s="18" t="str">
        <x:v>Válida</x:v>
      </x:c>
      <x:c r="AI76" s="18" t="str">
        <x:v>01. Información oficial de la oposición\Exámenes oficiales anteriores\2024 Convocatoria 2023 - Cuestionario libre Modelo A.pdf</x:v>
      </x:c>
      <x:c r="AJ76" s="18" t="str">
        <x:v>https://www.seg-social.es/wps/portal/wss/internet/InformacionUtil/9950/88beb45d-ca83-4bab-8162-f94ef2894562</x:v>
      </x:c>
      <x:c r="AK76" s="18" t="str">
        <x:v>OCR Windows es-ES sobre PDF oficial</x:v>
      </x:c>
      <x:c r="AL76" s="18" t="n">
        <x:v>7</x:v>
      </x:c>
      <x:c r="AM76" s="18" t="str">
        <x:v>Media</x:v>
      </x:c>
      <x:c r="AN76" s="18" t="str">
        <x:v>Ponderación de palabras clave</x:v>
      </x:c>
      <x:c r="AO76" s="18" t="str">
        <x:v>2024_conv2023_ordinario_A-P02</x:v>
      </x:c>
      <x:c r="AP76" s="18" t="n">
        <x:v>1</x:v>
      </x:c>
    </x:row>
    <x:row r="77">
      <x:c r="A77" s="18" t="str">
        <x:v>2024_conv2023_ordinario_A-P03</x:v>
      </x:c>
      <x:c r="B77" s="18" t="n">
        <x:v>2024</x:v>
      </x:c>
      <x:c r="C77" s="18" t="n">
        <x:v>2023</x:v>
      </x:c>
      <x:c r="D77" s="28" t="n">
        <x:v>45626</x:v>
      </x:c>
      <x:c r="E77" s="18" t="str">
        <x:v>Acceso libre</x:v>
      </x:c>
      <x:c r="F77" s="18" t="str">
        <x:v>Segunda parte</x:v>
      </x:c>
      <x:c r="G77" s="18" t="str">
        <x:v>A</x:v>
      </x:c>
      <x:c r="H77" s="18" t="str">
        <x:v>A/B</x:v>
      </x:c>
      <x:c r="I77" s="18" t="str">
        <x:v>Sí</x:v>
      </x:c>
      <x:c r="J77" s="18" t="str">
        <x:v>Modelo A usado como variante canónica; el modelo B oficial está archivado y permuta el orden y/o las opciones.</x:v>
      </x:c>
      <x:c r="K77" s="18" t="n">
        <x:v>3</x:v>
      </x:c>
      <x:c r="L77" s="18" t="str">
        <x:v>No</x:v>
      </x:c>
      <x:c r="M77" s="18" t="str">
        <x:v>Según las retribuciones de Maximiliano Rubín, indique el importe de la base de cotización mensual, considerando que hubiera estado durante todo el año 2024 en la empresa:</x:v>
      </x:c>
      <x:c r="N77" s="18" t="str">
        <x:v>1.200 euros.</x:v>
      </x:c>
      <x:c r="O77" s="18" t="str">
        <x:v>1.300 euros.</x:v>
      </x:c>
      <x:c r="P77" s="18" t="str">
        <x:v>1.400 euros.</x:v>
      </x:c>
      <x:c r="Q77" s="18" t="str">
        <x:v>1.500 euros. AI cabo de un tiempo la empresa "Señor de La Lage, S.L." decide trasladar a Maximiliano Rubín a la delegación que la empresa mantiene en Ciudad del Cabo (Sudáfrica).</x:v>
      </x:c>
      <x:c r="R77" s="18" t="str">
        <x:v>S04</x:v>
      </x:c>
      <x:c r="S77" s="18" t="n">
        <x:v>4</x:v>
      </x:c>
      <x:c r="T77" s="18" t="str">
        <x:v>Temario específico Seguridad Social</x:v>
      </x:c>
      <x:c r="U77" s="18" t="str">
        <x:v>La cotización a la Seguridad Social: normas comunes del sistema. La liquidación de cuotas. El régimen general de la Seguridad Social. Supuestos especiales. Bases y tipos de cotización. Liquidación de otras deudas.</x:v>
      </x:c>
      <x:c r="V77" s="18" t="str">
        <x:v>base de cotización</x:v>
      </x:c>
      <x:c r="W77" s="18" t="str"/>
      <x:c r="X77" s="18" t="str"/>
      <x:c r="Y77" s="18" t="str">
        <x:v>Cálculos</x:v>
      </x:c>
      <x:c r="Z77" s="18" t="str">
        <x:v>Alta</x:v>
      </x:c>
      <x:c r="AA77" s="18" t="str">
        <x:v>base de cotización</x:v>
      </x:c>
      <x:c r="AB77" s="18" t="str"/>
      <x:c r="AC77" s="18" t="str"/>
      <x:c r="AD77" s="18" t="str">
        <x:v>No</x:v>
      </x:c>
      <x:c r="AE77" s="18" t="str">
        <x:v>Práctico</x:v>
      </x:c>
      <x:c r="AF77" s="18" t="str">
        <x:v>D</x:v>
      </x:c>
      <x:c r="AG77" s="18" t="str">
        <x:v>D</x:v>
      </x:c>
      <x:c r="AH77" s="18" t="str">
        <x:v>Válida</x:v>
      </x:c>
      <x:c r="AI77" s="18" t="str">
        <x:v>01. Información oficial de la oposición\Exámenes oficiales anteriores\2024 Convocatoria 2023 - Cuestionario libre Modelo A.pdf</x:v>
      </x:c>
      <x:c r="AJ77" s="18" t="str">
        <x:v>https://www.seg-social.es/wps/portal/wss/internet/InformacionUtil/9950/88beb45d-ca83-4bab-8162-f94ef2894562</x:v>
      </x:c>
      <x:c r="AK77" s="18" t="str">
        <x:v>OCR Windows es-ES sobre PDF oficial</x:v>
      </x:c>
      <x:c r="AL77" s="18" t="n">
        <x:v>100</x:v>
      </x:c>
      <x:c r="AM77" s="18" t="str">
        <x:v>Alta</x:v>
      </x:c>
      <x:c r="AN77" s="18" t="str">
        <x:v>Regla jurídica determinista</x:v>
      </x:c>
      <x:c r="AO77" s="18" t="str">
        <x:v>2024_conv2023_ordinario_A-P03</x:v>
      </x:c>
      <x:c r="AP77" s="18" t="n">
        <x:v>1</x:v>
      </x:c>
    </x:row>
    <x:row r="78">
      <x:c r="A78" s="18" t="str">
        <x:v>2024_conv2023_ordinario_A-P04</x:v>
      </x:c>
      <x:c r="B78" s="18" t="n">
        <x:v>2024</x:v>
      </x:c>
      <x:c r="C78" s="18" t="n">
        <x:v>2023</x:v>
      </x:c>
      <x:c r="D78" s="28" t="n">
        <x:v>45626</x:v>
      </x:c>
      <x:c r="E78" s="18" t="str">
        <x:v>Acceso libre</x:v>
      </x:c>
      <x:c r="F78" s="18" t="str">
        <x:v>Segunda parte</x:v>
      </x:c>
      <x:c r="G78" s="18" t="str">
        <x:v>A</x:v>
      </x:c>
      <x:c r="H78" s="18" t="str">
        <x:v>A/B</x:v>
      </x:c>
      <x:c r="I78" s="18" t="str">
        <x:v>Sí</x:v>
      </x:c>
      <x:c r="J78" s="18" t="str">
        <x:v>Modelo A usado como variante canónica; el modelo B oficial está archivado y permuta el orden y/o las opciones.</x:v>
      </x:c>
      <x:c r="K78" s="18" t="n">
        <x:v>4</x:v>
      </x:c>
      <x:c r="L78" s="18" t="str">
        <x:v>No</x:v>
      </x:c>
      <x:c r="M78" s="18" t="str">
        <x:v>Cuando el trabajador Maximiliano Rubín es trasladado por la empresa a Ciudad del Cabo (Sudáfrica) ¿en qué situación queda a efectos de la Seguridad Social española?:</x:v>
      </x:c>
      <x:c r="N78" s="18" t="str">
        <x:v>Asimilada al alta.</x:v>
      </x:c>
      <x:c r="O78" s="18" t="str">
        <x:v>Alta de pleno derecho.</x:v>
      </x:c>
      <x:c r="P78" s="18" t="str">
        <x:v>Baja.</x:v>
      </x:c>
      <x:c r="Q78" s="18" t="str">
        <x:v>Baja temporal. La empresa solicita la práctica de la liquidación de las cuotas del mes de septiembre de 2024 el día 20 de octubre de 2024, recibiendo eI día 21 de octubre de 2024 comunicación de la Tesorería General de la Seguridad Social donde se informaba que la liquidación de cuotas no ha podido practicarse por la falta de las bases de cotización de los trabajadores incluidos en la liquidación.</x:v>
      </x:c>
      <x:c r="R78" s="18" t="str">
        <x:v>S03</x:v>
      </x:c>
      <x:c r="S78" s="18" t="n">
        <x:v>3</x:v>
      </x:c>
      <x:c r="T78" s="18" t="str">
        <x:v>Temario específico Seguridad Social</x:v>
      </x:c>
      <x:c r="U78" s="18" t="str">
        <x:v>Normas sobre afiliación. Altas y bajas en el régimen general. Procedimiento y efectos. El convenio especial y otras situaciones asimiladas a la del alta. Encuadramiento e inscripción.</x:v>
      </x:c>
      <x:c r="V78" s="18" t="str">
        <x:v>S03</x:v>
      </x:c>
      <x:c r="W78" s="18" t="str"/>
      <x:c r="X78" s="18" t="str"/>
      <x:c r="Y78" s="18" t="str">
        <x:v>Afiliación, altas y bajas</x:v>
      </x:c>
      <x:c r="Z78" s="18" t="str">
        <x:v>Media</x:v>
      </x:c>
      <x:c r="AA78" s="18" t="str">
        <x:v>S03</x:v>
      </x:c>
      <x:c r="AB78" s="18" t="str"/>
      <x:c r="AC78" s="18" t="str"/>
      <x:c r="AD78" s="18" t="str">
        <x:v>No</x:v>
      </x:c>
      <x:c r="AE78" s="18" t="str">
        <x:v>Práctico</x:v>
      </x:c>
      <x:c r="AF78" s="18" t="str">
        <x:v>A</x:v>
      </x:c>
      <x:c r="AG78" s="18" t="str">
        <x:v>A</x:v>
      </x:c>
      <x:c r="AH78" s="18" t="str">
        <x:v>Válida</x:v>
      </x:c>
      <x:c r="AI78" s="18" t="str">
        <x:v>01. Información oficial de la oposición\Exámenes oficiales anteriores\2024 Convocatoria 2023 - Cuestionario libre Modelo A.pdf</x:v>
      </x:c>
      <x:c r="AJ78" s="18" t="str">
        <x:v>https://www.seg-social.es/wps/portal/wss/internet/InformacionUtil/9950/88beb45d-ca83-4bab-8162-f94ef2894562</x:v>
      </x:c>
      <x:c r="AK78" s="18" t="str">
        <x:v>OCR Windows es-ES sobre PDF oficial</x:v>
      </x:c>
      <x:c r="AL78" s="18" t="n">
        <x:v>100</x:v>
      </x:c>
      <x:c r="AM78" s="18" t="str">
        <x:v>Alta</x:v>
      </x:c>
      <x:c r="AN78" s="18" t="str">
        <x:v>Revisión jurídica individual</x:v>
      </x:c>
      <x:c r="AO78" s="18" t="str">
        <x:v>2024_conv2023_ordinario_A-P04</x:v>
      </x:c>
      <x:c r="AP78" s="18" t="n">
        <x:v>1</x:v>
      </x:c>
    </x:row>
    <x:row r="79">
      <x:c r="A79" s="18" t="str">
        <x:v>2024_conv2023_ordinario_A-P05</x:v>
      </x:c>
      <x:c r="B79" s="18" t="n">
        <x:v>2024</x:v>
      </x:c>
      <x:c r="C79" s="18" t="n">
        <x:v>2023</x:v>
      </x:c>
      <x:c r="D79" s="28" t="n">
        <x:v>45626</x:v>
      </x:c>
      <x:c r="E79" s="18" t="str">
        <x:v>Acceso libre</x:v>
      </x:c>
      <x:c r="F79" s="18" t="str">
        <x:v>Segunda parte</x:v>
      </x:c>
      <x:c r="G79" s="18" t="str">
        <x:v>A</x:v>
      </x:c>
      <x:c r="H79" s="18" t="str">
        <x:v>A/B</x:v>
      </x:c>
      <x:c r="I79" s="18" t="str">
        <x:v>Sí</x:v>
      </x:c>
      <x:c r="J79" s="18" t="str">
        <x:v>Modelo A usado como variante canónica; el modelo B oficial está archivado y permuta el orden y/o las opciones.</x:v>
      </x:c>
      <x:c r="K79" s="18" t="n">
        <x:v>5</x:v>
      </x:c>
      <x:c r="L79" s="18" t="str">
        <x:v>No</x:v>
      </x:c>
      <x:c r="M79" s="18" t="str">
        <x:v>En relación con el cálculo de las cuotas del mes de septiembre de 2024, solicitada por la empresa "Señor de La Lage, S.L." eI día 20 de octubre de 2024 indique, según el art. 48 del Reglamento General sobre Cotización y Liquidación de otros Derechos de la Seguridad Social, aprobado por Real Decreto 2064/1995, de 22 de diciembre ¿hasta qué fecha puede comunicar nuevamente los datos que permitan efectuar la liquidación? :</x:v>
      </x:c>
      <x:c r="N79" s="18" t="str">
        <x:v>31 de octubre de 2024.</x:v>
      </x:c>
      <x:c r="O79" s="18" t="str">
        <x:v>En el plazo de 48 horas siguientes a la comunicación de la Tesoreria General de la Seguridad Social.</x:v>
      </x:c>
      <x:c r="P79" s="18" t="str">
        <x:v>30 de octubre de 2024.</x:v>
      </x:c>
      <x:c r="Q79" s="18" t="str">
        <x:v>27 de octubre de 2024.</x:v>
      </x:c>
      <x:c r="R79" s="18" t="str">
        <x:v>S04</x:v>
      </x:c>
      <x:c r="S79" s="18" t="n">
        <x:v>4</x:v>
      </x:c>
      <x:c r="T79" s="18" t="str">
        <x:v>Temario específico Seguridad Social</x:v>
      </x:c>
      <x:c r="U79" s="18" t="str">
        <x:v>La cotización a la Seguridad Social: normas comunes del sistema. La liquidación de cuotas. El régimen general de la Seguridad Social. Supuestos especiales. Bases y tipos de cotización. Liquidación de otras deudas.</x:v>
      </x:c>
      <x:c r="V79" s="18" t="str">
        <x:v>S04</x:v>
      </x:c>
      <x:c r="W79" s="18" t="str">
        <x:v>Real Decreto 2064/1995</x:v>
      </x:c>
      <x:c r="X79" s="18" t="str"/>
      <x:c r="Y79" s="18" t="str">
        <x:v>Cotización</x:v>
      </x:c>
      <x:c r="Z79" s="18" t="str">
        <x:v>Alta</x:v>
      </x:c>
      <x:c r="AA79" s="18" t="str">
        <x:v>S04</x:v>
      </x:c>
      <x:c r="AB79" s="18" t="str"/>
      <x:c r="AC79" s="18" t="str"/>
      <x:c r="AD79" s="18" t="str">
        <x:v>No</x:v>
      </x:c>
      <x:c r="AE79" s="18" t="str">
        <x:v>Práctico</x:v>
      </x:c>
      <x:c r="AF79" s="18" t="str">
        <x:v>C</x:v>
      </x:c>
      <x:c r="AG79" s="18" t="str">
        <x:v>C</x:v>
      </x:c>
      <x:c r="AH79" s="18" t="str">
        <x:v>Válida</x:v>
      </x:c>
      <x:c r="AI79" s="18" t="str">
        <x:v>01. Información oficial de la oposición\Exámenes oficiales anteriores\2024 Convocatoria 2023 - Cuestionario libre Modelo A.pdf</x:v>
      </x:c>
      <x:c r="AJ79" s="18" t="str">
        <x:v>https://www.seg-social.es/wps/portal/wss/internet/InformacionUtil/9950/88beb45d-ca83-4bab-8162-f94ef2894562</x:v>
      </x:c>
      <x:c r="AK79" s="18" t="str">
        <x:v>OCR Windows es-ES sobre PDF oficial</x:v>
      </x:c>
      <x:c r="AL79" s="18" t="n">
        <x:v>100</x:v>
      </x:c>
      <x:c r="AM79" s="18" t="str">
        <x:v>Alta</x:v>
      </x:c>
      <x:c r="AN79" s="18" t="str">
        <x:v>Regla jurídica determinista</x:v>
      </x:c>
      <x:c r="AO79" s="18" t="str">
        <x:v>2024_conv2023_ordinario_A-P05</x:v>
      </x:c>
      <x:c r="AP79" s="18" t="n">
        <x:v>1</x:v>
      </x:c>
    </x:row>
    <x:row r="80">
      <x:c r="A80" s="18" t="str">
        <x:v>2024_conv2023_ordinario_A-P06</x:v>
      </x:c>
      <x:c r="B80" s="18" t="n">
        <x:v>2024</x:v>
      </x:c>
      <x:c r="C80" s="18" t="n">
        <x:v>2023</x:v>
      </x:c>
      <x:c r="D80" s="28" t="n">
        <x:v>45626</x:v>
      </x:c>
      <x:c r="E80" s="18" t="str">
        <x:v>Acceso libre</x:v>
      </x:c>
      <x:c r="F80" s="18" t="str">
        <x:v>Segunda parte</x:v>
      </x:c>
      <x:c r="G80" s="18" t="str">
        <x:v>A</x:v>
      </x:c>
      <x:c r="H80" s="18" t="str">
        <x:v>A/B</x:v>
      </x:c>
      <x:c r="I80" s="18" t="str">
        <x:v>Sí</x:v>
      </x:c>
      <x:c r="J80" s="18" t="str">
        <x:v>Modelo A usado como variante canónica; el modelo B oficial está archivado y permuta el orden y/o las opciones.</x:v>
      </x:c>
      <x:c r="K80" s="18" t="n">
        <x:v>6</x:v>
      </x:c>
      <x:c r="L80" s="18" t="str">
        <x:v>No</x:v>
      </x:c>
      <x:c r="M80" s="18" t="str">
        <x:v>Indique, en relación con la providencia de apremio notificada el día II de enero de 2023, si la actuación de la Tesorería General de la Seguridad Social es correcta ante la ausencia de reclamación previa de la deuda:</x:v>
      </x:c>
      <x:c r="N80" s="18" t="str">
        <x:v>Es necesaria siempre la previa reclamación de la deuda.</x:v>
      </x:c>
      <x:c r="O80" s="18" t="str">
        <x:v>Es correcta, porque se trata de cuotas y demás conceptos de recaudación conjunta correspondientes a una liquidación practicada en plazo reglamentario.</x:v>
      </x:c>
      <x:c r="P80" s="18" t="str">
        <x:v>Es correcta, porque la Tesorería General de la Seguridad Social no está obligada en ningún caso a reclamar previamente la deuda.</x:v>
      </x:c>
      <x:c r="Q80" s="18" t="str">
        <x:v>No es correcta, porque en supuesto de cuotas y demás conceptos de recaudación conjunta siempre es necesaria la reclamación previa de la deuda. Ante la buena marcha del negocio, la empresa decide ampliar su plantilla contratando a Guillermina Pacheco, pensando además que como es personal investigador puede disponer de una bonificación del 45% de la aportación empresarial por contingencias comunes. Este contrato de trabajo se celebra el día 30 de octubre de 2024, iniciando su actividad el día 4 de noviembre, fecha en la que causa alta en la Seguridad Social.</x:v>
      </x:c>
      <x:c r="R80" s="18" t="str">
        <x:v>S06</x:v>
      </x:c>
      <x:c r="S80" s="18" t="n">
        <x:v>6</x:v>
      </x:c>
      <x:c r="T80" s="18" t="str">
        <x:v>Temario específico Seguridad Social</x:v>
      </x:c>
      <x:c r="U80" s="18" t="str">
        <x:v>La recaudación en vía ejecutiva. Normas generales. Iniciación y título ejecutivo. La providencia de apremio. Oposición y efectos. El embargo de bienes. Enajenación de bienes: modalidades. Créditos incobrables. Tercerías.</x:v>
      </x:c>
      <x:c r="V80" s="18" t="str">
        <x:v>providencia de apremio</x:v>
      </x:c>
      <x:c r="W80" s="18" t="str"/>
      <x:c r="X80" s="18" t="str"/>
      <x:c r="Y80" s="18" t="str">
        <x:v>Recaudación ejecutiva</x:v>
      </x:c>
      <x:c r="Z80" s="18" t="str">
        <x:v>Alta</x:v>
      </x:c>
      <x:c r="AA80" s="18" t="str">
        <x:v>providencia de apremio</x:v>
      </x:c>
      <x:c r="AB80" s="18" t="str">
        <x:v>Tesorería General de la Seguridad Social</x:v>
      </x:c>
      <x:c r="AC80" s="18" t="str"/>
      <x:c r="AD80" s="18" t="str">
        <x:v>No</x:v>
      </x:c>
      <x:c r="AE80" s="18" t="str">
        <x:v>Práctico</x:v>
      </x:c>
      <x:c r="AF80" s="18" t="str">
        <x:v>B</x:v>
      </x:c>
      <x:c r="AG80" s="18" t="str">
        <x:v>B</x:v>
      </x:c>
      <x:c r="AH80" s="18" t="str">
        <x:v>Válida</x:v>
      </x:c>
      <x:c r="AI80" s="18" t="str">
        <x:v>01. Información oficial de la oposición\Exámenes oficiales anteriores\2024 Convocatoria 2023 - Cuestionario libre Modelo A.pdf</x:v>
      </x:c>
      <x:c r="AJ80" s="18" t="str">
        <x:v>https://www.seg-social.es/wps/portal/wss/internet/InformacionUtil/9950/88beb45d-ca83-4bab-8162-f94ef2894562</x:v>
      </x:c>
      <x:c r="AK80" s="18" t="str">
        <x:v>OCR Windows es-ES sobre PDF oficial</x:v>
      </x:c>
      <x:c r="AL80" s="18" t="n">
        <x:v>100</x:v>
      </x:c>
      <x:c r="AM80" s="18" t="str">
        <x:v>Alta</x:v>
      </x:c>
      <x:c r="AN80" s="18" t="str">
        <x:v>Regla jurídica determinista</x:v>
      </x:c>
      <x:c r="AO80" s="18" t="str">
        <x:v>2024_conv2023_ordinario_A-P06</x:v>
      </x:c>
      <x:c r="AP80" s="18" t="n">
        <x:v>1</x:v>
      </x:c>
    </x:row>
    <x:row r="81">
      <x:c r="A81" s="18" t="str">
        <x:v>2024_conv2023_ordinario_A-P07</x:v>
      </x:c>
      <x:c r="B81" s="18" t="n">
        <x:v>2024</x:v>
      </x:c>
      <x:c r="C81" s="18" t="n">
        <x:v>2023</x:v>
      </x:c>
      <x:c r="D81" s="28" t="n">
        <x:v>45626</x:v>
      </x:c>
      <x:c r="E81" s="18" t="str">
        <x:v>Acceso libre</x:v>
      </x:c>
      <x:c r="F81" s="18" t="str">
        <x:v>Segunda parte</x:v>
      </x:c>
      <x:c r="G81" s="18" t="str">
        <x:v>A</x:v>
      </x:c>
      <x:c r="H81" s="18" t="str">
        <x:v>A/B</x:v>
      </x:c>
      <x:c r="I81" s="18" t="str">
        <x:v>Sí</x:v>
      </x:c>
      <x:c r="J81" s="18" t="str">
        <x:v>Modelo A usado como variante canónica; el modelo B oficial está archivado y permuta el orden y/o las opciones.</x:v>
      </x:c>
      <x:c r="K81" s="18" t="n">
        <x:v>7</x:v>
      </x:c>
      <x:c r="L81" s="18" t="str">
        <x:v>No</x:v>
      </x:c>
      <x:c r="M81" s="18" t="str">
        <x:v>Según eI art. 20.1 del texto refundido de la Ley General de la Seguridad Social, aprobado por Real Decreto Legislativo 8/2015, de 30 de octubre, al perfeccionarse eI contrato con Guillermina Pacheco el día 4 de noviembre de 2024, se podrán obtener las bonificaciones establecidas:</x:v>
      </x:c>
      <x:c r="N81" s="18" t="str">
        <x:v>No, porque la empresa no se encuentra al corriente en eI cumplimiento de sus obligaciones con la Seguridad Social en relación al ingreso por cuotas y conceptos de recaudación conjunta, así como respecto de cualquier otro recurso de la Seguridad Social que sea objeto de la gestión recaudatoria de la Seguridad Social, en la fecha de su concesión.</x:v>
      </x:c>
      <x:c r="O81" s="18" t="str">
        <x:v>Sí, porque no se encuentra al corriente en eI cumplimiento de las obligaciones de Seguridad Social, pero la deuda existente es de pequeña cuantía.</x:v>
      </x:c>
      <x:c r="P81" s="18" t="str">
        <x:v>Sí, porque el contrato es bonificado y no es necesario encontrarse al corriente en el cumplimiento de las obligaciones de Seguridad Social.</x:v>
      </x:c>
      <x:c r="Q81" s="18" t="str">
        <x:v>Sí, porque abona la deuda dos días después y por tanto se encuentra al corriente en el cumplimiento de las obligaciones de Seguridad Social, en el plazo establecido para la comunicación de las variaciones de datos. Carolina Martos, trabajadora de la empresa "Señor de La Lage, S.L." desde hace dos años con un contrato a tiempo completo, ha tenido dos hijos eI 13/08/2024. Ha decidido disfrutar inicialmente sólo de las seis semanas obligatorias tras eI parto para disfrutar las semanas restantes de la prestación por nacimiento y cuidado de menor más adelante.</x:v>
      </x:c>
      <x:c r="R81" s="18" t="str">
        <x:v>S04</x:v>
      </x:c>
      <x:c r="S81" s="18" t="n">
        <x:v>4</x:v>
      </x:c>
      <x:c r="T81" s="18" t="str">
        <x:v>Temario específico Seguridad Social</x:v>
      </x:c>
      <x:c r="U81" s="18" t="str">
        <x:v>La cotización a la Seguridad Social: normas comunes del sistema. La liquidación de cuotas. El régimen general de la Seguridad Social. Supuestos especiales. Bases y tipos de cotización. Liquidación de otras deudas.</x:v>
      </x:c>
      <x:c r="V81" s="18" t="str">
        <x:v>S04</x:v>
      </x:c>
      <x:c r="W81" s="18" t="str">
        <x:v>Real Decreto Legislativo 8/2015</x:v>
      </x:c>
      <x:c r="X81" s="18" t="str"/>
      <x:c r="Y81" s="18" t="str">
        <x:v>Cotización</x:v>
      </x:c>
      <x:c r="Z81" s="18" t="str">
        <x:v>Alta</x:v>
      </x:c>
      <x:c r="AA81" s="18" t="str">
        <x:v>S04</x:v>
      </x:c>
      <x:c r="AB81" s="18" t="str"/>
      <x:c r="AC81" s="18" t="str"/>
      <x:c r="AD81" s="18" t="str">
        <x:v>No</x:v>
      </x:c>
      <x:c r="AE81" s="18" t="str">
        <x:v>Práctico</x:v>
      </x:c>
      <x:c r="AF81" s="18" t="str">
        <x:v>A</x:v>
      </x:c>
      <x:c r="AG81" s="18" t="str">
        <x:v>ANULADA</x:v>
      </x:c>
      <x:c r="AH81" s="18" t="str">
        <x:v>Anulada</x:v>
      </x:c>
      <x:c r="AI81" s="18" t="str">
        <x:v>01. Información oficial de la oposición\Exámenes oficiales anteriores\2024 Convocatoria 2023 - Cuestionario libre Modelo A.pdf</x:v>
      </x:c>
      <x:c r="AJ81" s="18" t="str">
        <x:v>https://www.seg-social.es/wps/portal/wss/internet/InformacionUtil/9950/88beb45d-ca83-4bab-8162-f94ef2894562</x:v>
      </x:c>
      <x:c r="AK81" s="18" t="str">
        <x:v>OCR Windows es-ES sobre PDF oficial</x:v>
      </x:c>
      <x:c r="AL81" s="18" t="n">
        <x:v>100</x:v>
      </x:c>
      <x:c r="AM81" s="18" t="str">
        <x:v>Alta</x:v>
      </x:c>
      <x:c r="AN81" s="18" t="str">
        <x:v>Revisión jurídica individual</x:v>
      </x:c>
      <x:c r="AO81" s="18" t="str">
        <x:v>2024_conv2023_ordinario_A-P07</x:v>
      </x:c>
      <x:c r="AP81" s="18" t="n">
        <x:v>1</x:v>
      </x:c>
    </x:row>
    <x:row r="82">
      <x:c r="A82" s="18" t="str">
        <x:v>2024_conv2023_ordinario_A-P08</x:v>
      </x:c>
      <x:c r="B82" s="18" t="n">
        <x:v>2024</x:v>
      </x:c>
      <x:c r="C82" s="18" t="n">
        <x:v>2023</x:v>
      </x:c>
      <x:c r="D82" s="28" t="n">
        <x:v>45626</x:v>
      </x:c>
      <x:c r="E82" s="18" t="str">
        <x:v>Acceso libre</x:v>
      </x:c>
      <x:c r="F82" s="18" t="str">
        <x:v>Segunda parte</x:v>
      </x:c>
      <x:c r="G82" s="18" t="str">
        <x:v>A</x:v>
      </x:c>
      <x:c r="H82" s="18" t="str">
        <x:v>A/B</x:v>
      </x:c>
      <x:c r="I82" s="18" t="str">
        <x:v>Sí</x:v>
      </x:c>
      <x:c r="J82" s="18" t="str">
        <x:v>Modelo A usado como variante canónica; el modelo B oficial está archivado y permuta el orden y/o las opciones.</x:v>
      </x:c>
      <x:c r="K82" s="18" t="n">
        <x:v>8</x:v>
      </x:c>
      <x:c r="L82" s="18" t="str">
        <x:v>No</x:v>
      </x:c>
      <x:c r="M82" s="18" t="str">
        <x:v>¿Hasta qué día podrá disfrutar la prestación por nacimiento y cuidado de menor, como máximo, Carolina Martos?</x:v>
      </x:c>
      <x:c r="N82" s="18" t="str">
        <x:v>31 de diciembre de 2024</x:v>
      </x:c>
      <x:c r="O82" s="18" t="str">
        <x:v>13 de agosto de 2025.</x:v>
      </x:c>
      <x:c r="P82" s="18" t="str">
        <x:v>13 de agosto de 2026.</x:v>
      </x:c>
      <x:c r="Q82" s="18" t="str">
        <x:v>2 de diciembre de 2024. Alejandro Alonso, tiene un contrato con "Señor de La Lage, S.L." con una antigüedad de tres años y cuatro meses. Se ha emitido en su favor un parte de baja por contingencias comunes con fecha 10/09/2023. EI día 10110/2024 ha sido dado de alta médica por curación, sin embargo, Alejandro Alonso no está de acuerdo con esta alta médica y ha decidido presentar su disconformidad.</x:v>
      </x:c>
      <x:c r="R82" s="18" t="str">
        <x:v>S09</x:v>
      </x:c>
      <x:c r="S82" s="18" t="n">
        <x:v>9</x:v>
      </x:c>
      <x:c r="T82" s="18" t="str">
        <x:v>Temario específico Seguridad Social</x:v>
      </x:c>
      <x:c r="U82" s="18" t="str">
        <x:v>Nacimiento y cuidado de menor. Ejercicio corresponsable del cuidado del lactante. Prestación por riesgo durante el embarazo. Prestación por riesgo durante la lactancia natural. Asignación económica por hijo o menor acogido a cargo. Prestación económica por nacimiento o adopción de hijo en supuestos de familias numerosas o monoparentales y en los casos de madres o padres con discapacidad. Prestación por parto o adopción Subsidio por cuidado de menores afectados por cáncer u otra enfermedad grave.</x:v>
      </x:c>
      <x:c r="V82" s="18" t="str">
        <x:v>nacimiento y cuidado de menor</x:v>
      </x:c>
      <x:c r="W82" s="18" t="str"/>
      <x:c r="X82" s="18" t="str"/>
      <x:c r="Y82" s="18" t="str">
        <x:v>Plazos</x:v>
      </x:c>
      <x:c r="Z82" s="18" t="str">
        <x:v>Media</x:v>
      </x:c>
      <x:c r="AA82" s="18" t="str">
        <x:v>nacimiento y cuidado de menor</x:v>
      </x:c>
      <x:c r="AB82" s="18" t="str"/>
      <x:c r="AC82" s="18" t="str"/>
      <x:c r="AD82" s="18" t="str">
        <x:v>No</x:v>
      </x:c>
      <x:c r="AE82" s="18" t="str">
        <x:v>Práctico</x:v>
      </x:c>
      <x:c r="AF82" s="18" t="str">
        <x:v>B</x:v>
      </x:c>
      <x:c r="AG82" s="18" t="str">
        <x:v>B</x:v>
      </x:c>
      <x:c r="AH82" s="18" t="str">
        <x:v>Válida</x:v>
      </x:c>
      <x:c r="AI82" s="18" t="str">
        <x:v>01. Información oficial de la oposición\Exámenes oficiales anteriores\2024 Convocatoria 2023 - Cuestionario libre Modelo A.pdf</x:v>
      </x:c>
      <x:c r="AJ82" s="18" t="str">
        <x:v>https://www.seg-social.es/wps/portal/wss/internet/InformacionUtil/9950/88beb45d-ca83-4bab-8162-f94ef2894562</x:v>
      </x:c>
      <x:c r="AK82" s="18" t="str">
        <x:v>OCR Windows es-ES sobre PDF oficial</x:v>
      </x:c>
      <x:c r="AL82" s="18" t="n">
        <x:v>100</x:v>
      </x:c>
      <x:c r="AM82" s="18" t="str">
        <x:v>Alta</x:v>
      </x:c>
      <x:c r="AN82" s="18" t="str">
        <x:v>Regla jurídica determinista</x:v>
      </x:c>
      <x:c r="AO82" s="18" t="str">
        <x:v>2024_conv2023_ordinario_A-P08</x:v>
      </x:c>
      <x:c r="AP82" s="18" t="n">
        <x:v>1</x:v>
      </x:c>
    </x:row>
    <x:row r="83">
      <x:c r="A83" s="18" t="str">
        <x:v>2024_conv2023_ordinario_A-P09</x:v>
      </x:c>
      <x:c r="B83" s="18" t="n">
        <x:v>2024</x:v>
      </x:c>
      <x:c r="C83" s="18" t="n">
        <x:v>2023</x:v>
      </x:c>
      <x:c r="D83" s="28" t="n">
        <x:v>45626</x:v>
      </x:c>
      <x:c r="E83" s="18" t="str">
        <x:v>Acceso libre</x:v>
      </x:c>
      <x:c r="F83" s="18" t="str">
        <x:v>Segunda parte</x:v>
      </x:c>
      <x:c r="G83" s="18" t="str">
        <x:v>A</x:v>
      </x:c>
      <x:c r="H83" s="18" t="str">
        <x:v>A/B</x:v>
      </x:c>
      <x:c r="I83" s="18" t="str">
        <x:v>Sí</x:v>
      </x:c>
      <x:c r="J83" s="18" t="str">
        <x:v>Modelo A usado como variante canónica; el modelo B oficial está archivado y permuta el orden y/o las opciones.</x:v>
      </x:c>
      <x:c r="K83" s="18" t="n">
        <x:v>9</x:v>
      </x:c>
      <x:c r="L83" s="18" t="str">
        <x:v>No</x:v>
      </x:c>
      <x:c r="M83" s="18" t="str">
        <x:v>¿Qué órgano ha tenido necesariamente que emitir el alta médica de Alejandro Alonso?</x:v>
      </x:c>
      <x:c r="N83" s="18" t="str">
        <x:v>EI médico de familia del Servicio Público de Salud.</x:v>
      </x:c>
      <x:c r="O83" s="18" t="str">
        <x:v>La inspección médica del Instituto Nacional de la Seguridad Social.</x:v>
      </x:c>
      <x:c r="P83" s="18" t="str">
        <x:v>La mutua colaboradora con la Seguridad Social.</x:v>
      </x:c>
      <x:c r="Q83" s="18" t="str">
        <x:v>La inspección médica del Servicio Público de Salud.</x:v>
      </x:c>
      <x:c r="R83" s="18" t="str">
        <x:v>S08</x:v>
      </x:c>
      <x:c r="S83" s="18" t="n">
        <x:v>8</x:v>
      </x:c>
      <x:c r="T83" s="18" t="str">
        <x:v>Temario específico Seguridad Social</x:v>
      </x:c>
      <x:c r="U83" s="18" t="str">
        <x:v>Incapacidad temporal: concepto y causas que motivan esta situación. Beneficiarios. Prestación económica: determinación y cuantía. Nacimiento, duración y extinción del derecho al subsidio. Reconocimiento y pago. Control de la incapacidad. Incapacidad permanente contributiva: concepto. Grados de incapacidad. Prestaciones. Determinación y cuantía. Beneficiarios. Nacimiento, duración y extinción del derecho. Lesiones permanentes no incapacitantes. La calificación y revisión de la incapacidad permanente.</x:v>
      </x:c>
      <x:c r="V83" s="18" t="str">
        <x:v>alta</x:v>
      </x:c>
      <x:c r="W83" s="18" t="str"/>
      <x:c r="X83" s="18" t="str"/>
      <x:c r="Y83" s="18" t="str">
        <x:v>Órganos</x:v>
      </x:c>
      <x:c r="Z83" s="18" t="str">
        <x:v>Media</x:v>
      </x:c>
      <x:c r="AA83" s="18" t="str">
        <x:v>alta</x:v>
      </x:c>
      <x:c r="AB83" s="18" t="str"/>
      <x:c r="AC83" s="18" t="str"/>
      <x:c r="AD83" s="18" t="str">
        <x:v>No</x:v>
      </x:c>
      <x:c r="AE83" s="18" t="str">
        <x:v>Práctico</x:v>
      </x:c>
      <x:c r="AF83" s="18" t="str">
        <x:v>B</x:v>
      </x:c>
      <x:c r="AG83" s="18" t="str">
        <x:v>B</x:v>
      </x:c>
      <x:c r="AH83" s="18" t="str">
        <x:v>Válida</x:v>
      </x:c>
      <x:c r="AI83" s="18" t="str">
        <x:v>01. Información oficial de la oposición\Exámenes oficiales anteriores\2024 Convocatoria 2023 - Cuestionario libre Modelo A.pdf</x:v>
      </x:c>
      <x:c r="AJ83" s="18" t="str">
        <x:v>https://www.seg-social.es/wps/portal/wss/internet/InformacionUtil/9950/88beb45d-ca83-4bab-8162-f94ef2894562</x:v>
      </x:c>
      <x:c r="AK83" s="18" t="str">
        <x:v>OCR Windows es-ES sobre PDF oficial</x:v>
      </x:c>
      <x:c r="AL83" s="18" t="n">
        <x:v>8</x:v>
      </x:c>
      <x:c r="AM83" s="18" t="str">
        <x:v>Media</x:v>
      </x:c>
      <x:c r="AN83" s="18" t="str">
        <x:v>Ponderación de palabras clave</x:v>
      </x:c>
      <x:c r="AO83" s="18" t="str">
        <x:v>2024_conv2023_ordinario_A-P09</x:v>
      </x:c>
      <x:c r="AP83" s="18" t="n">
        <x:v>1</x:v>
      </x:c>
    </x:row>
    <x:row r="84">
      <x:c r="A84" s="18" t="str">
        <x:v>2024_conv2023_ordinario_A-P10</x:v>
      </x:c>
      <x:c r="B84" s="18" t="n">
        <x:v>2024</x:v>
      </x:c>
      <x:c r="C84" s="18" t="n">
        <x:v>2023</x:v>
      </x:c>
      <x:c r="D84" s="28" t="n">
        <x:v>45626</x:v>
      </x:c>
      <x:c r="E84" s="18" t="str">
        <x:v>Acceso libre</x:v>
      </x:c>
      <x:c r="F84" s="18" t="str">
        <x:v>Segunda parte</x:v>
      </x:c>
      <x:c r="G84" s="18" t="str">
        <x:v>A</x:v>
      </x:c>
      <x:c r="H84" s="18" t="str">
        <x:v>A/B</x:v>
      </x:c>
      <x:c r="I84" s="18" t="str">
        <x:v>Sí</x:v>
      </x:c>
      <x:c r="J84" s="18" t="str">
        <x:v>Modelo A usado como variante canónica; el modelo B oficial está archivado y permuta el orden y/o las opciones.</x:v>
      </x:c>
      <x:c r="K84" s="18" t="n">
        <x:v>10</x:v>
      </x:c>
      <x:c r="L84" s="18" t="str">
        <x:v>No</x:v>
      </x:c>
      <x:c r="M84" s="18" t="str">
        <x:v>¿Hasta qué día puede Alejandro Alonso presentar la disconformidad ante el alta médica recibida?</x:v>
      </x:c>
      <x:c r="N84" s="18" t="str">
        <x:v>Hasta eI 20 de octubre de 2024.</x:v>
      </x:c>
      <x:c r="O84" s="18" t="str">
        <x:v>Hasta eI 25 de octubre de 2024.</x:v>
      </x:c>
      <x:c r="P84" s="18" t="str">
        <x:v>Hasta eI 17 de octubre de 2024.</x:v>
      </x:c>
      <x:c r="Q84" s="18" t="str">
        <x:v>Hasta eI día 14 de octubre de 2024. Carlos y Clotilde Palou son dos hermanos que trabajan desde hace 10 años en la empresa "FRAMES S.L.' dedicada a la actividad de venta de material fotográfico. Carlos Palou cumplirá 64 años eI día I de diciembre de 2024 y Clotilde 67 años ei día 5 de diciembre de 2024. Carlos Palou, tras finalizar eI servicio militar obligatorio con una duración de 18 meses, siempre ha trabajado como empleado cotizando al régimen general y a I de diciembre de 2024 acreditará 34 años de cotización. No ha tenido descendencia y desde eI I de diciembre de 2020 tiene reconocida una discapacidad del 65% sin que esta circunstancia le haya afectado a la realización de su trabajo o las condiciones del mismo. Está pensando en jubilarse el 1 de diciembre de este 2024. EI 5 de diciembre, por su parte, Clotilde Palou tendrá 14 años y 6 meses cotizados al régimen general. Clotilde ha tenido 3 hijos, Tomás, de 30 años, nació durante el período en que ella trabajaba en un laboratorio de fotografía, sin embargo, Elena y Andrea de 27 y 28 años de edad, nacieron entre 1996 y 1997 en un período en eI Clotilde no tuvo ninguna actividad laboral ni percibió ningún tipo de ayuda, prestación o subsidio y que se prolongó entre 1994 y 1999. Clotilde quiere informarse sobre sus opciones de jubilación el 5 de diciembre de 2024, si bien, no descarta continuar trabajando, por 10 que acude a una oficina a informarse de ambas opciones.</x:v>
      </x:c>
      <x:c r="R84" s="18" t="str">
        <x:v>S08</x:v>
      </x:c>
      <x:c r="S84" s="18" t="n">
        <x:v>8</x:v>
      </x:c>
      <x:c r="T84" s="18" t="str">
        <x:v>Temario específico Seguridad Social</x:v>
      </x:c>
      <x:c r="U84" s="18" t="str">
        <x:v>Incapacidad temporal: concepto y causas que motivan esta situación. Beneficiarios. Prestación económica: determinación y cuantía. Nacimiento, duración y extinción del derecho al subsidio. Reconocimiento y pago. Control de la incapacidad. Incapacidad permanente contributiva: concepto. Grados de incapacidad. Prestaciones. Determinación y cuantía. Beneficiarios. Nacimiento, duración y extinción del derecho. Lesiones permanentes no incapacitantes. La calificación y revisión de la incapacidad permanente.</x:v>
      </x:c>
      <x:c r="V84" s="18" t="str">
        <x:v>alta</x:v>
      </x:c>
      <x:c r="W84" s="18" t="str"/>
      <x:c r="X84" s="18" t="str"/>
      <x:c r="Y84" s="18" t="str">
        <x:v>Plazos</x:v>
      </x:c>
      <x:c r="Z84" s="18" t="str">
        <x:v>Media</x:v>
      </x:c>
      <x:c r="AA84" s="18" t="str">
        <x:v>alta</x:v>
      </x:c>
      <x:c r="AB84" s="18" t="str"/>
      <x:c r="AC84" s="18" t="str"/>
      <x:c r="AD84" s="18" t="str">
        <x:v>No</x:v>
      </x:c>
      <x:c r="AE84" s="18" t="str">
        <x:v>Práctico</x:v>
      </x:c>
      <x:c r="AF84" s="18" t="str">
        <x:v>D</x:v>
      </x:c>
      <x:c r="AG84" s="18" t="str">
        <x:v>ANULADA</x:v>
      </x:c>
      <x:c r="AH84" s="18" t="str">
        <x:v>Anulada</x:v>
      </x:c>
      <x:c r="AI84" s="18" t="str">
        <x:v>01. Información oficial de la oposición\Exámenes oficiales anteriores\2024 Convocatoria 2023 - Cuestionario libre Modelo A.pdf</x:v>
      </x:c>
      <x:c r="AJ84" s="18" t="str">
        <x:v>https://www.seg-social.es/wps/portal/wss/internet/InformacionUtil/9950/88beb45d-ca83-4bab-8162-f94ef2894562</x:v>
      </x:c>
      <x:c r="AK84" s="18" t="str">
        <x:v>OCR Windows es-ES sobre PDF oficial</x:v>
      </x:c>
      <x:c r="AL84" s="18" t="n">
        <x:v>8</x:v>
      </x:c>
      <x:c r="AM84" s="18" t="str">
        <x:v>Media</x:v>
      </x:c>
      <x:c r="AN84" s="18" t="str">
        <x:v>Ponderación de palabras clave</x:v>
      </x:c>
      <x:c r="AO84" s="18" t="str">
        <x:v>2024_conv2023_ordinario_A-P10</x:v>
      </x:c>
      <x:c r="AP84" s="18" t="n">
        <x:v>1</x:v>
      </x:c>
    </x:row>
    <x:row r="85">
      <x:c r="A85" s="18" t="str">
        <x:v>2024_conv2023_ordinario_A-P11</x:v>
      </x:c>
      <x:c r="B85" s="18" t="n">
        <x:v>2024</x:v>
      </x:c>
      <x:c r="C85" s="18" t="n">
        <x:v>2023</x:v>
      </x:c>
      <x:c r="D85" s="28" t="n">
        <x:v>45626</x:v>
      </x:c>
      <x:c r="E85" s="18" t="str">
        <x:v>Acceso libre</x:v>
      </x:c>
      <x:c r="F85" s="18" t="str">
        <x:v>Segunda parte</x:v>
      </x:c>
      <x:c r="G85" s="18" t="str">
        <x:v>A</x:v>
      </x:c>
      <x:c r="H85" s="18" t="str">
        <x:v>A/B</x:v>
      </x:c>
      <x:c r="I85" s="18" t="str">
        <x:v>Sí</x:v>
      </x:c>
      <x:c r="J85" s="18" t="str">
        <x:v>Modelo A usado como variante canónica; el modelo B oficial está archivado y permuta el orden y/o las opciones.</x:v>
      </x:c>
      <x:c r="K85" s="18" t="n">
        <x:v>11</x:v>
      </x:c>
      <x:c r="L85" s="18" t="str">
        <x:v>No</x:v>
      </x:c>
      <x:c r="M85" s="18" t="str">
        <x:v>A los efectos de acceso de la jubilación de Carlos Palou, ¿Ie afectaría de algún modo la discapacidad que acredita?</x:v>
      </x:c>
      <x:c r="N85" s="18" t="str">
        <x:v>No, la discapacidad a estos efectos no Ie afectaría.</x:v>
      </x:c>
      <x:c r="O85" s="18" t="str">
        <x:v>Sí, la discapacidad que acredita Ie permitiría reducir la edad de acceso en 6 meses.</x:v>
      </x:c>
      <x:c r="P85" s="18" t="str">
        <x:v>Sí, la discapacidad que acredita le permitiría reducir la edad de acceso en I año.</x:v>
      </x:c>
      <x:c r="Q85" s="18" t="str">
        <x:v>Sí, la discapacidad que acredita Ie permitiría reducir la edad de acceso en 2 años.</x:v>
      </x:c>
      <x:c r="R85" s="18" t="str">
        <x:v>S10</x:v>
      </x:c>
      <x:c r="S85" s="18" t="n">
        <x:v>10</x:v>
      </x:c>
      <x:c r="T85" s="18" t="str">
        <x:v>Temario específico Seguridad Social</x:v>
      </x:c>
      <x:c r="U85" s="18" t="str">
        <x:v>Jubilación en la modalidad contributiva: concepto. Jubilación ordinaria: requisitos: especial referencia a la edad de jubilación. Determinación de la cuantía de la prestación: base reguladora y porcentaje. Jubilación anticipada, jubilación parcial y jubilación flexible. Compatibilidad de la pensión de jubilación y el trabajo. Suspensión y extinción de la prestación. Especial referencia a la aplicación de la normativa anterior a la Ley 27/2011.</x:v>
      </x:c>
      <x:c r="V85" s="18" t="str">
        <x:v>jubilación</x:v>
      </x:c>
      <x:c r="W85" s="18" t="str"/>
      <x:c r="X85" s="18" t="str"/>
      <x:c r="Y85" s="18" t="str">
        <x:v>Jubilación</x:v>
      </x:c>
      <x:c r="Z85" s="18" t="str">
        <x:v>Media</x:v>
      </x:c>
      <x:c r="AA85" s="18" t="str">
        <x:v>jubilación</x:v>
      </x:c>
      <x:c r="AB85" s="18" t="str"/>
      <x:c r="AC85" s="18" t="str"/>
      <x:c r="AD85" s="18" t="str">
        <x:v>No</x:v>
      </x:c>
      <x:c r="AE85" s="18" t="str">
        <x:v>Práctico</x:v>
      </x:c>
      <x:c r="AF85" s="18" t="str">
        <x:v>C</x:v>
      </x:c>
      <x:c r="AG85" s="18" t="str">
        <x:v>C</x:v>
      </x:c>
      <x:c r="AH85" s="18" t="str">
        <x:v>Válida</x:v>
      </x:c>
      <x:c r="AI85" s="18" t="str">
        <x:v>01. Información oficial de la oposición\Exámenes oficiales anteriores\2024 Convocatoria 2023 - Cuestionario libre Modelo A.pdf</x:v>
      </x:c>
      <x:c r="AJ85" s="18" t="str">
        <x:v>https://www.seg-social.es/wps/portal/wss/internet/InformacionUtil/9950/88beb45d-ca83-4bab-8162-f94ef2894562</x:v>
      </x:c>
      <x:c r="AK85" s="18" t="str">
        <x:v>OCR Windows es-ES sobre PDF oficial</x:v>
      </x:c>
      <x:c r="AL85" s="18" t="n">
        <x:v>100</x:v>
      </x:c>
      <x:c r="AM85" s="18" t="str">
        <x:v>Alta</x:v>
      </x:c>
      <x:c r="AN85" s="18" t="str">
        <x:v>Regla jurídica determinista</x:v>
      </x:c>
      <x:c r="AO85" s="18" t="str">
        <x:v>2024_conv2023_ordinario_A-P11</x:v>
      </x:c>
      <x:c r="AP85" s="18" t="n">
        <x:v>1</x:v>
      </x:c>
    </x:row>
    <x:row r="86">
      <x:c r="A86" s="18" t="str">
        <x:v>2024_conv2023_ordinario_A-P12</x:v>
      </x:c>
      <x:c r="B86" s="18" t="n">
        <x:v>2024</x:v>
      </x:c>
      <x:c r="C86" s="18" t="n">
        <x:v>2023</x:v>
      </x:c>
      <x:c r="D86" s="28" t="n">
        <x:v>45626</x:v>
      </x:c>
      <x:c r="E86" s="18" t="str">
        <x:v>Acceso libre</x:v>
      </x:c>
      <x:c r="F86" s="18" t="str">
        <x:v>Segunda parte</x:v>
      </x:c>
      <x:c r="G86" s="18" t="str">
        <x:v>A</x:v>
      </x:c>
      <x:c r="H86" s="18" t="str">
        <x:v>A/B</x:v>
      </x:c>
      <x:c r="I86" s="18" t="str">
        <x:v>Sí</x:v>
      </x:c>
      <x:c r="J86" s="18" t="str">
        <x:v>Modelo A usado como variante canónica; el modelo B oficial está archivado y permuta el orden y/o las opciones.</x:v>
      </x:c>
      <x:c r="K86" s="18" t="n">
        <x:v>12</x:v>
      </x:c>
      <x:c r="L86" s="18" t="str">
        <x:v>No</x:v>
      </x:c>
      <x:c r="M86" s="18" t="str">
        <x:v>Suponiendo una base reguladora de la pensión en el momento del acceso a la misma de 2.800 euros, ¿a partir de qué fecha cumpliría Carlos Palou los requisitos de edad y cotización para acceder a la jubilación anticipada por voluntad del trabajador?</x:v>
      </x:c>
      <x:c r="N86" s="18" t="str">
        <x:v>1 de diciembre de 2020.</x:v>
      </x:c>
      <x:c r="O86" s="18" t="str">
        <x:v>I de junio de 2025.</x:v>
      </x:c>
      <x:c r="P86" s="18" t="str">
        <x:v>I de junio de 2024.</x:v>
      </x:c>
      <x:c r="Q86" s="18" t="str">
        <x:v>I de diciembre de 2024.</x:v>
      </x:c>
      <x:c r="R86" s="18" t="str">
        <x:v>S10</x:v>
      </x:c>
      <x:c r="S86" s="18" t="n">
        <x:v>10</x:v>
      </x:c>
      <x:c r="T86" s="18" t="str">
        <x:v>Temario específico Seguridad Social</x:v>
      </x:c>
      <x:c r="U86" s="18" t="str">
        <x:v>Jubilación en la modalidad contributiva: concepto. Jubilación ordinaria: requisitos: especial referencia a la edad de jubilación. Determinación de la cuantía de la prestación: base reguladora y porcentaje. Jubilación anticipada, jubilación parcial y jubilación flexible. Compatibilidad de la pensión de jubilación y el trabajo. Suspensión y extinción de la prestación. Especial referencia a la aplicación de la normativa anterior a la Ley 27/2011.</x:v>
      </x:c>
      <x:c r="V86" s="18" t="str">
        <x:v>jubilación anticipada</x:v>
      </x:c>
      <x:c r="W86" s="18" t="str"/>
      <x:c r="X86" s="18" t="str"/>
      <x:c r="Y86" s="18" t="str">
        <x:v>Cálculos</x:v>
      </x:c>
      <x:c r="Z86" s="18" t="str">
        <x:v>Alta</x:v>
      </x:c>
      <x:c r="AA86" s="18" t="str">
        <x:v>jubilación anticipada</x:v>
      </x:c>
      <x:c r="AB86" s="18" t="str">
        <x:v>ISM</x:v>
      </x:c>
      <x:c r="AC86" s="18" t="str"/>
      <x:c r="AD86" s="18" t="str">
        <x:v>No</x:v>
      </x:c>
      <x:c r="AE86" s="18" t="str">
        <x:v>Práctico</x:v>
      </x:c>
      <x:c r="AF86" s="18" t="str">
        <x:v>D</x:v>
      </x:c>
      <x:c r="AG86" s="18" t="str">
        <x:v>ANULADA</x:v>
      </x:c>
      <x:c r="AH86" s="18" t="str">
        <x:v>Anulada</x:v>
      </x:c>
      <x:c r="AI86" s="18" t="str">
        <x:v>01. Información oficial de la oposición\Exámenes oficiales anteriores\2024 Convocatoria 2023 - Cuestionario libre Modelo A.pdf</x:v>
      </x:c>
      <x:c r="AJ86" s="18" t="str">
        <x:v>https://www.seg-social.es/wps/portal/wss/internet/InformacionUtil/9950/88beb45d-ca83-4bab-8162-f94ef2894562</x:v>
      </x:c>
      <x:c r="AK86" s="18" t="str">
        <x:v>OCR Windows es-ES sobre PDF oficial</x:v>
      </x:c>
      <x:c r="AL86" s="18" t="n">
        <x:v>100</x:v>
      </x:c>
      <x:c r="AM86" s="18" t="str">
        <x:v>Alta</x:v>
      </x:c>
      <x:c r="AN86" s="18" t="str">
        <x:v>Regla jurídica determinista</x:v>
      </x:c>
      <x:c r="AO86" s="18" t="str">
        <x:v>2024_conv2023_ordinario_A-P12</x:v>
      </x:c>
      <x:c r="AP86" s="18" t="n">
        <x:v>1</x:v>
      </x:c>
    </x:row>
    <x:row r="87">
      <x:c r="A87" s="18" t="str">
        <x:v>2024_conv2023_ordinario_A-P13</x:v>
      </x:c>
      <x:c r="B87" s="18" t="n">
        <x:v>2024</x:v>
      </x:c>
      <x:c r="C87" s="18" t="n">
        <x:v>2023</x:v>
      </x:c>
      <x:c r="D87" s="28" t="n">
        <x:v>45626</x:v>
      </x:c>
      <x:c r="E87" s="18" t="str">
        <x:v>Acceso libre</x:v>
      </x:c>
      <x:c r="F87" s="18" t="str">
        <x:v>Segunda parte</x:v>
      </x:c>
      <x:c r="G87" s="18" t="str">
        <x:v>A</x:v>
      </x:c>
      <x:c r="H87" s="18" t="str">
        <x:v>A/B</x:v>
      </x:c>
      <x:c r="I87" s="18" t="str">
        <x:v>Sí</x:v>
      </x:c>
      <x:c r="J87" s="18" t="str">
        <x:v>Modelo A usado como variante canónica; el modelo B oficial está archivado y permuta el orden y/o las opciones.</x:v>
      </x:c>
      <x:c r="K87" s="18" t="n">
        <x:v>13</x:v>
      </x:c>
      <x:c r="L87" s="18" t="str">
        <x:v>No</x:v>
      </x:c>
      <x:c r="M87" s="18" t="str">
        <x:v>¿Podría jubilase Clotilde Palou el 5 de diciembre de 2024?</x:v>
      </x:c>
      <x:c r="N87" s="18" t="str">
        <x:v>No, no podría tendría que continuar trabajando 3 meses más para cumplir con los requisitos mínimos exigidos.</x:v>
      </x:c>
      <x:c r="O87" s="18" t="str">
        <x:v>No, no podría jubilarse, tendría que continuar trabajando 6 meses más para cumplir con los requisitos mínimos exigidos.</x:v>
      </x:c>
      <x:c r="P87" s="18" t="str">
        <x:v>Si, porque ya cumplía los requisitos mínimos de acceso a la jubilación desde eI 5 de diciembre de 2023.</x:v>
      </x:c>
      <x:c r="Q87" s="18" t="str">
        <x:v>Si, podria jubilarse en esa fecha, 5 de diciembre de 2024. Damián Jordá también trabaja en la empresa "FRAMES S.L.", en su caso, con un contrato indefinido desde el año 2000. En toda su vida laboral acreditará, a 15 de diciembre 2024, un total de 25 años. Damián cumplió 64 años e' dia 15 de junio de 2024 y tiene una discapacidad reconocida del 33% desde el año 1990, situación que se mantiene invariable hasta hoy. Está interesado en jubilarse parcialmente y la empresa Ie ha manifestado su conformidad ya que contrataría a un trabajador desempleado con contrato indefinido a tiempo completo y él debería realizar una jornada del 50%, comprometiéndose la empresa a cumplir con todos los requisitos para eI acceso a esta modalidad de jubilación que le corresponden.</x:v>
      </x:c>
      <x:c r="R87" s="18" t="str">
        <x:v>S10</x:v>
      </x:c>
      <x:c r="S87" s="18" t="n">
        <x:v>10</x:v>
      </x:c>
      <x:c r="T87" s="18" t="str">
        <x:v>Temario específico Seguridad Social</x:v>
      </x:c>
      <x:c r="U87" s="18" t="str">
        <x:v>Jubilación en la modalidad contributiva: concepto. Jubilación ordinaria: requisitos: especial referencia a la edad de jubilación. Determinación de la cuantía de la prestación: base reguladora y porcentaje. Jubilación anticipada, jubilación parcial y jubilación flexible. Compatibilidad de la pensión de jubilación y el trabajo. Suspensión y extinción de la prestación. Especial referencia a la aplicación de la normativa anterior a la Ley 27/2011.</x:v>
      </x:c>
      <x:c r="V87" s="18" t="str">
        <x:v>S10</x:v>
      </x:c>
      <x:c r="W87" s="18" t="str"/>
      <x:c r="X87" s="18" t="str"/>
      <x:c r="Y87" s="18" t="str">
        <x:v>Jubilación</x:v>
      </x:c>
      <x:c r="Z87" s="18" t="str">
        <x:v>Alta</x:v>
      </x:c>
      <x:c r="AA87" s="18" t="str">
        <x:v>S10</x:v>
      </x:c>
      <x:c r="AB87" s="18" t="str"/>
      <x:c r="AC87" s="18" t="str"/>
      <x:c r="AD87" s="18" t="str">
        <x:v>No</x:v>
      </x:c>
      <x:c r="AE87" s="18" t="str">
        <x:v>Práctico</x:v>
      </x:c>
      <x:c r="AF87" s="18" t="str">
        <x:v>D</x:v>
      </x:c>
      <x:c r="AG87" s="18" t="str">
        <x:v>D</x:v>
      </x:c>
      <x:c r="AH87" s="18" t="str">
        <x:v>Válida</x:v>
      </x:c>
      <x:c r="AI87" s="18" t="str">
        <x:v>01. Información oficial de la oposición\Exámenes oficiales anteriores\2024 Convocatoria 2023 - Cuestionario libre Modelo A.pdf</x:v>
      </x:c>
      <x:c r="AJ87" s="18" t="str">
        <x:v>https://www.seg-social.es/wps/portal/wss/internet/InformacionUtil/9950/88beb45d-ca83-4bab-8162-f94ef2894562</x:v>
      </x:c>
      <x:c r="AK87" s="18" t="str">
        <x:v>OCR Windows es-ES sobre PDF oficial</x:v>
      </x:c>
      <x:c r="AL87" s="18" t="n">
        <x:v>100</x:v>
      </x:c>
      <x:c r="AM87" s="18" t="str">
        <x:v>Alta</x:v>
      </x:c>
      <x:c r="AN87" s="18" t="str">
        <x:v>Regla jurídica determinista</x:v>
      </x:c>
      <x:c r="AO87" s="18" t="str">
        <x:v>2024_conv2023_ordinario_A-P13</x:v>
      </x:c>
      <x:c r="AP87" s="18" t="n">
        <x:v>1</x:v>
      </x:c>
    </x:row>
    <x:row r="88">
      <x:c r="A88" s="18" t="str">
        <x:v>2024_conv2023_ordinario_A-P14</x:v>
      </x:c>
      <x:c r="B88" s="18" t="n">
        <x:v>2024</x:v>
      </x:c>
      <x:c r="C88" s="18" t="n">
        <x:v>2023</x:v>
      </x:c>
      <x:c r="D88" s="28" t="n">
        <x:v>45626</x:v>
      </x:c>
      <x:c r="E88" s="18" t="str">
        <x:v>Acceso libre</x:v>
      </x:c>
      <x:c r="F88" s="18" t="str">
        <x:v>Segunda parte</x:v>
      </x:c>
      <x:c r="G88" s="18" t="str">
        <x:v>A</x:v>
      </x:c>
      <x:c r="H88" s="18" t="str">
        <x:v>A/B</x:v>
      </x:c>
      <x:c r="I88" s="18" t="str">
        <x:v>Sí</x:v>
      </x:c>
      <x:c r="J88" s="18" t="str">
        <x:v>Modelo A usado como variante canónica; el modelo B oficial está archivado y permuta el orden y/o las opciones.</x:v>
      </x:c>
      <x:c r="K88" s="18" t="n">
        <x:v>14</x:v>
      </x:c>
      <x:c r="L88" s="18" t="str">
        <x:v>No</x:v>
      </x:c>
      <x:c r="M88" s="18" t="str">
        <x:v>¿A partir de qué fecha Damián Jordá cumpliría con los requisitos de edad mínima de acceso y años de cotización necesarios para el acceso a la jubilación parcial, suponiendo que la empresa cumple con las condiciones que le corresponderían?</x:v>
      </x:c>
      <x:c r="N88" s="18" t="str">
        <x:v>A partir del 15 de junio de 2024.</x:v>
      </x:c>
      <x:c r="O88" s="18" t="str">
        <x:v>A partir del 15 de diciembre de 2024.</x:v>
      </x:c>
      <x:c r="P88" s="18" t="str">
        <x:v>A partir del 15 de junio 2025.</x:v>
      </x:c>
      <x:c r="Q88" s="18" t="str">
        <x:v>A partir del 15 de diciembre de 2025.</x:v>
      </x:c>
      <x:c r="R88" s="18" t="str">
        <x:v>S10</x:v>
      </x:c>
      <x:c r="S88" s="18" t="n">
        <x:v>10</x:v>
      </x:c>
      <x:c r="T88" s="18" t="str">
        <x:v>Temario específico Seguridad Social</x:v>
      </x:c>
      <x:c r="U88" s="18" t="str">
        <x:v>Jubilación en la modalidad contributiva: concepto. Jubilación ordinaria: requisitos: especial referencia a la edad de jubilación. Determinación de la cuantía de la prestación: base reguladora y porcentaje. Jubilación anticipada, jubilación parcial y jubilación flexible. Compatibilidad de la pensión de jubilación y el trabajo. Suspensión y extinción de la prestación. Especial referencia a la aplicación de la normativa anterior a la Ley 27/2011.</x:v>
      </x:c>
      <x:c r="V88" s="18" t="str">
        <x:v>jubilación</x:v>
      </x:c>
      <x:c r="W88" s="18" t="str"/>
      <x:c r="X88" s="18" t="str"/>
      <x:c r="Y88" s="18" t="str">
        <x:v>Requisitos</x:v>
      </x:c>
      <x:c r="Z88" s="18" t="str">
        <x:v>Media</x:v>
      </x:c>
      <x:c r="AA88" s="18" t="str">
        <x:v>jubilación</x:v>
      </x:c>
      <x:c r="AB88" s="18" t="str"/>
      <x:c r="AC88" s="18" t="str"/>
      <x:c r="AD88" s="18" t="str">
        <x:v>No</x:v>
      </x:c>
      <x:c r="AE88" s="18" t="str">
        <x:v>Práctico</x:v>
      </x:c>
      <x:c r="AF88" s="18" t="str">
        <x:v>B</x:v>
      </x:c>
      <x:c r="AG88" s="18" t="str">
        <x:v>B</x:v>
      </x:c>
      <x:c r="AH88" s="18" t="str">
        <x:v>Válida</x:v>
      </x:c>
      <x:c r="AI88" s="18" t="str">
        <x:v>01. Información oficial de la oposición\Exámenes oficiales anteriores\2024 Convocatoria 2023 - Cuestionario libre Modelo A.pdf</x:v>
      </x:c>
      <x:c r="AJ88" s="18" t="str">
        <x:v>https://www.seg-social.es/wps/portal/wss/internet/InformacionUtil/9950/88beb45d-ca83-4bab-8162-f94ef2894562</x:v>
      </x:c>
      <x:c r="AK88" s="18" t="str">
        <x:v>OCR Windows es-ES sobre PDF oficial</x:v>
      </x:c>
      <x:c r="AL88" s="18" t="n">
        <x:v>100</x:v>
      </x:c>
      <x:c r="AM88" s="18" t="str">
        <x:v>Alta</x:v>
      </x:c>
      <x:c r="AN88" s="18" t="str">
        <x:v>Regla jurídica determinista</x:v>
      </x:c>
      <x:c r="AO88" s="18" t="str">
        <x:v>2024_conv2023_ordinario_A-P14</x:v>
      </x:c>
      <x:c r="AP88" s="18" t="n">
        <x:v>1</x:v>
      </x:c>
    </x:row>
    <x:row r="89">
      <x:c r="A89" s="18" t="str">
        <x:v>2024_conv2023_ordinario_A-P15</x:v>
      </x:c>
      <x:c r="B89" s="18" t="n">
        <x:v>2024</x:v>
      </x:c>
      <x:c r="C89" s="18" t="n">
        <x:v>2023</x:v>
      </x:c>
      <x:c r="D89" s="28" t="n">
        <x:v>45626</x:v>
      </x:c>
      <x:c r="E89" s="18" t="str">
        <x:v>Acceso libre</x:v>
      </x:c>
      <x:c r="F89" s="18" t="str">
        <x:v>Segunda parte</x:v>
      </x:c>
      <x:c r="G89" s="18" t="str">
        <x:v>A</x:v>
      </x:c>
      <x:c r="H89" s="18" t="str">
        <x:v>A/B</x:v>
      </x:c>
      <x:c r="I89" s="18" t="str">
        <x:v>Sí</x:v>
      </x:c>
      <x:c r="J89" s="18" t="str">
        <x:v>Modelo A usado como variante canónica; el modelo B oficial está archivado y permuta el orden y/o las opciones.</x:v>
      </x:c>
      <x:c r="K89" s="18" t="n">
        <x:v>15</x:v>
      </x:c>
      <x:c r="L89" s="18" t="str">
        <x:v>No</x:v>
      </x:c>
      <x:c r="M89" s="18" t="str">
        <x:v>¿Qué antigüedad mínima deberá acreditar en la empresa Damián Jordá para poder acogerse a la jubilación parcial?</x:v>
      </x:c>
      <x:c r="N89" s="18" t="str">
        <x:v>4 años de antigüedad.</x:v>
      </x:c>
      <x:c r="O89" s="18" t="str">
        <x:v>6 años de antigüedad acumulados con la empresa con anterioridad a la fecha de acceso a la jubilación parcial.</x:v>
      </x:c>
      <x:c r="P89" s="18" t="str">
        <x:v>6 años de antigüedad inmediatamente anteriores a la fecha de la jubilación parcial.</x:v>
      </x:c>
      <x:c r="Q89" s="18" t="str">
        <x:v>No se requiere antigüedad como requisito para acceder a esta modalidad de jubilación. La empresa "Señor de La Lage, S.L," recibió eI día 10 de octubre de 2024 una reclamación de deuda por unas diferencias en la cotización del mes de marzo de 2024 y por un importe de 25 euros (principal y recargo incluido), que abonó el día 6 de noviembre de 2024 mediante transferencia a una cuenta bancaria de la Tesorería General de la Seguridad Social de otra entidad financiera, donde se recibieron los fondos eI día 7 de noviembre de 2024.</x:v>
      </x:c>
      <x:c r="R89" s="18" t="str">
        <x:v>S10</x:v>
      </x:c>
      <x:c r="S89" s="18" t="n">
        <x:v>10</x:v>
      </x:c>
      <x:c r="T89" s="18" t="str">
        <x:v>Temario específico Seguridad Social</x:v>
      </x:c>
      <x:c r="U89" s="18" t="str">
        <x:v>Jubilación en la modalidad contributiva: concepto. Jubilación ordinaria: requisitos: especial referencia a la edad de jubilación. Determinación de la cuantía de la prestación: base reguladora y porcentaje. Jubilación anticipada, jubilación parcial y jubilación flexible. Compatibilidad de la pensión de jubilación y el trabajo. Suspensión y extinción de la prestación. Especial referencia a la aplicación de la normativa anterior a la Ley 27/2011.</x:v>
      </x:c>
      <x:c r="V89" s="18" t="str">
        <x:v>jubilación</x:v>
      </x:c>
      <x:c r="W89" s="18" t="str"/>
      <x:c r="X89" s="18" t="str"/>
      <x:c r="Y89" s="18" t="str">
        <x:v>Jubilación</x:v>
      </x:c>
      <x:c r="Z89" s="18" t="str">
        <x:v>Media</x:v>
      </x:c>
      <x:c r="AA89" s="18" t="str">
        <x:v>jubilación</x:v>
      </x:c>
      <x:c r="AB89" s="18" t="str"/>
      <x:c r="AC89" s="18" t="str"/>
      <x:c r="AD89" s="18" t="str">
        <x:v>No</x:v>
      </x:c>
      <x:c r="AE89" s="18" t="str">
        <x:v>Práctico</x:v>
      </x:c>
      <x:c r="AF89" s="18" t="str">
        <x:v>C</x:v>
      </x:c>
      <x:c r="AG89" s="18" t="str">
        <x:v>C</x:v>
      </x:c>
      <x:c r="AH89" s="18" t="str">
        <x:v>Válida</x:v>
      </x:c>
      <x:c r="AI89" s="18" t="str">
        <x:v>01. Información oficial de la oposición\Exámenes oficiales anteriores\2024 Convocatoria 2023 - Cuestionario libre Modelo A.pdf</x:v>
      </x:c>
      <x:c r="AJ89" s="18" t="str">
        <x:v>https://www.seg-social.es/wps/portal/wss/internet/InformacionUtil/9950/88beb45d-ca83-4bab-8162-f94ef2894562</x:v>
      </x:c>
      <x:c r="AK89" s="18" t="str">
        <x:v>OCR Windows es-ES sobre PDF oficial</x:v>
      </x:c>
      <x:c r="AL89" s="18" t="n">
        <x:v>100</x:v>
      </x:c>
      <x:c r="AM89" s="18" t="str">
        <x:v>Alta</x:v>
      </x:c>
      <x:c r="AN89" s="18" t="str">
        <x:v>Regla jurídica determinista</x:v>
      </x:c>
      <x:c r="AO89" s="18" t="str">
        <x:v>2024_conv2023_ordinario_A-P15</x:v>
      </x:c>
      <x:c r="AP89" s="18" t="n">
        <x:v>1</x:v>
      </x:c>
    </x:row>
    <x:row r="90">
      <x:c r="A90" s="18" t="str">
        <x:v>2024_conv2023_ordinario_A-P16</x:v>
      </x:c>
      <x:c r="B90" s="18" t="n">
        <x:v>2024</x:v>
      </x:c>
      <x:c r="C90" s="18" t="n">
        <x:v>2023</x:v>
      </x:c>
      <x:c r="D90" s="28" t="n">
        <x:v>45626</x:v>
      </x:c>
      <x:c r="E90" s="18" t="str">
        <x:v>Acceso libre</x:v>
      </x:c>
      <x:c r="F90" s="18" t="str">
        <x:v>Segunda parte</x:v>
      </x:c>
      <x:c r="G90" s="18" t="str">
        <x:v>A</x:v>
      </x:c>
      <x:c r="H90" s="18" t="str">
        <x:v>A/B</x:v>
      </x:c>
      <x:c r="I90" s="18" t="str">
        <x:v>Sí</x:v>
      </x:c>
      <x:c r="J90" s="18" t="str">
        <x:v>Modelo A usado como variante canónica; el modelo B oficial está archivado y permuta el orden y/o las opciones.</x:v>
      </x:c>
      <x:c r="K90" s="18" t="n">
        <x:v>16</x:v>
      </x:c>
      <x:c r="L90" s="18" t="str">
        <x:v>Sí</x:v>
      </x:c>
      <x:c r="M90" s="18" t="str">
        <x:v>En relación con la reclamación de deuda por diferencias en la cotización del mes marzo de 2024, recibida el día 10 de octubre de 2024, indique hasta que día deberá de hacerse efectivo el pago:</x:v>
      </x:c>
      <x:c r="N90" s="18" t="str">
        <x:v>10 de noviembre de 2024.</x:v>
      </x:c>
      <x:c r="O90" s="18" t="str">
        <x:v>30 de noviembre de 2024.</x:v>
      </x:c>
      <x:c r="P90" s="18" t="str">
        <x:v>31 de octubre de 2024.</x:v>
      </x:c>
      <x:c r="Q90" s="18" t="str">
        <x:v>5 de noviembre 2024. La empresa "Señor de La Lage, S.L." ha decidido prescindir de los servicios de uno de sus trabajadores, concretamente de Juan Santacruz y no prorrogar el contrato temporal que finaliza el día 5 de diciembre de 2024.</x:v>
      </x:c>
      <x:c r="R90" s="18" t="str">
        <x:v>S05</x:v>
      </x:c>
      <x:c r="S90" s="18" t="n">
        <x:v>5</x:v>
      </x:c>
      <x:c r="T90" s="18" t="str">
        <x:v>Temario específico Seguridad Social</x:v>
      </x:c>
      <x:c r="U90" s="18" t="str">
        <x:v>La gestión recaudatoria: concepto, competencia y objeto. Responsables del pago. Requisitos para el pago. Medios de pago. Control de recaudación. Revisión de los actos de gestión recaudatoria. La recaudación en periodo voluntario. Efectos de la falta de cotización en período reglamentario. Recaudación de otros recursos. Aplazamientos. Devolución de ingresos indebidos. Capital coste de pensiones.</x:v>
      </x:c>
      <x:c r="V90" s="18" t="str">
        <x:v>S05</x:v>
      </x:c>
      <x:c r="W90" s="18" t="str"/>
      <x:c r="X90" s="18" t="str"/>
      <x:c r="Y90" s="18" t="str">
        <x:v>Plazos</x:v>
      </x:c>
      <x:c r="Z90" s="18" t="str">
        <x:v>Alta</x:v>
      </x:c>
      <x:c r="AA90" s="18" t="str">
        <x:v>S05</x:v>
      </x:c>
      <x:c r="AB90" s="18" t="str"/>
      <x:c r="AC90" s="18" t="str"/>
      <x:c r="AD90" s="18" t="str">
        <x:v>No</x:v>
      </x:c>
      <x:c r="AE90" s="18" t="str">
        <x:v>Práctico</x:v>
      </x:c>
      <x:c r="AF90" s="18" t="str">
        <x:v>D</x:v>
      </x:c>
      <x:c r="AG90" s="18" t="str">
        <x:v>D</x:v>
      </x:c>
      <x:c r="AH90" s="18" t="str">
        <x:v>Válida</x:v>
      </x:c>
      <x:c r="AI90" s="18" t="str">
        <x:v>01. Información oficial de la oposición\Exámenes oficiales anteriores\2024 Convocatoria 2023 - Cuestionario libre Modelo A.pdf</x:v>
      </x:c>
      <x:c r="AJ90" s="18" t="str">
        <x:v>https://www.seg-social.es/wps/portal/wss/internet/InformacionUtil/9950/88beb45d-ca83-4bab-8162-f94ef2894562</x:v>
      </x:c>
      <x:c r="AK90" s="18" t="str">
        <x:v>OCR Windows es-ES sobre PDF oficial</x:v>
      </x:c>
      <x:c r="AL90" s="18" t="n">
        <x:v>100</x:v>
      </x:c>
      <x:c r="AM90" s="18" t="str">
        <x:v>Alta</x:v>
      </x:c>
      <x:c r="AN90" s="18" t="str">
        <x:v>Regla jurídica determinista</x:v>
      </x:c>
      <x:c r="AO90" s="18" t="str">
        <x:v>2024_conv2023_ordinario_A-P16</x:v>
      </x:c>
      <x:c r="AP90" s="18" t="n">
        <x:v>1</x:v>
      </x:c>
    </x:row>
    <x:row r="91">
      <x:c r="A91" s="18" t="str">
        <x:v>2024_conv2023_ordinario_A-P17</x:v>
      </x:c>
      <x:c r="B91" s="18" t="n">
        <x:v>2024</x:v>
      </x:c>
      <x:c r="C91" s="18" t="n">
        <x:v>2023</x:v>
      </x:c>
      <x:c r="D91" s="28" t="n">
        <x:v>45626</x:v>
      </x:c>
      <x:c r="E91" s="18" t="str">
        <x:v>Acceso libre</x:v>
      </x:c>
      <x:c r="F91" s="18" t="str">
        <x:v>Segunda parte</x:v>
      </x:c>
      <x:c r="G91" s="18" t="str">
        <x:v>A</x:v>
      </x:c>
      <x:c r="H91" s="18" t="str">
        <x:v>A/B</x:v>
      </x:c>
      <x:c r="I91" s="18" t="str">
        <x:v>Sí</x:v>
      </x:c>
      <x:c r="J91" s="18" t="str">
        <x:v>Modelo A usado como variante canónica; el modelo B oficial está archivado y permuta el orden y/o las opciones.</x:v>
      </x:c>
      <x:c r="K91" s="18" t="n">
        <x:v>17</x:v>
      </x:c>
      <x:c r="L91" s="18" t="str">
        <x:v>Sí</x:v>
      </x:c>
      <x:c r="M91" s="18" t="str">
        <x:v>¿Cuál es el último día que la empresa "Señor de La Lage, S.L." tiene para comunicar la baja del trabajador Juan Santacruz en la Seguridad Social?</x:v>
      </x:c>
      <x:c r="N91" s="18" t="str">
        <x:v>EI día 10 de diciembre de 2024.</x:v>
      </x:c>
      <x:c r="O91" s="18" t="str">
        <x:v>EI día II de diciembre de 2024.</x:v>
      </x:c>
      <x:c r="P91" s="18" t="str">
        <x:v>EI día 8 de diciembre de 2024.</x:v>
      </x:c>
      <x:c r="Q91" s="18" t="str">
        <x:v>EI día 13 de diciembre de 2024. Carolina Martos, trabajadora de la empresa "Señor de La Lage, S.L." desde hace dos años con un contrato a tiempo completo, ha tenido dos hijos el 13/08/2024. Ha decidido disfrutar inicialmente sólo de las seis semanas obligatorias tras eI parto para disfrutar las semanas restantes de la prestación por nacimiento y cuidado de menor más adelante.</x:v>
      </x:c>
      <x:c r="R91" s="18" t="str">
        <x:v>S03</x:v>
      </x:c>
      <x:c r="S91" s="18" t="n">
        <x:v>3</x:v>
      </x:c>
      <x:c r="T91" s="18" t="str">
        <x:v>Temario específico Seguridad Social</x:v>
      </x:c>
      <x:c r="U91" s="18" t="str">
        <x:v>Normas sobre afiliación. Altas y bajas en el régimen general. Procedimiento y efectos. El convenio especial y otras situaciones asimiladas a la del alta. Encuadramiento e inscripción.</x:v>
      </x:c>
      <x:c r="V91" s="18" t="str">
        <x:v>baja</x:v>
      </x:c>
      <x:c r="W91" s="18" t="str"/>
      <x:c r="X91" s="18" t="str"/>
      <x:c r="Y91" s="18" t="str">
        <x:v>Afiliación, altas y bajas</x:v>
      </x:c>
      <x:c r="Z91" s="18" t="str">
        <x:v>Media</x:v>
      </x:c>
      <x:c r="AA91" s="18" t="str">
        <x:v>baja</x:v>
      </x:c>
      <x:c r="AB91" s="18" t="str"/>
      <x:c r="AC91" s="18" t="str"/>
      <x:c r="AD91" s="18" t="str">
        <x:v>No</x:v>
      </x:c>
      <x:c r="AE91" s="18" t="str">
        <x:v>Práctico</x:v>
      </x:c>
      <x:c r="AF91" s="18" t="str">
        <x:v>C</x:v>
      </x:c>
      <x:c r="AG91" s="18" t="str">
        <x:v>C</x:v>
      </x:c>
      <x:c r="AH91" s="18" t="str">
        <x:v>Válida</x:v>
      </x:c>
      <x:c r="AI91" s="18" t="str">
        <x:v>01. Información oficial de la oposición\Exámenes oficiales anteriores\2024 Convocatoria 2023 - Cuestionario libre Modelo A.pdf</x:v>
      </x:c>
      <x:c r="AJ91" s="18" t="str">
        <x:v>https://www.seg-social.es/wps/portal/wss/internet/InformacionUtil/9950/88beb45d-ca83-4bab-8162-f94ef2894562</x:v>
      </x:c>
      <x:c r="AK91" s="18" t="str">
        <x:v>OCR Windows es-ES sobre PDF oficial</x:v>
      </x:c>
      <x:c r="AL91" s="18" t="n">
        <x:v>7</x:v>
      </x:c>
      <x:c r="AM91" s="18" t="str">
        <x:v>Media</x:v>
      </x:c>
      <x:c r="AN91" s="18" t="str">
        <x:v>Ponderación de palabras clave</x:v>
      </x:c>
      <x:c r="AO91" s="18" t="str">
        <x:v>2024_conv2023_ordinario_A-P17</x:v>
      </x:c>
      <x:c r="AP91" s="18" t="n">
        <x:v>1</x:v>
      </x:c>
    </x:row>
    <x:row r="92">
      <x:c r="A92" s="18" t="str">
        <x:v>2024_conv2023_ordinario_A-P18</x:v>
      </x:c>
      <x:c r="B92" s="18" t="n">
        <x:v>2024</x:v>
      </x:c>
      <x:c r="C92" s="18" t="n">
        <x:v>2023</x:v>
      </x:c>
      <x:c r="D92" s="28" t="n">
        <x:v>45626</x:v>
      </x:c>
      <x:c r="E92" s="18" t="str">
        <x:v>Acceso libre</x:v>
      </x:c>
      <x:c r="F92" s="18" t="str">
        <x:v>Segunda parte</x:v>
      </x:c>
      <x:c r="G92" s="18" t="str">
        <x:v>A</x:v>
      </x:c>
      <x:c r="H92" s="18" t="str">
        <x:v>A/B</x:v>
      </x:c>
      <x:c r="I92" s="18" t="str">
        <x:v>Sí</x:v>
      </x:c>
      <x:c r="J92" s="18" t="str">
        <x:v>Modelo A usado como variante canónica; el modelo B oficial está archivado y permuta el orden y/o las opciones.</x:v>
      </x:c>
      <x:c r="K92" s="18" t="n">
        <x:v>18</x:v>
      </x:c>
      <x:c r="L92" s="18" t="str">
        <x:v>Sí</x:v>
      </x:c>
      <x:c r="M92" s="18" t="str">
        <x:v>La base de cotización por contingencias comunes ¿de qué mes se toma para calcular la base reguladora de la prestación por nacimiento y cuidado de menor de la trabajadora Carolina Martos?</x:v>
      </x:c>
      <x:c r="N92" s="18" t="str">
        <x:v>Agosto.</x:v>
      </x:c>
      <x:c r="O92" s="18" t="str">
        <x:v>Septiembre.</x:v>
      </x:c>
      <x:c r="P92" s="18" t="str">
        <x:v>Julio.</x:v>
      </x:c>
      <x:c r="Q92" s="18" t="str">
        <x:v>Junio.</x:v>
      </x:c>
      <x:c r="R92" s="18" t="str">
        <x:v>S09</x:v>
      </x:c>
      <x:c r="S92" s="18" t="n">
        <x:v>9</x:v>
      </x:c>
      <x:c r="T92" s="18" t="str">
        <x:v>Temario específico Seguridad Social</x:v>
      </x:c>
      <x:c r="U92" s="18" t="str">
        <x:v>Nacimiento y cuidado de menor. Ejercicio corresponsable del cuidado del lactante. Prestación por riesgo durante el embarazo. Prestación por riesgo durante la lactancia natural. Asignación económica por hijo o menor acogido a cargo. Prestación económica por nacimiento o adopción de hijo en supuestos de familias numerosas o monoparentales y en los casos de madres o padres con discapacidad. Prestación por parto o adopción Subsidio por cuidado de menores afectados por cáncer u otra enfermedad grave.</x:v>
      </x:c>
      <x:c r="V92" s="18" t="str">
        <x:v>base de cotización</x:v>
      </x:c>
      <x:c r="W92" s="18" t="str"/>
      <x:c r="X92" s="18" t="str"/>
      <x:c r="Y92" s="18" t="str">
        <x:v>Cálculos</x:v>
      </x:c>
      <x:c r="Z92" s="18" t="str">
        <x:v>Media</x:v>
      </x:c>
      <x:c r="AA92" s="18" t="str">
        <x:v>base de cotización</x:v>
      </x:c>
      <x:c r="AB92" s="18" t="str"/>
      <x:c r="AC92" s="18" t="str"/>
      <x:c r="AD92" s="18" t="str">
        <x:v>No</x:v>
      </x:c>
      <x:c r="AE92" s="18" t="str">
        <x:v>Práctico</x:v>
      </x:c>
      <x:c r="AF92" s="18" t="str">
        <x:v>D</x:v>
      </x:c>
      <x:c r="AG92" s="18" t="str">
        <x:v>D</x:v>
      </x:c>
      <x:c r="AH92" s="18" t="str">
        <x:v>Válida</x:v>
      </x:c>
      <x:c r="AI92" s="18" t="str">
        <x:v>01. Información oficial de la oposición\Exámenes oficiales anteriores\2024 Convocatoria 2023 - Cuestionario libre Modelo A.pdf</x:v>
      </x:c>
      <x:c r="AJ92" s="18" t="str">
        <x:v>https://www.seg-social.es/wps/portal/wss/internet/InformacionUtil/9950/88beb45d-ca83-4bab-8162-f94ef2894562</x:v>
      </x:c>
      <x:c r="AK92" s="18" t="str">
        <x:v>OCR Windows es-ES sobre PDF oficial</x:v>
      </x:c>
      <x:c r="AL92" s="18" t="n">
        <x:v>100</x:v>
      </x:c>
      <x:c r="AM92" s="18" t="str">
        <x:v>Alta</x:v>
      </x:c>
      <x:c r="AN92" s="18" t="str">
        <x:v>Revisión jurídica individual</x:v>
      </x:c>
      <x:c r="AO92" s="18" t="str">
        <x:v>2024_conv2023_ordinario_A-P18</x:v>
      </x:c>
      <x:c r="AP92" s="18" t="n">
        <x:v>1</x:v>
      </x:c>
    </x:row>
    <x:row r="93">
      <x:c r="A93" s="18" t="str">
        <x:v>2025_conv2023_extraordinario-T01</x:v>
      </x:c>
      <x:c r="B93" s="18" t="n">
        <x:v>2025</x:v>
      </x:c>
      <x:c r="C93" s="18" t="n">
        <x:v>2023</x:v>
      </x:c>
      <x:c r="D93" s="28" t="n">
        <x:v>45682</x:v>
      </x:c>
      <x:c r="E93" s="18" t="str">
        <x:v>Acceso libre</x:v>
      </x:c>
      <x:c r="F93" s="18" t="str">
        <x:v>Primera parte</x:v>
      </x:c>
      <x:c r="G93" s="18" t="str">
        <x:v>Extraordinario</x:v>
      </x:c>
      <x:c r="H93" s="18" t="str">
        <x:v>Único</x:v>
      </x:c>
      <x:c r="I93" s="18" t="str">
        <x:v>Sí</x:v>
      </x:c>
      <x:c r="J93" s="18" t="str">
        <x:v>Cuestionario extraordinario sin modelo paralelo.</x:v>
      </x:c>
      <x:c r="K93" s="18" t="n">
        <x:v>1</x:v>
      </x:c>
      <x:c r="L93" s="18" t="str">
        <x:v>No</x:v>
      </x:c>
      <x:c r="M93" s="18" t="str">
        <x:v>De acuerdo con lo establecido en el artículo 8 de la Constitución Española, las Fuerzas Armadas, constituidas por el Ejército de Tierra, la Armada y el Ejército del Aire, tienen como misión garantizar la soberanía e independencia de España, defender su integridad territorial y el ordenamiento constitucional. Regulará las bases de la organización militar conforme a los principios de la presente Constitución:</x:v>
      </x:c>
      <x:c r="N93" s="18" t="str">
        <x:v>Una ley orgánica.</x:v>
      </x:c>
      <x:c r="O93" s="18" t="str">
        <x:v>Una ley ordinaria.</x:v>
      </x:c>
      <x:c r="P93" s="18" t="str">
        <x:v>Un Real Decreto Legislativo.</x:v>
      </x:c>
      <x:c r="Q93" s="18" t="str">
        <x:v>Un Real Decreto Ley.</x:v>
      </x:c>
      <x:c r="R93" s="18" t="str">
        <x:v>G01</x:v>
      </x:c>
      <x:c r="S93" s="18" t="n">
        <x:v>1</x:v>
      </x:c>
      <x:c r="T93" s="18" t="str">
        <x:v>Temario general</x:v>
      </x:c>
      <x:c r="U93" s="18" t="str">
        <x:v>La Constitución Española de 1978: Estructura y contenido. La reforma de la Constitución.</x:v>
      </x:c>
      <x:c r="V93" s="18" t="str">
        <x:v>G01</x:v>
      </x:c>
      <x:c r="W93" s="18" t="str">
        <x:v>Constitución Española</x:v>
      </x:c>
      <x:c r="X93" s="18" t="str">
        <x:v>8</x:v>
      </x:c>
      <x:c r="Y93" s="18" t="str">
        <x:v>Artículos literales</x:v>
      </x:c>
      <x:c r="Z93" s="18" t="str">
        <x:v>Alta</x:v>
      </x:c>
      <x:c r="AA93" s="18" t="str">
        <x:v>G01</x:v>
      </x:c>
      <x:c r="AB93" s="18" t="str"/>
      <x:c r="AC93" s="18" t="str"/>
      <x:c r="AD93" s="18" t="str">
        <x:v>No</x:v>
      </x:c>
      <x:c r="AE93" s="18" t="str">
        <x:v>Teórico</x:v>
      </x:c>
      <x:c r="AF93" s="18" t="str">
        <x:v>A</x:v>
      </x:c>
      <x:c r="AG93" s="18" t="str">
        <x:v>A</x:v>
      </x:c>
      <x:c r="AH93" s="18" t="str">
        <x:v>Válida</x:v>
      </x:c>
      <x:c r="AI93" s="18" t="str">
        <x:v>01. Información oficial de la oposición\Exámenes oficiales anteriores\2025 Convocatoria 2023 - Examen extraordinario acceso libre.pdf</x:v>
      </x:c>
      <x:c r="AJ93" s="18" t="str">
        <x:v>https://www.seg-social.es/wps/portal/wss/internet/InformacionUtil/9950/88beb45d-ca83-4bab-8162-f94ef2894562</x:v>
      </x:c>
      <x:c r="AK93" s="18" t="str">
        <x:v>Texto PDF</x:v>
      </x:c>
      <x:c r="AL93" s="18" t="n">
        <x:v>100</x:v>
      </x:c>
      <x:c r="AM93" s="18" t="str">
        <x:v>Alta</x:v>
      </x:c>
      <x:c r="AN93" s="18" t="str">
        <x:v>Regla jurídica determinista</x:v>
      </x:c>
      <x:c r="AO93" s="18" t="str">
        <x:v>2025_conv2023_extraordinario-T01</x:v>
      </x:c>
      <x:c r="AP93" s="18" t="n">
        <x:v>1</x:v>
      </x:c>
    </x:row>
    <x:row r="94">
      <x:c r="A94" s="18" t="str">
        <x:v>2025_conv2023_extraordinario-T02</x:v>
      </x:c>
      <x:c r="B94" s="18" t="n">
        <x:v>2025</x:v>
      </x:c>
      <x:c r="C94" s="18" t="n">
        <x:v>2023</x:v>
      </x:c>
      <x:c r="D94" s="28" t="n">
        <x:v>45682</x:v>
      </x:c>
      <x:c r="E94" s="18" t="str">
        <x:v>Acceso libre</x:v>
      </x:c>
      <x:c r="F94" s="18" t="str">
        <x:v>Primera parte</x:v>
      </x:c>
      <x:c r="G94" s="18" t="str">
        <x:v>Extraordinario</x:v>
      </x:c>
      <x:c r="H94" s="18" t="str">
        <x:v>Único</x:v>
      </x:c>
      <x:c r="I94" s="18" t="str">
        <x:v>Sí</x:v>
      </x:c>
      <x:c r="J94" s="18" t="str">
        <x:v>Cuestionario extraordinario sin modelo paralelo.</x:v>
      </x:c>
      <x:c r="K94" s="18" t="n">
        <x:v>2</x:v>
      </x:c>
      <x:c r="L94" s="18" t="str">
        <x:v>No</x:v>
      </x:c>
      <x:c r="M94" s="18" t="str">
        <x:v>En la Constitución Española, las garantías de las libertades y derechos fundamentales se encuentran reguladas en el:</x:v>
      </x:c>
      <x:c r="N94" s="18" t="str">
        <x:v>Capítulo II del Título I.</x:v>
      </x:c>
      <x:c r="O94" s="18" t="str">
        <x:v>Capítulo IV del Título I.</x:v>
      </x:c>
      <x:c r="P94" s="18" t="str">
        <x:v>Capítulo V del Título I.</x:v>
      </x:c>
      <x:c r="Q94" s="18" t="str">
        <x:v>Capítulo III del Título II.</x:v>
      </x:c>
      <x:c r="R94" s="18" t="str">
        <x:v>G02</x:v>
      </x:c>
      <x:c r="S94" s="18" t="n">
        <x:v>2</x:v>
      </x:c>
      <x:c r="T94" s="18" t="str">
        <x:v>Temario general</x:v>
      </x:c>
      <x:c r="U94" s="18" t="str">
        <x:v>Derechos y deberes fundamentales. Su garantía y suspensión.</x:v>
      </x:c>
      <x:c r="V94" s="18" t="str">
        <x:v>derechos fundamentales</x:v>
      </x:c>
      <x:c r="W94" s="18" t="str">
        <x:v>Constitución Española</x:v>
      </x:c>
      <x:c r="X94" s="18" t="str"/>
      <x:c r="Y94" s="18" t="str">
        <x:v>Artículos literales</x:v>
      </x:c>
      <x:c r="Z94" s="18" t="str">
        <x:v>Básica</x:v>
      </x:c>
      <x:c r="AA94" s="18" t="str">
        <x:v>derechos fundamentales</x:v>
      </x:c>
      <x:c r="AB94" s="18" t="str"/>
      <x:c r="AC94" s="18" t="str"/>
      <x:c r="AD94" s="18" t="str">
        <x:v>No</x:v>
      </x:c>
      <x:c r="AE94" s="18" t="str">
        <x:v>Teórico</x:v>
      </x:c>
      <x:c r="AF94" s="18" t="str">
        <x:v>C</x:v>
      </x:c>
      <x:c r="AG94" s="18" t="str">
        <x:v>B</x:v>
      </x:c>
      <x:c r="AH94" s="18" t="str">
        <x:v>Modificada</x:v>
      </x:c>
      <x:c r="AI94" s="18" t="str">
        <x:v>01. Información oficial de la oposición\Exámenes oficiales anteriores\2025 Convocatoria 2023 - Examen extraordinario acceso libre.pdf</x:v>
      </x:c>
      <x:c r="AJ94" s="18" t="str">
        <x:v>https://www.seg-social.es/wps/portal/wss/internet/InformacionUtil/9950/88beb45d-ca83-4bab-8162-f94ef2894562</x:v>
      </x:c>
      <x:c r="AK94" s="18" t="str">
        <x:v>Texto PDF</x:v>
      </x:c>
      <x:c r="AL94" s="18" t="n">
        <x:v>100</x:v>
      </x:c>
      <x:c r="AM94" s="18" t="str">
        <x:v>Alta</x:v>
      </x:c>
      <x:c r="AN94" s="18" t="str">
        <x:v>Regla jurídica determinista</x:v>
      </x:c>
      <x:c r="AO94" s="18" t="str">
        <x:v>2025_conv2023_extraordinario-T02</x:v>
      </x:c>
      <x:c r="AP94" s="18" t="n">
        <x:v>1</x:v>
      </x:c>
    </x:row>
    <x:row r="95">
      <x:c r="A95" s="18" t="str">
        <x:v>2025_conv2023_extraordinario-T03</x:v>
      </x:c>
      <x:c r="B95" s="18" t="n">
        <x:v>2025</x:v>
      </x:c>
      <x:c r="C95" s="18" t="n">
        <x:v>2023</x:v>
      </x:c>
      <x:c r="D95" s="28" t="n">
        <x:v>45682</x:v>
      </x:c>
      <x:c r="E95" s="18" t="str">
        <x:v>Acceso libre</x:v>
      </x:c>
      <x:c r="F95" s="18" t="str">
        <x:v>Primera parte</x:v>
      </x:c>
      <x:c r="G95" s="18" t="str">
        <x:v>Extraordinario</x:v>
      </x:c>
      <x:c r="H95" s="18" t="str">
        <x:v>Único</x:v>
      </x:c>
      <x:c r="I95" s="18" t="str">
        <x:v>Sí</x:v>
      </x:c>
      <x:c r="J95" s="18" t="str">
        <x:v>Cuestionario extraordinario sin modelo paralelo.</x:v>
      </x:c>
      <x:c r="K95" s="18" t="n">
        <x:v>3</x:v>
      </x:c>
      <x:c r="L95" s="18" t="str">
        <x:v>No</x:v>
      </x:c>
      <x:c r="M95" s="18" t="str">
        <x:v>Según el articulo 17 de la Ley Orgánica 2/1979, de 3 de octubre, del Tribunal Constitucional:</x:v>
      </x:c>
      <x:c r="N95" s="18" t="str">
        <x:v>Antes de los cuatro meses previos a la fecha de expiración de los nombramientos, el Tribunal en pleno solicitará de los Presidentes de los órganos que han de hacer las propuestas para la designación de los nuevos Magistrados, que inicien el procedimiento para ello.</x:v>
      </x:c>
      <x:c r="O95" s="18" t="str">
        <x:v>Antes de los tres meses previos a la fecha de expiración de los nombramientos, el Presidente del Tribunal solicitará de los Presidentes de los órganos que han de hacer las propuestas para la designación de los nuevos Magistrados, que inicien el procedimiento para ello.</x:v>
      </x:c>
      <x:c r="P95" s="18" t="str">
        <x:v>Antes de los tres meses previos a la fecha de expiración de los nombramientos, el Tribunal en pleno solicitará de los Presidentes de los órganos que han de hacer las propuestas para la designación de los nuevos Magistrados, que inicien el procedimiento para ello.</x:v>
      </x:c>
      <x:c r="Q95" s="18" t="str">
        <x:v>Antes de los cuatro meses previos a la fecha de expiración de los nombramientos, el Presidente del Tribunal solicitará de los Presidentes de los órganos que han de hacer las propuestas para la designación de los nuevos Magistrados, que inicien el procedimiento para ello.</x:v>
      </x:c>
      <x:c r="R95" s="18" t="str">
        <x:v>G03</x:v>
      </x:c>
      <x:c r="S95" s="18" t="n">
        <x:v>3</x:v>
      </x:c>
      <x:c r="T95" s="18" t="str">
        <x:v>Temario general</x:v>
      </x:c>
      <x:c r="U95" s="18" t="str">
        <x:v>El Tribunal Constitucional. Organización, composición y atribuciones.</x:v>
      </x:c>
      <x:c r="V95" s="18" t="str">
        <x:v>G03</x:v>
      </x:c>
      <x:c r="W95" s="18" t="str">
        <x:v>Ley Orgánica 2/1979</x:v>
      </x:c>
      <x:c r="X95" s="18" t="str">
        <x:v>17</x:v>
      </x:c>
      <x:c r="Y95" s="18" t="str">
        <x:v>Artículos literales</x:v>
      </x:c>
      <x:c r="Z95" s="18" t="str">
        <x:v>Media</x:v>
      </x:c>
      <x:c r="AA95" s="18" t="str">
        <x:v>G03</x:v>
      </x:c>
      <x:c r="AB95" s="18" t="str">
        <x:v>Tribunal Constitucional</x:v>
      </x:c>
      <x:c r="AC95" s="18" t="str"/>
      <x:c r="AD95" s="18" t="str">
        <x:v>No</x:v>
      </x:c>
      <x:c r="AE95" s="18" t="str">
        <x:v>Teórico</x:v>
      </x:c>
      <x:c r="AF95" s="18" t="str">
        <x:v>D</x:v>
      </x:c>
      <x:c r="AG95" s="18" t="str">
        <x:v>D</x:v>
      </x:c>
      <x:c r="AH95" s="18" t="str">
        <x:v>Válida</x:v>
      </x:c>
      <x:c r="AI95" s="18" t="str">
        <x:v>01. Información oficial de la oposición\Exámenes oficiales anteriores\2025 Convocatoria 2023 - Examen extraordinario acceso libre.pdf</x:v>
      </x:c>
      <x:c r="AJ95" s="18" t="str">
        <x:v>https://www.seg-social.es/wps/portal/wss/internet/InformacionUtil/9950/88beb45d-ca83-4bab-8162-f94ef2894562</x:v>
      </x:c>
      <x:c r="AK95" s="18" t="str">
        <x:v>Texto PDF</x:v>
      </x:c>
      <x:c r="AL95" s="18" t="n">
        <x:v>100</x:v>
      </x:c>
      <x:c r="AM95" s="18" t="str">
        <x:v>Alta</x:v>
      </x:c>
      <x:c r="AN95" s="18" t="str">
        <x:v>Regla jurídica determinista</x:v>
      </x:c>
      <x:c r="AO95" s="18" t="str">
        <x:v>2025_conv2023_extraordinario-T03</x:v>
      </x:c>
      <x:c r="AP95" s="18" t="n">
        <x:v>1</x:v>
      </x:c>
    </x:row>
    <x:row r="96">
      <x:c r="A96" s="18" t="str">
        <x:v>2025_conv2023_extraordinario-T04</x:v>
      </x:c>
      <x:c r="B96" s="18" t="n">
        <x:v>2025</x:v>
      </x:c>
      <x:c r="C96" s="18" t="n">
        <x:v>2023</x:v>
      </x:c>
      <x:c r="D96" s="28" t="n">
        <x:v>45682</x:v>
      </x:c>
      <x:c r="E96" s="18" t="str">
        <x:v>Acceso libre</x:v>
      </x:c>
      <x:c r="F96" s="18" t="str">
        <x:v>Primera parte</x:v>
      </x:c>
      <x:c r="G96" s="18" t="str">
        <x:v>Extraordinario</x:v>
      </x:c>
      <x:c r="H96" s="18" t="str">
        <x:v>Único</x:v>
      </x:c>
      <x:c r="I96" s="18" t="str">
        <x:v>Sí</x:v>
      </x:c>
      <x:c r="J96" s="18" t="str">
        <x:v>Cuestionario extraordinario sin modelo paralelo.</x:v>
      </x:c>
      <x:c r="K96" s="18" t="n">
        <x:v>4</x:v>
      </x:c>
      <x:c r="L96" s="18" t="str">
        <x:v>No</x:v>
      </x:c>
      <x:c r="M96" s="18" t="str">
        <x:v>Según la Constitución española de 1978, el Rey recibe de los Presupuestos del Estado una cantidad global para el sostenimiento de su Familia y Casa, ¿a qui én le corresponde distribuir dicha cantidad entre los posibles gastos?</x:v>
      </x:c>
      <x:c r="N96" s="18" t="str">
        <x:v>A las Cortes Generales.</x:v>
      </x:c>
      <x:c r="O96" s="18" t="str">
        <x:v>Al titular del Ministerio de Hacienda.</x:v>
      </x:c>
      <x:c r="P96" s="18" t="str">
        <x:v>Al Presidente del Gobierno.</x:v>
      </x:c>
      <x:c r="Q96" s="18" t="str">
        <x:v>Al Rey.</x:v>
      </x:c>
      <x:c r="R96" s="18" t="str">
        <x:v>G04</x:v>
      </x:c>
      <x:c r="S96" s="18" t="n">
        <x:v>4</x:v>
      </x:c>
      <x:c r="T96" s="18" t="str">
        <x:v>Temario general</x:v>
      </x:c>
      <x:c r="U96" s="18" t="str">
        <x:v>La Corona. Funciones constitucionales del Rey. Sucesión y regencia. El refrendo.</x:v>
      </x:c>
      <x:c r="V96" s="18" t="str">
        <x:v>G04</x:v>
      </x:c>
      <x:c r="W96" s="18" t="str">
        <x:v>Constitución española</x:v>
      </x:c>
      <x:c r="X96" s="18" t="str"/>
      <x:c r="Y96" s="18" t="str">
        <x:v>Artículos literales</x:v>
      </x:c>
      <x:c r="Z96" s="18" t="str">
        <x:v>Media</x:v>
      </x:c>
      <x:c r="AA96" s="18" t="str">
        <x:v>G04</x:v>
      </x:c>
      <x:c r="AB96" s="18" t="str"/>
      <x:c r="AC96" s="18" t="str"/>
      <x:c r="AD96" s="18" t="str">
        <x:v>No</x:v>
      </x:c>
      <x:c r="AE96" s="18" t="str">
        <x:v>Teórico</x:v>
      </x:c>
      <x:c r="AF96" s="18" t="str">
        <x:v>D</x:v>
      </x:c>
      <x:c r="AG96" s="18" t="str">
        <x:v>D</x:v>
      </x:c>
      <x:c r="AH96" s="18" t="str">
        <x:v>Válida</x:v>
      </x:c>
      <x:c r="AI96" s="18" t="str">
        <x:v>01. Información oficial de la oposición\Exámenes oficiales anteriores\2025 Convocatoria 2023 - Examen extraordinario acceso libre.pdf</x:v>
      </x:c>
      <x:c r="AJ96" s="18" t="str">
        <x:v>https://www.seg-social.es/wps/portal/wss/internet/InformacionUtil/9950/88beb45d-ca83-4bab-8162-f94ef2894562</x:v>
      </x:c>
      <x:c r="AK96" s="18" t="str">
        <x:v>Texto PDF</x:v>
      </x:c>
      <x:c r="AL96" s="18" t="n">
        <x:v>100</x:v>
      </x:c>
      <x:c r="AM96" s="18" t="str">
        <x:v>Alta</x:v>
      </x:c>
      <x:c r="AN96" s="18" t="str">
        <x:v>Regla jurídica determinista</x:v>
      </x:c>
      <x:c r="AO96" s="18" t="str">
        <x:v>2025_conv2023_extraordinario-T04</x:v>
      </x:c>
      <x:c r="AP96" s="18" t="n">
        <x:v>1</x:v>
      </x:c>
    </x:row>
    <x:row r="97">
      <x:c r="A97" s="18" t="str">
        <x:v>2025_conv2023_extraordinario-T05</x:v>
      </x:c>
      <x:c r="B97" s="18" t="n">
        <x:v>2025</x:v>
      </x:c>
      <x:c r="C97" s="18" t="n">
        <x:v>2023</x:v>
      </x:c>
      <x:c r="D97" s="28" t="n">
        <x:v>45682</x:v>
      </x:c>
      <x:c r="E97" s="18" t="str">
        <x:v>Acceso libre</x:v>
      </x:c>
      <x:c r="F97" s="18" t="str">
        <x:v>Primera parte</x:v>
      </x:c>
      <x:c r="G97" s="18" t="str">
        <x:v>Extraordinario</x:v>
      </x:c>
      <x:c r="H97" s="18" t="str">
        <x:v>Único</x:v>
      </x:c>
      <x:c r="I97" s="18" t="str">
        <x:v>Sí</x:v>
      </x:c>
      <x:c r="J97" s="18" t="str">
        <x:v>Cuestionario extraordinario sin modelo paralelo.</x:v>
      </x:c>
      <x:c r="K97" s="18" t="n">
        <x:v>5</x:v>
      </x:c>
      <x:c r="L97" s="18" t="str">
        <x:v>No</x:v>
      </x:c>
      <x:c r="M97" s="18" t="str">
        <x:v>El artículo 75, apartado 2, de la Constitución indica que “las Cámaras podrán delegar en las Comisiones Legislativas Permanentes la aprobación de proyectos o proposiciones de ley”. Indique cuál de las siguientes materias no está expresamente excluida de es ta delegación, conforme al apartado 3 de dicho artículo 75.</x:v>
      </x:c>
      <x:c r="N97" s="18" t="str">
        <x:v>La reforma constitucional.</x:v>
      </x:c>
      <x:c r="O97" s="18" t="str">
        <x:v>Las cuestiones internacionales.</x:v>
      </x:c>
      <x:c r="P97" s="18" t="str">
        <x:v>La regulación de la Seguridad Social.</x:v>
      </x:c>
      <x:c r="Q97" s="18" t="str">
        <x:v>Los Presupuestos Generales del Estado.</x:v>
      </x:c>
      <x:c r="R97" s="18" t="str">
        <x:v>G05</x:v>
      </x:c>
      <x:c r="S97" s="18" t="n">
        <x:v>5</x:v>
      </x:c>
      <x:c r="T97" s="18" t="str">
        <x:v>Temario general</x:v>
      </x:c>
      <x:c r="U97" s="18" t="str">
        <x:v>El poder legislativo. Las Cortes Generales: Composición, atribuciones y funcionamiento. El Defensor del Pueblo.</x:v>
      </x:c>
      <x:c r="V97" s="18" t="str">
        <x:v>G05</x:v>
      </x:c>
      <x:c r="W97" s="18" t="str"/>
      <x:c r="X97" s="18" t="str">
        <x:v>75</x:v>
      </x:c>
      <x:c r="Y97" s="18" t="str">
        <x:v>Artículos literales</x:v>
      </x:c>
      <x:c r="Z97" s="18" t="str">
        <x:v>Media</x:v>
      </x:c>
      <x:c r="AA97" s="18" t="str">
        <x:v>G05</x:v>
      </x:c>
      <x:c r="AB97" s="18" t="str"/>
      <x:c r="AC97" s="18" t="str"/>
      <x:c r="AD97" s="18" t="str">
        <x:v>Sí</x:v>
      </x:c>
      <x:c r="AE97" s="18" t="str">
        <x:v>Teórico</x:v>
      </x:c>
      <x:c r="AF97" s="18" t="str">
        <x:v>C</x:v>
      </x:c>
      <x:c r="AG97" s="18" t="str">
        <x:v>C</x:v>
      </x:c>
      <x:c r="AH97" s="18" t="str">
        <x:v>Válida</x:v>
      </x:c>
      <x:c r="AI97" s="18" t="str">
        <x:v>01. Información oficial de la oposición\Exámenes oficiales anteriores\2025 Convocatoria 2023 - Examen extraordinario acceso libre.pdf</x:v>
      </x:c>
      <x:c r="AJ97" s="18" t="str">
        <x:v>https://www.seg-social.es/wps/portal/wss/internet/InformacionUtil/9950/88beb45d-ca83-4bab-8162-f94ef2894562</x:v>
      </x:c>
      <x:c r="AK97" s="18" t="str">
        <x:v>Texto PDF</x:v>
      </x:c>
      <x:c r="AL97" s="18" t="n">
        <x:v>100</x:v>
      </x:c>
      <x:c r="AM97" s="18" t="str">
        <x:v>Alta</x:v>
      </x:c>
      <x:c r="AN97" s="18" t="str">
        <x:v>Regla jurídica determinista</x:v>
      </x:c>
      <x:c r="AO97" s="18" t="str">
        <x:v>2025_conv2023_extraordinario-T05</x:v>
      </x:c>
      <x:c r="AP97" s="18" t="n">
        <x:v>1</x:v>
      </x:c>
    </x:row>
    <x:row r="98">
      <x:c r="A98" s="18" t="str">
        <x:v>2025_conv2023_extraordinario-T06</x:v>
      </x:c>
      <x:c r="B98" s="18" t="n">
        <x:v>2025</x:v>
      </x:c>
      <x:c r="C98" s="18" t="n">
        <x:v>2023</x:v>
      </x:c>
      <x:c r="D98" s="28" t="n">
        <x:v>45682</x:v>
      </x:c>
      <x:c r="E98" s="18" t="str">
        <x:v>Acceso libre</x:v>
      </x:c>
      <x:c r="F98" s="18" t="str">
        <x:v>Primera parte</x:v>
      </x:c>
      <x:c r="G98" s="18" t="str">
        <x:v>Extraordinario</x:v>
      </x:c>
      <x:c r="H98" s="18" t="str">
        <x:v>Único</x:v>
      </x:c>
      <x:c r="I98" s="18" t="str">
        <x:v>Sí</x:v>
      </x:c>
      <x:c r="J98" s="18" t="str">
        <x:v>Cuestionario extraordinario sin modelo paralelo.</x:v>
      </x:c>
      <x:c r="K98" s="18" t="n">
        <x:v>6</x:v>
      </x:c>
      <x:c r="L98" s="18" t="str">
        <x:v>No</x:v>
      </x:c>
      <x:c r="M98" s="18" t="str">
        <x:v>Según establece el artículo 64.1 de la Ley Orgánica 6/1985, de 1 de julio, del Poder Judicial, la Audiencia Nacional estará integrada por las siguientes Salas:</x:v>
      </x:c>
      <x:c r="N98" s="18" t="str">
        <x:v>Sala Primera, Sala Segunda, Sala Tercera y Sala Cuarta.</x:v>
      </x:c>
      <x:c r="O98" s="18" t="str">
        <x:v>Sala Primera, Sala Segunda, Sala Tercera, Sala Cuarta y Sala Quinta.</x:v>
      </x:c>
      <x:c r="P98" s="18" t="str">
        <x:v>Sala de lo Penal, Sala de Reposición, Sala de lo Contencioso-Administrativo y Sala de lo Social.</x:v>
      </x:c>
      <x:c r="Q98" s="18" t="str">
        <x:v>Sala de lo Penal, Sala de Apelación, Sala de lo Contencioso-Administrativo y Sala de lo Social.</x:v>
      </x:c>
      <x:c r="R98" s="18" t="str">
        <x:v>G06</x:v>
      </x:c>
      <x:c r="S98" s="18" t="n">
        <x:v>6</x:v>
      </x:c>
      <x:c r="T98" s="18" t="str">
        <x:v>Temario general</x:v>
      </x:c>
      <x:c r="U98" s="18" t="str">
        <x:v>El Poder Judicial. El principio de unidad jurisdiccional. El Consejo General del Poder Judicial. La organización judicial española.</x:v>
      </x:c>
      <x:c r="V98" s="18" t="str">
        <x:v>G06</x:v>
      </x:c>
      <x:c r="W98" s="18" t="str">
        <x:v>Ley Orgánica 6/1985</x:v>
      </x:c>
      <x:c r="X98" s="18" t="str">
        <x:v>64.1</x:v>
      </x:c>
      <x:c r="Y98" s="18" t="str">
        <x:v>Artículos literales</x:v>
      </x:c>
      <x:c r="Z98" s="18" t="str">
        <x:v>Media</x:v>
      </x:c>
      <x:c r="AA98" s="18" t="str">
        <x:v>G06</x:v>
      </x:c>
      <x:c r="AB98" s="18" t="str"/>
      <x:c r="AC98" s="18" t="str"/>
      <x:c r="AD98" s="18" t="str">
        <x:v>No</x:v>
      </x:c>
      <x:c r="AE98" s="18" t="str">
        <x:v>Teórico</x:v>
      </x:c>
      <x:c r="AF98" s="18" t="str">
        <x:v>D</x:v>
      </x:c>
      <x:c r="AG98" s="18" t="str">
        <x:v>D</x:v>
      </x:c>
      <x:c r="AH98" s="18" t="str">
        <x:v>Válida</x:v>
      </x:c>
      <x:c r="AI98" s="18" t="str">
        <x:v>01. Información oficial de la oposición\Exámenes oficiales anteriores\2025 Convocatoria 2023 - Examen extraordinario acceso libre.pdf</x:v>
      </x:c>
      <x:c r="AJ98" s="18" t="str">
        <x:v>https://www.seg-social.es/wps/portal/wss/internet/InformacionUtil/9950/88beb45d-ca83-4bab-8162-f94ef2894562</x:v>
      </x:c>
      <x:c r="AK98" s="18" t="str">
        <x:v>Texto PDF</x:v>
      </x:c>
      <x:c r="AL98" s="18" t="n">
        <x:v>100</x:v>
      </x:c>
      <x:c r="AM98" s="18" t="str">
        <x:v>Alta</x:v>
      </x:c>
      <x:c r="AN98" s="18" t="str">
        <x:v>Regla jurídica determinista</x:v>
      </x:c>
      <x:c r="AO98" s="18" t="str">
        <x:v>2025_conv2023_extraordinario-T06</x:v>
      </x:c>
      <x:c r="AP98" s="18" t="n">
        <x:v>1</x:v>
      </x:c>
    </x:row>
    <x:row r="99">
      <x:c r="A99" s="18" t="str">
        <x:v>2025_conv2023_extraordinario-T07</x:v>
      </x:c>
      <x:c r="B99" s="18" t="n">
        <x:v>2025</x:v>
      </x:c>
      <x:c r="C99" s="18" t="n">
        <x:v>2023</x:v>
      </x:c>
      <x:c r="D99" s="28" t="n">
        <x:v>45682</x:v>
      </x:c>
      <x:c r="E99" s="18" t="str">
        <x:v>Acceso libre</x:v>
      </x:c>
      <x:c r="F99" s="18" t="str">
        <x:v>Primera parte</x:v>
      </x:c>
      <x:c r="G99" s="18" t="str">
        <x:v>Extraordinario</x:v>
      </x:c>
      <x:c r="H99" s="18" t="str">
        <x:v>Único</x:v>
      </x:c>
      <x:c r="I99" s="18" t="str">
        <x:v>Sí</x:v>
      </x:c>
      <x:c r="J99" s="18" t="str">
        <x:v>Cuestionario extraordinario sin modelo paralelo.</x:v>
      </x:c>
      <x:c r="K99" s="18" t="n">
        <x:v>7</x:v>
      </x:c>
      <x:c r="L99" s="18" t="str">
        <x:v>No</x:v>
      </x:c>
      <x:c r="M99" s="18" t="str">
        <x:v>Según el Artículo 13 de la Ley 50/1997, de 27 de noviembre, del Gobierno. En los casos de vacante, ausencia o enfermedad, las funciones del Presidente del Gobierno serán asumidas por:</x:v>
      </x:c>
      <x:c r="N99" s="18" t="str">
        <x:v>Los Ministros que el Presidente del Gobierno designe con el correspondiente orden de prelación.</x:v>
      </x:c>
      <x:c r="O99" s="18" t="str">
        <x:v>Los Vicepresidentes, de acuerdo con el correspondiente orden de prelación, y, en defecto de ellos, por los Ministros, según el orden de precedencia de los Departamentos.</x:v>
      </x:c>
      <x:c r="P99" s="18" t="str">
        <x:v>Sólo los Vicepresidentes que el Presidente del Gobierno designe de acuerdo con el correspondiente orden de prelación.</x:v>
      </x:c>
      <x:c r="Q99" s="18" t="str">
        <x:v>Los Vicepresidentes o Ministros, de acuerdo con el correspondiente orden de prelación, y, en defecto de ellos, por el Presidente del Congreso de los Diputados, según el orden de precedencia de los Departamentos.</x:v>
      </x:c>
      <x:c r="R99" s="18" t="str">
        <x:v>G07</x:v>
      </x:c>
      <x:c r="S99" s="18" t="n">
        <x:v>7</x:v>
      </x:c>
      <x:c r="T99" s="18" t="str">
        <x:v>Temario general</x:v>
      </x:c>
      <x:c r="U99" s="18" t="str">
        <x:v>El poder ejecutivo. El presidente del Gobierno y el Consejo de Ministros. Relaciones entre el Gobierno y las Cortes Generales. Designación, causas de cese y responsabilidad del Gobierno. El Consejo de Estado.</x:v>
      </x:c>
      <x:c r="V99" s="18" t="str">
        <x:v>G07</x:v>
      </x:c>
      <x:c r="W99" s="18" t="str">
        <x:v>Ley 50/1997</x:v>
      </x:c>
      <x:c r="X99" s="18" t="str">
        <x:v>13</x:v>
      </x:c>
      <x:c r="Y99" s="18" t="str">
        <x:v>Artículos literales</x:v>
      </x:c>
      <x:c r="Z99" s="18" t="str">
        <x:v>Media</x:v>
      </x:c>
      <x:c r="AA99" s="18" t="str">
        <x:v>G07</x:v>
      </x:c>
      <x:c r="AB99" s="18" t="str"/>
      <x:c r="AC99" s="18" t="str"/>
      <x:c r="AD99" s="18" t="str">
        <x:v>No</x:v>
      </x:c>
      <x:c r="AE99" s="18" t="str">
        <x:v>Teórico</x:v>
      </x:c>
      <x:c r="AF99" s="18" t="str">
        <x:v>B</x:v>
      </x:c>
      <x:c r="AG99" s="18" t="str">
        <x:v>B</x:v>
      </x:c>
      <x:c r="AH99" s="18" t="str">
        <x:v>Válida</x:v>
      </x:c>
      <x:c r="AI99" s="18" t="str">
        <x:v>01. Información oficial de la oposición\Exámenes oficiales anteriores\2025 Convocatoria 2023 - Examen extraordinario acceso libre.pdf</x:v>
      </x:c>
      <x:c r="AJ99" s="18" t="str">
        <x:v>https://www.seg-social.es/wps/portal/wss/internet/InformacionUtil/9950/88beb45d-ca83-4bab-8162-f94ef2894562</x:v>
      </x:c>
      <x:c r="AK99" s="18" t="str">
        <x:v>Texto PDF</x:v>
      </x:c>
      <x:c r="AL99" s="18" t="n">
        <x:v>100</x:v>
      </x:c>
      <x:c r="AM99" s="18" t="str">
        <x:v>Alta</x:v>
      </x:c>
      <x:c r="AN99" s="18" t="str">
        <x:v>Regla jurídica determinista</x:v>
      </x:c>
      <x:c r="AO99" s="18" t="str">
        <x:v>2025_conv2023_extraordinario-T07</x:v>
      </x:c>
      <x:c r="AP99" s="18" t="n">
        <x:v>1</x:v>
      </x:c>
    </x:row>
    <x:row r="100">
      <x:c r="A100" s="18" t="str">
        <x:v>2025_conv2023_extraordinario-T08</x:v>
      </x:c>
      <x:c r="B100" s="18" t="n">
        <x:v>2025</x:v>
      </x:c>
      <x:c r="C100" s="18" t="n">
        <x:v>2023</x:v>
      </x:c>
      <x:c r="D100" s="28" t="n">
        <x:v>45682</x:v>
      </x:c>
      <x:c r="E100" s="18" t="str">
        <x:v>Acceso libre</x:v>
      </x:c>
      <x:c r="F100" s="18" t="str">
        <x:v>Primera parte</x:v>
      </x:c>
      <x:c r="G100" s="18" t="str">
        <x:v>Extraordinario</x:v>
      </x:c>
      <x:c r="H100" s="18" t="str">
        <x:v>Único</x:v>
      </x:c>
      <x:c r="I100" s="18" t="str">
        <x:v>Sí</x:v>
      </x:c>
      <x:c r="J100" s="18" t="str">
        <x:v>Cuestionario extraordinario sin modelo paralelo.</x:v>
      </x:c>
      <x:c r="K100" s="18" t="n">
        <x:v>8</x:v>
      </x:c>
      <x:c r="L100" s="18" t="str">
        <x:v>No</x:v>
      </x:c>
      <x:c r="M100" s="18" t="str">
        <x:v>Los Ministros, regulados en el artículo 61 de la Ley 40/2015, de 1 de octubre, de Régimen Jurídico del Sector Público, son órganos superiores de la Administración General del Estado. Señale la respuesta INCORRECTA:</x:v>
      </x:c>
      <x:c r="N100" s="18" t="str">
        <x:v>Ejercen la potestad reglamentaria en las materias propias de su Departamento.</x:v>
      </x:c>
      <x:c r="O100" s="18" t="str">
        <x:v>Fijan los objetivos del Minister io, aprueban los planes de actuación del mismo y asignan los recursos necesarios para su ejecución.</x:v>
      </x:c>
      <x:c r="P100" s="18" t="str">
        <x:v>Evalúan la realización de los planes de actuación del Ministerio por parte de los órganos superiores y órganos directivos, y ejercen el control de eficacia de la actuación de dichos órganos.</x:v>
      </x:c>
      <x:c r="Q100" s="18" t="str">
        <x:v>Desempeñan la jefatura superior de todo el personal del Ministerio.</x:v>
      </x:c>
      <x:c r="R100" s="18" t="str">
        <x:v>G08</x:v>
      </x:c>
      <x:c r="S100" s="18" t="n">
        <x:v>8</x:v>
      </x:c>
      <x:c r="T100" s="18" t="str">
        <x:v>Temario general</x:v>
      </x:c>
      <x:c r="U100" s="18" t="str">
        <x:v>La Administración General del Estado. Principios de organización y funcionamiento. Órganos centrales. Órganos superiores y órganos directivos: creación, nombramiento, cese y funciones. Los servicios comunes de los ministerios. Órganos territoriales. La Administración del Estado en el Exterior.</x:v>
      </x:c>
      <x:c r="V100" s="18" t="str">
        <x:v>G08</x:v>
      </x:c>
      <x:c r="W100" s="18" t="str">
        <x:v>Ley 40/2015</x:v>
      </x:c>
      <x:c r="X100" s="18" t="str">
        <x:v>61</x:v>
      </x:c>
      <x:c r="Y100" s="18" t="str">
        <x:v>Órganos</x:v>
      </x:c>
      <x:c r="Z100" s="18" t="str">
        <x:v>Alta</x:v>
      </x:c>
      <x:c r="AA100" s="18" t="str">
        <x:v>G08</x:v>
      </x:c>
      <x:c r="AB100" s="18" t="str"/>
      <x:c r="AC100" s="18" t="str"/>
      <x:c r="AD100" s="18" t="str">
        <x:v>Sí</x:v>
      </x:c>
      <x:c r="AE100" s="18" t="str">
        <x:v>Teórico</x:v>
      </x:c>
      <x:c r="AF100" s="18" t="str">
        <x:v>D</x:v>
      </x:c>
      <x:c r="AG100" s="18" t="str">
        <x:v>D</x:v>
      </x:c>
      <x:c r="AH100" s="18" t="str">
        <x:v>Válida</x:v>
      </x:c>
      <x:c r="AI100" s="18" t="str">
        <x:v>01. Información oficial de la oposición\Exámenes oficiales anteriores\2025 Convocatoria 2023 - Examen extraordinario acceso libre.pdf</x:v>
      </x:c>
      <x:c r="AJ100" s="18" t="str">
        <x:v>https://www.seg-social.es/wps/portal/wss/internet/InformacionUtil/9950/88beb45d-ca83-4bab-8162-f94ef2894562</x:v>
      </x:c>
      <x:c r="AK100" s="18" t="str">
        <x:v>Texto PDF</x:v>
      </x:c>
      <x:c r="AL100" s="18" t="n">
        <x:v>100</x:v>
      </x:c>
      <x:c r="AM100" s="18" t="str">
        <x:v>Alta</x:v>
      </x:c>
      <x:c r="AN100" s="18" t="str">
        <x:v>Regla jurídica determinista</x:v>
      </x:c>
      <x:c r="AO100" s="18" t="str">
        <x:v>2025_conv2023_extraordinario-T08</x:v>
      </x:c>
      <x:c r="AP100" s="18" t="n">
        <x:v>1</x:v>
      </x:c>
    </x:row>
    <x:row r="101">
      <x:c r="A101" s="18" t="str">
        <x:v>2025_conv2023_extraordinario-T09</x:v>
      </x:c>
      <x:c r="B101" s="18" t="n">
        <x:v>2025</x:v>
      </x:c>
      <x:c r="C101" s="18" t="n">
        <x:v>2023</x:v>
      </x:c>
      <x:c r="D101" s="28" t="n">
        <x:v>45682</x:v>
      </x:c>
      <x:c r="E101" s="18" t="str">
        <x:v>Acceso libre</x:v>
      </x:c>
      <x:c r="F101" s="18" t="str">
        <x:v>Primera parte</x:v>
      </x:c>
      <x:c r="G101" s="18" t="str">
        <x:v>Extraordinario</x:v>
      </x:c>
      <x:c r="H101" s="18" t="str">
        <x:v>Único</x:v>
      </x:c>
      <x:c r="I101" s="18" t="str">
        <x:v>Sí</x:v>
      </x:c>
      <x:c r="J101" s="18" t="str">
        <x:v>Cuestionario extraordinario sin modelo paralelo.</x:v>
      </x:c>
      <x:c r="K101" s="18" t="n">
        <x:v>9</x:v>
      </x:c>
      <x:c r="L101" s="18" t="str">
        <x:v>No</x:v>
      </x:c>
      <x:c r="M101" s="18" t="str">
        <x:v>De acuerdo con lo establecido en el artículo 148 de la Constitución Española, las Comunidades Autónomas podrán asumir competencias en las siguientes materias:</x:v>
      </x:c>
      <x:c r="N101" s="18" t="str">
        <x:v>Nacionalidad, inmigración, emigración, extranjería y derecho de asilo.</x:v>
      </x:c>
      <x:c r="O101" s="18" t="str">
        <x:v>Fomento y coordinación general de la investigación científica y técnica.</x:v>
      </x:c>
      <x:c r="P101" s="18" t="str">
        <x:v>La pesca en aguas interiores, el marisqueo y la acuicultura, la caza y la pesca fluvial.</x:v>
      </x:c>
      <x:c r="Q101" s="18" t="str">
        <x:v>Régimen aduanero y arancelario; comercio exterior.</x:v>
      </x:c>
      <x:c r="R101" s="18" t="str">
        <x:v>G09</x:v>
      </x:c>
      <x:c r="S101" s="18" t="n">
        <x:v>9</x:v>
      </x:c>
      <x:c r="T101" s="18" t="str">
        <x:v>Temario general</x:v>
      </x:c>
      <x:c r="U101" s="18" t="str">
        <x:v>La organización territorial del Estado. Las Comunidades Autónomas. Los Estatutos de Autonomía. La delimitación de competencias entre el Estado y las Comunidades Autónomas en la Constitución y en los Estatutos de Autonomía. La Administración local: El municipio. La provincia.</x:v>
      </x:c>
      <x:c r="V101" s="18" t="str">
        <x:v>G09</x:v>
      </x:c>
      <x:c r="W101" s="18" t="str">
        <x:v>Constitución Española</x:v>
      </x:c>
      <x:c r="X101" s="18" t="str">
        <x:v>148</x:v>
      </x:c>
      <x:c r="Y101" s="18" t="str">
        <x:v>Competencias</x:v>
      </x:c>
      <x:c r="Z101" s="18" t="str">
        <x:v>Media</x:v>
      </x:c>
      <x:c r="AA101" s="18" t="str">
        <x:v>G09</x:v>
      </x:c>
      <x:c r="AB101" s="18" t="str"/>
      <x:c r="AC101" s="18" t="str"/>
      <x:c r="AD101" s="18" t="str">
        <x:v>No</x:v>
      </x:c>
      <x:c r="AE101" s="18" t="str">
        <x:v>Teórico</x:v>
      </x:c>
      <x:c r="AF101" s="18" t="str">
        <x:v>C</x:v>
      </x:c>
      <x:c r="AG101" s="18" t="str">
        <x:v>C</x:v>
      </x:c>
      <x:c r="AH101" s="18" t="str">
        <x:v>Válida</x:v>
      </x:c>
      <x:c r="AI101" s="18" t="str">
        <x:v>01. Información oficial de la oposición\Exámenes oficiales anteriores\2025 Convocatoria 2023 - Examen extraordinario acceso libre.pdf</x:v>
      </x:c>
      <x:c r="AJ101" s="18" t="str">
        <x:v>https://www.seg-social.es/wps/portal/wss/internet/InformacionUtil/9950/88beb45d-ca83-4bab-8162-f94ef2894562</x:v>
      </x:c>
      <x:c r="AK101" s="18" t="str">
        <x:v>Texto PDF</x:v>
      </x:c>
      <x:c r="AL101" s="18" t="n">
        <x:v>100</x:v>
      </x:c>
      <x:c r="AM101" s="18" t="str">
        <x:v>Alta</x:v>
      </x:c>
      <x:c r="AN101" s="18" t="str">
        <x:v>Regla jurídica determinista</x:v>
      </x:c>
      <x:c r="AO101" s="18" t="str">
        <x:v>2025_conv2023_extraordinario-T09</x:v>
      </x:c>
      <x:c r="AP101" s="18" t="n">
        <x:v>1</x:v>
      </x:c>
    </x:row>
    <x:row r="102">
      <x:c r="A102" s="18" t="str">
        <x:v>2025_conv2023_extraordinario-T10</x:v>
      </x:c>
      <x:c r="B102" s="18" t="n">
        <x:v>2025</x:v>
      </x:c>
      <x:c r="C102" s="18" t="n">
        <x:v>2023</x:v>
      </x:c>
      <x:c r="D102" s="28" t="n">
        <x:v>45682</x:v>
      </x:c>
      <x:c r="E102" s="18" t="str">
        <x:v>Acceso libre</x:v>
      </x:c>
      <x:c r="F102" s="18" t="str">
        <x:v>Primera parte</x:v>
      </x:c>
      <x:c r="G102" s="18" t="str">
        <x:v>Extraordinario</x:v>
      </x:c>
      <x:c r="H102" s="18" t="str">
        <x:v>Único</x:v>
      </x:c>
      <x:c r="I102" s="18" t="str">
        <x:v>Sí</x:v>
      </x:c>
      <x:c r="J102" s="18" t="str">
        <x:v>Cuestionario extraordinario sin modelo paralelo.</x:v>
      </x:c>
      <x:c r="K102" s="18" t="n">
        <x:v>10</x:v>
      </x:c>
      <x:c r="L102" s="18" t="str">
        <x:v>No</x:v>
      </x:c>
      <x:c r="M102" s="18" t="str">
        <x:v>De acuerdo con el artículo 14, apartado 2, del Tratado de la Unión Europea, los Estados miembro tendrán, en el Parlamento Europeo:</x:v>
      </x:c>
      <x:c r="N102" s="18" t="str">
        <x:v>Un mínimo de 6 y un máximo de 96 representantes.</x:v>
      </x:c>
      <x:c r="O102" s="18" t="str">
        <x:v>Un mínimo de 10 y un máximo de 80 representantes.</x:v>
      </x:c>
      <x:c r="P102" s="18" t="str">
        <x:v>Un mínimo de 10 y un máximo de 86 representantes.</x:v>
      </x:c>
      <x:c r="Q102" s="18" t="str">
        <x:v>Como máximo 96 representantes, sin mínimo.</x:v>
      </x:c>
      <x:c r="R102" s="18" t="str">
        <x:v>G10</x:v>
      </x:c>
      <x:c r="S102" s="18" t="n">
        <x:v>10</x:v>
      </x:c>
      <x:c r="T102" s="18" t="str">
        <x:v>Temario general</x:v>
      </x:c>
      <x:c r="U102" s="18" t="str">
        <x:v>Las Instituciones de la Unión Europea: El Consejo, el Parlamento Europeo, la Comisión, el Tribunal de Justicia.</x:v>
      </x:c>
      <x:c r="V102" s="18" t="str">
        <x:v>G10</x:v>
      </x:c>
      <x:c r="W102" s="18" t="str">
        <x:v>Tratado de la Unión Europea</x:v>
      </x:c>
      <x:c r="X102" s="18" t="str">
        <x:v>14</x:v>
      </x:c>
      <x:c r="Y102" s="18" t="str">
        <x:v>Artículos literales</x:v>
      </x:c>
      <x:c r="Z102" s="18" t="str">
        <x:v>Media</x:v>
      </x:c>
      <x:c r="AA102" s="18" t="str">
        <x:v>G10</x:v>
      </x:c>
      <x:c r="AB102" s="18" t="str">
        <x:v>Parlamento Europeo</x:v>
      </x:c>
      <x:c r="AC102" s="18" t="str"/>
      <x:c r="AD102" s="18" t="str">
        <x:v>No</x:v>
      </x:c>
      <x:c r="AE102" s="18" t="str">
        <x:v>Teórico</x:v>
      </x:c>
      <x:c r="AF102" s="18" t="str">
        <x:v>A</x:v>
      </x:c>
      <x:c r="AG102" s="18" t="str">
        <x:v>A</x:v>
      </x:c>
      <x:c r="AH102" s="18" t="str">
        <x:v>Válida</x:v>
      </x:c>
      <x:c r="AI102" s="18" t="str">
        <x:v>01. Información oficial de la oposición\Exámenes oficiales anteriores\2025 Convocatoria 2023 - Examen extraordinario acceso libre.pdf</x:v>
      </x:c>
      <x:c r="AJ102" s="18" t="str">
        <x:v>https://www.seg-social.es/wps/portal/wss/internet/InformacionUtil/9950/88beb45d-ca83-4bab-8162-f94ef2894562</x:v>
      </x:c>
      <x:c r="AK102" s="18" t="str">
        <x:v>Texto PDF</x:v>
      </x:c>
      <x:c r="AL102" s="18" t="n">
        <x:v>100</x:v>
      </x:c>
      <x:c r="AM102" s="18" t="str">
        <x:v>Alta</x:v>
      </x:c>
      <x:c r="AN102" s="18" t="str">
        <x:v>Regla jurídica determinista</x:v>
      </x:c>
      <x:c r="AO102" s="18" t="str">
        <x:v>2025_conv2023_extraordinario-T10</x:v>
      </x:c>
      <x:c r="AP102" s="18" t="n">
        <x:v>1</x:v>
      </x:c>
    </x:row>
    <x:row r="103">
      <x:c r="A103" s="18" t="str">
        <x:v>2025_conv2023_extraordinario-T11</x:v>
      </x:c>
      <x:c r="B103" s="18" t="n">
        <x:v>2025</x:v>
      </x:c>
      <x:c r="C103" s="18" t="n">
        <x:v>2023</x:v>
      </x:c>
      <x:c r="D103" s="28" t="n">
        <x:v>45682</x:v>
      </x:c>
      <x:c r="E103" s="18" t="str">
        <x:v>Acceso libre</x:v>
      </x:c>
      <x:c r="F103" s="18" t="str">
        <x:v>Primera parte</x:v>
      </x:c>
      <x:c r="G103" s="18" t="str">
        <x:v>Extraordinario</x:v>
      </x:c>
      <x:c r="H103" s="18" t="str">
        <x:v>Único</x:v>
      </x:c>
      <x:c r="I103" s="18" t="str">
        <x:v>Sí</x:v>
      </x:c>
      <x:c r="J103" s="18" t="str">
        <x:v>Cuestionario extraordinario sin modelo paralelo.</x:v>
      </x:c>
      <x:c r="K103" s="18" t="n">
        <x:v>11</x:v>
      </x:c>
      <x:c r="L103" s="18" t="str">
        <x:v>No</x:v>
      </x:c>
      <x:c r="M103" s="18" t="str">
        <x:v>El Acta Única Europea (AUE), que comenzó a aplicarse a partir del 1 de julio de 1987 ¿Qué tipo de mayoría estableció para las votaciones de los acuerdos de ámbito Político?</x:v>
      </x:c>
      <x:c r="N103" s="18" t="str">
        <x:v>Mayoría Simple.</x:v>
      </x:c>
      <x:c r="O103" s="18" t="str">
        <x:v>Mayoría Cualificada.</x:v>
      </x:c>
      <x:c r="P103" s="18" t="str">
        <x:v>Mayoría absoluta.</x:v>
      </x:c>
      <x:c r="Q103" s="18" t="str">
        <x:v>Mayoría de 2/5 partes de votos.</x:v>
      </x:c>
      <x:c r="R103" s="18" t="str">
        <x:v>G11</x:v>
      </x:c>
      <x:c r="S103" s="18" t="n">
        <x:v>11</x:v>
      </x:c>
      <x:c r="T103" s="18" t="str">
        <x:v>Temario general</x:v>
      </x:c>
      <x:c r="U103" s="18" t="str">
        <x:v>Las fuentes del derecho de la Unión Europea. Derecho originario. Derecho derivado: Reglamentos, directivas y decisiones. Otras fuentes. Las relaciones entre el Derecho de la Unión Europea y el ordenamiento jurídico de los Estados miembros.</x:v>
      </x:c>
      <x:c r="V103" s="18" t="str">
        <x:v>G11</x:v>
      </x:c>
      <x:c r="W103" s="18" t="str"/>
      <x:c r="X103" s="18" t="str"/>
      <x:c r="Y103" s="18" t="str">
        <x:v>Artículos literales</x:v>
      </x:c>
      <x:c r="Z103" s="18" t="str">
        <x:v>Media</x:v>
      </x:c>
      <x:c r="AA103" s="18" t="str">
        <x:v>G11</x:v>
      </x:c>
      <x:c r="AB103" s="18" t="str"/>
      <x:c r="AC103" s="18" t="str"/>
      <x:c r="AD103" s="18" t="str">
        <x:v>No</x:v>
      </x:c>
      <x:c r="AE103" s="18" t="str">
        <x:v>Teórico</x:v>
      </x:c>
      <x:c r="AF103" s="18" t="str">
        <x:v>B</x:v>
      </x:c>
      <x:c r="AG103" s="18" t="str">
        <x:v>B</x:v>
      </x:c>
      <x:c r="AH103" s="18" t="str">
        <x:v>Válida</x:v>
      </x:c>
      <x:c r="AI103" s="18" t="str">
        <x:v>01. Información oficial de la oposición\Exámenes oficiales anteriores\2025 Convocatoria 2023 - Examen extraordinario acceso libre.pdf</x:v>
      </x:c>
      <x:c r="AJ103" s="18" t="str">
        <x:v>https://www.seg-social.es/wps/portal/wss/internet/InformacionUtil/9950/88beb45d-ca83-4bab-8162-f94ef2894562</x:v>
      </x:c>
      <x:c r="AK103" s="18" t="str">
        <x:v>Texto PDF</x:v>
      </x:c>
      <x:c r="AL103" s="18" t="n">
        <x:v>100</x:v>
      </x:c>
      <x:c r="AM103" s="18" t="str">
        <x:v>Alta</x:v>
      </x:c>
      <x:c r="AN103" s="18" t="str">
        <x:v>Regla jurídica determinista</x:v>
      </x:c>
      <x:c r="AO103" s="18" t="str">
        <x:v>2025_conv2023_extraordinario-T11</x:v>
      </x:c>
      <x:c r="AP103" s="18" t="n">
        <x:v>1</x:v>
      </x:c>
    </x:row>
    <x:row r="104">
      <x:c r="A104" s="18" t="str">
        <x:v>2025_conv2023_extraordinario-T12</x:v>
      </x:c>
      <x:c r="B104" s="18" t="n">
        <x:v>2025</x:v>
      </x:c>
      <x:c r="C104" s="18" t="n">
        <x:v>2023</x:v>
      </x:c>
      <x:c r="D104" s="28" t="n">
        <x:v>45682</x:v>
      </x:c>
      <x:c r="E104" s="18" t="str">
        <x:v>Acceso libre</x:v>
      </x:c>
      <x:c r="F104" s="18" t="str">
        <x:v>Primera parte</x:v>
      </x:c>
      <x:c r="G104" s="18" t="str">
        <x:v>Extraordinario</x:v>
      </x:c>
      <x:c r="H104" s="18" t="str">
        <x:v>Único</x:v>
      </x:c>
      <x:c r="I104" s="18" t="str">
        <x:v>Sí</x:v>
      </x:c>
      <x:c r="J104" s="18" t="str">
        <x:v>Cuestionario extraordinario sin modelo paralelo.</x:v>
      </x:c>
      <x:c r="K104" s="18" t="n">
        <x:v>12</x:v>
      </x:c>
      <x:c r="L104" s="18" t="str">
        <x:v>No</x:v>
      </x:c>
      <x:c r="M104" s="18" t="str">
        <x:v>Conforme lo previsto en el Artículo 7 del Real Decreto 501/2024, de 21 de mayo, por el que se desarrolla la estructura orgánica básica del Ministerio de Inclusión, Seguridad Social y Migraciones, y se modifica el Real Decreto 1009/2023, de 5 de diciembre, por el que se establece la estructura orgánica básica de los departamentos ministeriales (BOE del 22 de mayo de 2024), de la Dirección General de Atención Humanitaria y del Sistema de Acogida de Protección Internacional dependen, con el rango que se determ ine en la correspondiente relación de puestos de trabajo o, en su caso, en la normativa de aplicación, los siguientes tipos de centros de migraciones. Señale la respuesta INCORRECTA:</x:v>
      </x:c>
      <x:c r="N104" s="18" t="str">
        <x:v>Los Centros de Primeras Llegadas.</x:v>
      </x:c>
      <x:c r="O104" s="18" t="str">
        <x:v>Los Centros de Estancia Temporal de Inmigrantes.</x:v>
      </x:c>
      <x:c r="P104" s="18" t="str">
        <x:v>Los Centros de Recepción, Atención y Derivación.</x:v>
      </x:c>
      <x:c r="Q104" s="18" t="str">
        <x:v>Los Centros de Acogida de Protección Autonómica y Local.</x:v>
      </x:c>
      <x:c r="R104" s="18" t="str">
        <x:v>G12</x:v>
      </x:c>
      <x:c r="S104" s="18" t="n">
        <x:v>12</x:v>
      </x:c>
      <x:c r="T104" s="18" t="str">
        <x:v>Temario general</x:v>
      </x:c>
      <x:c r="U104" s="18" t="str">
        <x:v>El Ministerio de Inclusión, Seguridad Social y Migraciones. Organización. Estructura y funciones.</x:v>
      </x:c>
      <x:c r="V104" s="18" t="str">
        <x:v>G12</x:v>
      </x:c>
      <x:c r="W104" s="18" t="str">
        <x:v>Real Decreto 501/2024</x:v>
      </x:c>
      <x:c r="X104" s="18" t="str">
        <x:v>7</x:v>
      </x:c>
      <x:c r="Y104" s="18" t="str">
        <x:v>Artículos literales</x:v>
      </x:c>
      <x:c r="Z104" s="18" t="str">
        <x:v>Alta</x:v>
      </x:c>
      <x:c r="AA104" s="18" t="str">
        <x:v>G12</x:v>
      </x:c>
      <x:c r="AB104" s="18" t="str"/>
      <x:c r="AC104" s="18" t="str"/>
      <x:c r="AD104" s="18" t="str">
        <x:v>Sí</x:v>
      </x:c>
      <x:c r="AE104" s="18" t="str">
        <x:v>Teórico</x:v>
      </x:c>
      <x:c r="AF104" s="18" t="str">
        <x:v>D</x:v>
      </x:c>
      <x:c r="AG104" s="18" t="str">
        <x:v>D</x:v>
      </x:c>
      <x:c r="AH104" s="18" t="str">
        <x:v>Válida</x:v>
      </x:c>
      <x:c r="AI104" s="18" t="str">
        <x:v>01. Información oficial de la oposición\Exámenes oficiales anteriores\2025 Convocatoria 2023 - Examen extraordinario acceso libre.pdf</x:v>
      </x:c>
      <x:c r="AJ104" s="18" t="str">
        <x:v>https://www.seg-social.es/wps/portal/wss/internet/InformacionUtil/9950/88beb45d-ca83-4bab-8162-f94ef2894562</x:v>
      </x:c>
      <x:c r="AK104" s="18" t="str">
        <x:v>Texto PDF</x:v>
      </x:c>
      <x:c r="AL104" s="18" t="n">
        <x:v>100</x:v>
      </x:c>
      <x:c r="AM104" s="18" t="str">
        <x:v>Alta</x:v>
      </x:c>
      <x:c r="AN104" s="18" t="str">
        <x:v>Regla jurídica determinista</x:v>
      </x:c>
      <x:c r="AO104" s="18" t="str">
        <x:v>2025_conv2023_extraordinario-T12</x:v>
      </x:c>
      <x:c r="AP104" s="18" t="n">
        <x:v>1</x:v>
      </x:c>
    </x:row>
    <x:row r="105">
      <x:c r="A105" s="18" t="str">
        <x:v>2025_conv2023_extraordinario-T13</x:v>
      </x:c>
      <x:c r="B105" s="18" t="n">
        <x:v>2025</x:v>
      </x:c>
      <x:c r="C105" s="18" t="n">
        <x:v>2023</x:v>
      </x:c>
      <x:c r="D105" s="28" t="n">
        <x:v>45682</x:v>
      </x:c>
      <x:c r="E105" s="18" t="str">
        <x:v>Acceso libre</x:v>
      </x:c>
      <x:c r="F105" s="18" t="str">
        <x:v>Primera parte</x:v>
      </x:c>
      <x:c r="G105" s="18" t="str">
        <x:v>Extraordinario</x:v>
      </x:c>
      <x:c r="H105" s="18" t="str">
        <x:v>Único</x:v>
      </x:c>
      <x:c r="I105" s="18" t="str">
        <x:v>Sí</x:v>
      </x:c>
      <x:c r="J105" s="18" t="str">
        <x:v>Cuestionario extraordinario sin modelo paralelo.</x:v>
      </x:c>
      <x:c r="K105" s="18" t="n">
        <x:v>13</x:v>
      </x:c>
      <x:c r="L105" s="18" t="str">
        <x:v>No</x:v>
      </x:c>
      <x:c r="M105" s="18" t="str">
        <x:v>Señale la afirmación correcta sobre la entrada en vigor de las leyes, de acuerdo con lo establecido en el artículo 2 del Código Civil:</x:v>
      </x:c>
      <x:c r="N105" s="18" t="str">
        <x:v>Las leyes entrarán en vigor a los treinta días de su completa publicación en el Boletín Oficial del Estado, si en ellas no se dispone otra cosa.</x:v>
      </x:c>
      <x:c r="O105" s="18" t="str">
        <x:v>Las leyes entrarán en vigor al día siguiente de su publicación en el Boletín Oficial del Estado, si en ellas no se dispone otra cosa.</x:v>
      </x:c>
      <x:c r="P105" s="18" t="str">
        <x:v>Las leyes entrarán en vigor a los veinte días de su completa publicación en el Boletín Oficial del Estado, si en ellas no se dispone otra cosa.</x:v>
      </x:c>
      <x:c r="Q105" s="18" t="str">
        <x:v>En todo caso, las leyes entrarán en vigor a los dos meses de su publicación en el Boletín Oficial del Estado.</x:v>
      </x:c>
      <x:c r="R105" s="18" t="str">
        <x:v>G13</x:v>
      </x:c>
      <x:c r="S105" s="18" t="n">
        <x:v>13</x:v>
      </x:c>
      <x:c r="T105" s="18" t="str">
        <x:v>Temario general</x:v>
      </x:c>
      <x:c r="U105" s="18" t="str">
        <x:v>Las fuentes del Derecho Administrativo. Concepto y clases. La jerarquía de las fuentes.</x:v>
      </x:c>
      <x:c r="V105" s="18" t="str">
        <x:v>G13</x:v>
      </x:c>
      <x:c r="W105" s="18" t="str"/>
      <x:c r="X105" s="18" t="str">
        <x:v>2</x:v>
      </x:c>
      <x:c r="Y105" s="18" t="str">
        <x:v>Artículos literales</x:v>
      </x:c>
      <x:c r="Z105" s="18" t="str">
        <x:v>Media</x:v>
      </x:c>
      <x:c r="AA105" s="18" t="str">
        <x:v>G13</x:v>
      </x:c>
      <x:c r="AB105" s="18" t="str"/>
      <x:c r="AC105" s="18" t="str"/>
      <x:c r="AD105" s="18" t="str">
        <x:v>No</x:v>
      </x:c>
      <x:c r="AE105" s="18" t="str">
        <x:v>Teórico</x:v>
      </x:c>
      <x:c r="AF105" s="18" t="str">
        <x:v>C</x:v>
      </x:c>
      <x:c r="AG105" s="18" t="str">
        <x:v>C</x:v>
      </x:c>
      <x:c r="AH105" s="18" t="str">
        <x:v>Válida</x:v>
      </x:c>
      <x:c r="AI105" s="18" t="str">
        <x:v>01. Información oficial de la oposición\Exámenes oficiales anteriores\2025 Convocatoria 2023 - Examen extraordinario acceso libre.pdf</x:v>
      </x:c>
      <x:c r="AJ105" s="18" t="str">
        <x:v>https://www.seg-social.es/wps/portal/wss/internet/InformacionUtil/9950/88beb45d-ca83-4bab-8162-f94ef2894562</x:v>
      </x:c>
      <x:c r="AK105" s="18" t="str">
        <x:v>Texto PDF</x:v>
      </x:c>
      <x:c r="AL105" s="18" t="n">
        <x:v>100</x:v>
      </x:c>
      <x:c r="AM105" s="18" t="str">
        <x:v>Alta</x:v>
      </x:c>
      <x:c r="AN105" s="18" t="str">
        <x:v>Regla jurídica determinista</x:v>
      </x:c>
      <x:c r="AO105" s="18" t="str">
        <x:v>2025_conv2023_extraordinario-T13</x:v>
      </x:c>
      <x:c r="AP105" s="18" t="n">
        <x:v>1</x:v>
      </x:c>
    </x:row>
    <x:row r="106">
      <x:c r="A106" s="18" t="str">
        <x:v>2025_conv2023_extraordinario-T14</x:v>
      </x:c>
      <x:c r="B106" s="18" t="n">
        <x:v>2025</x:v>
      </x:c>
      <x:c r="C106" s="18" t="n">
        <x:v>2023</x:v>
      </x:c>
      <x:c r="D106" s="28" t="n">
        <x:v>45682</x:v>
      </x:c>
      <x:c r="E106" s="18" t="str">
        <x:v>Acceso libre</x:v>
      </x:c>
      <x:c r="F106" s="18" t="str">
        <x:v>Primera parte</x:v>
      </x:c>
      <x:c r="G106" s="18" t="str">
        <x:v>Extraordinario</x:v>
      </x:c>
      <x:c r="H106" s="18" t="str">
        <x:v>Único</x:v>
      </x:c>
      <x:c r="I106" s="18" t="str">
        <x:v>Sí</x:v>
      </x:c>
      <x:c r="J106" s="18" t="str">
        <x:v>Cuestionario extraordinario sin modelo paralelo.</x:v>
      </x:c>
      <x:c r="K106" s="18" t="n">
        <x:v>14</x:v>
      </x:c>
      <x:c r="L106" s="18" t="str">
        <x:v>No</x:v>
      </x:c>
      <x:c r="M106" s="18" t="str">
        <x:v>De conformidad con el artículo 24.1 de la Ley 50/1997, de 27 de noviembre, del Gobierno, señale la respuesta INCORRECTA:</x:v>
      </x:c>
      <x:c r="N106" s="18" t="str">
        <x:v>Los reglamentos se ordenarán según la siguiente jerarquía: en primer lugar, las Disposiciones aprobadas por Orden Ministerial, y en segundo lugar las Disposiciones aprobadas por Real Decreto del Presidente del Gobierno o acordado en el Consejo de Ministros.</x:v>
      </x:c>
      <x:c r="O106" s="18" t="str">
        <x:v>Los Acuerdos del Consejo de Ministros son las decisiones de dicho órgano colegiado que no deban adoptar la forma de Real Decreto.</x:v>
      </x:c>
      <x:c r="P106" s="18" t="str">
        <x:v>Los Reales Decretos del Presidente del Gobierno son las disposiciones y actos cuya adopción venga atribuida al Presidente.</x:v>
      </x:c>
      <x:c r="Q106" s="18" t="str">
        <x:v>Los Reales Decretos Legislativos y Reales Decretos -leyes, son las decisiones que aprueban, respectivamente, las normas previstas en los artículos 82 y 86 de la Constitución.</x:v>
      </x:c>
      <x:c r="R106" s="18" t="str">
        <x:v>G14</x:v>
      </x:c>
      <x:c r="S106" s="18" t="n">
        <x:v>14</x:v>
      </x:c>
      <x:c r="T106" s="18" t="str">
        <x:v>Temario general</x:v>
      </x:c>
      <x:c r="U106" s="18" t="str">
        <x:v>La Ley. Tipos de leyes. Disposiciones del Gobierno con fuerza de ley: decreto-ley y decreto legislativo. El Reglamento: concepto, clases y límites. Los principios generales del Derecho.</x:v>
      </x:c>
      <x:c r="V106" s="18" t="str">
        <x:v>G14</x:v>
      </x:c>
      <x:c r="W106" s="18" t="str">
        <x:v>Ley 50/1997</x:v>
      </x:c>
      <x:c r="X106" s="18" t="str">
        <x:v>24.1</x:v>
      </x:c>
      <x:c r="Y106" s="18" t="str">
        <x:v>Artículos literales</x:v>
      </x:c>
      <x:c r="Z106" s="18" t="str">
        <x:v>Alta</x:v>
      </x:c>
      <x:c r="AA106" s="18" t="str">
        <x:v>G14</x:v>
      </x:c>
      <x:c r="AB106" s="18" t="str"/>
      <x:c r="AC106" s="18" t="str"/>
      <x:c r="AD106" s="18" t="str">
        <x:v>Sí</x:v>
      </x:c>
      <x:c r="AE106" s="18" t="str">
        <x:v>Teórico</x:v>
      </x:c>
      <x:c r="AF106" s="18" t="str">
        <x:v>A</x:v>
      </x:c>
      <x:c r="AG106" s="18" t="str">
        <x:v>A</x:v>
      </x:c>
      <x:c r="AH106" s="18" t="str">
        <x:v>Válida</x:v>
      </x:c>
      <x:c r="AI106" s="18" t="str">
        <x:v>01. Información oficial de la oposición\Exámenes oficiales anteriores\2025 Convocatoria 2023 - Examen extraordinario acceso libre.pdf</x:v>
      </x:c>
      <x:c r="AJ106" s="18" t="str">
        <x:v>https://www.seg-social.es/wps/portal/wss/internet/InformacionUtil/9950/88beb45d-ca83-4bab-8162-f94ef2894562</x:v>
      </x:c>
      <x:c r="AK106" s="18" t="str">
        <x:v>Texto PDF</x:v>
      </x:c>
      <x:c r="AL106" s="18" t="n">
        <x:v>100</x:v>
      </x:c>
      <x:c r="AM106" s="18" t="str">
        <x:v>Alta</x:v>
      </x:c>
      <x:c r="AN106" s="18" t="str">
        <x:v>Regla jurídica determinista</x:v>
      </x:c>
      <x:c r="AO106" s="18" t="str">
        <x:v>2025_conv2023_extraordinario-T14</x:v>
      </x:c>
      <x:c r="AP106" s="18" t="n">
        <x:v>1</x:v>
      </x:c>
    </x:row>
    <x:row r="107">
      <x:c r="A107" s="18" t="str">
        <x:v>2025_conv2023_extraordinario-T15</x:v>
      </x:c>
      <x:c r="B107" s="18" t="n">
        <x:v>2025</x:v>
      </x:c>
      <x:c r="C107" s="18" t="n">
        <x:v>2023</x:v>
      </x:c>
      <x:c r="D107" s="28" t="n">
        <x:v>45682</x:v>
      </x:c>
      <x:c r="E107" s="18" t="str">
        <x:v>Acceso libre</x:v>
      </x:c>
      <x:c r="F107" s="18" t="str">
        <x:v>Primera parte</x:v>
      </x:c>
      <x:c r="G107" s="18" t="str">
        <x:v>Extraordinario</x:v>
      </x:c>
      <x:c r="H107" s="18" t="str">
        <x:v>Único</x:v>
      </x:c>
      <x:c r="I107" s="18" t="str">
        <x:v>Sí</x:v>
      </x:c>
      <x:c r="J107" s="18" t="str">
        <x:v>Cuestionario extraordinario sin modelo paralelo.</x:v>
      </x:c>
      <x:c r="K107" s="18" t="n">
        <x:v>15</x:v>
      </x:c>
      <x:c r="L107" s="18" t="str">
        <x:v>No</x:v>
      </x:c>
      <x:c r="M107" s="18" t="str">
        <x:v>Según lo establecido en el Artículo 108 de Ley 39/2015, de 1 de octubre, del Procedimiento Administrativo Común de las Administraciones Públicas:</x:v>
      </x:c>
      <x:c r="N107" s="18" t="str">
        <x:v>Iniciado el procedimiento de revisión de oficio al que se refieren los artículos 106 y 107, el órgano competente para declarar la nulidad o lesividad, podrá suspender la ejecución del acto, cuando ésta pudiera causar perjuicios de imposible o difícil reparación.</x:v>
      </x:c>
      <x:c r="O107" s="18" t="str">
        <x:v>Iniciado el procedimiento de revisión de oficio al que se refieren los artículos 106 y 107, el órgano competente para declarar la nulidad o lesividad, podrá suspender la ejecución del acto, cuando ésta pudiera causar perjuicios de cualquier tipo para los administrados.</x:v>
      </x:c>
      <x:c r="P107" s="18" t="str">
        <x:v>Iniciado el procedimiento de revisión de oficio al que se refieren los artículos 106 y 107, únicamente el órgano superior jerárquico al competente para declarar la nulidad o lesividad, podrá suspender la ejecución del acto, cuando ésta pudiera causar perjuicios de imposible o difícil reparación.</x:v>
      </x:c>
      <x:c r="Q107" s="18" t="str">
        <x:v>Antes de iniciarse el procedimiento de revisión de oficio al que se refieren los artículos 106 y 107, el órgano competente para declarar la nulidad o lesividad, podrá suspender la ejecución del acto, cuando ésta pudiera causar perjuicios de imposible o difícil reparación.</x:v>
      </x:c>
      <x:c r="R107" s="18" t="str">
        <x:v>G15</x:v>
      </x:c>
      <x:c r="S107" s="18" t="n">
        <x:v>15</x:v>
      </x:c>
      <x:c r="T107" s="18" t="str">
        <x:v>Temario general</x:v>
      </x:c>
      <x:c r="U107" s="18" t="str">
        <x:v>Los actos administrativos. Concepto y clases. Motivación, forma y eficacia de los actos administrativos. Notificación y publicación. Nulidad y anulabilidad. La revisión de oficio.</x:v>
      </x:c>
      <x:c r="V107" s="18" t="str">
        <x:v>G15</x:v>
      </x:c>
      <x:c r="W107" s="18" t="str">
        <x:v>Ley 39/2015</x:v>
      </x:c>
      <x:c r="X107" s="18" t="str">
        <x:v>108</x:v>
      </x:c>
      <x:c r="Y107" s="18" t="str">
        <x:v>Procedimientos</x:v>
      </x:c>
      <x:c r="Z107" s="18" t="str">
        <x:v>Media</x:v>
      </x:c>
      <x:c r="AA107" s="18" t="str">
        <x:v>G15</x:v>
      </x:c>
      <x:c r="AB107" s="18" t="str"/>
      <x:c r="AC107" s="18" t="str"/>
      <x:c r="AD107" s="18" t="str">
        <x:v>No</x:v>
      </x:c>
      <x:c r="AE107" s="18" t="str">
        <x:v>Teórico</x:v>
      </x:c>
      <x:c r="AF107" s="18" t="str">
        <x:v>A</x:v>
      </x:c>
      <x:c r="AG107" s="18" t="str">
        <x:v>A</x:v>
      </x:c>
      <x:c r="AH107" s="18" t="str">
        <x:v>Válida</x:v>
      </x:c>
      <x:c r="AI107" s="18" t="str">
        <x:v>01. Información oficial de la oposición\Exámenes oficiales anteriores\2025 Convocatoria 2023 - Examen extraordinario acceso libre.pdf</x:v>
      </x:c>
      <x:c r="AJ107" s="18" t="str">
        <x:v>https://www.seg-social.es/wps/portal/wss/internet/InformacionUtil/9950/88beb45d-ca83-4bab-8162-f94ef2894562</x:v>
      </x:c>
      <x:c r="AK107" s="18" t="str">
        <x:v>Texto PDF</x:v>
      </x:c>
      <x:c r="AL107" s="18" t="n">
        <x:v>100</x:v>
      </x:c>
      <x:c r="AM107" s="18" t="str">
        <x:v>Alta</x:v>
      </x:c>
      <x:c r="AN107" s="18" t="str">
        <x:v>Regla jurídica determinista</x:v>
      </x:c>
      <x:c r="AO107" s="18" t="str">
        <x:v>2025_conv2023_extraordinario-T15</x:v>
      </x:c>
      <x:c r="AP107" s="18" t="n">
        <x:v>1</x:v>
      </x:c>
    </x:row>
    <x:row r="108">
      <x:c r="A108" s="18" t="str">
        <x:v>2025_conv2023_extraordinario-T16</x:v>
      </x:c>
      <x:c r="B108" s="18" t="n">
        <x:v>2025</x:v>
      </x:c>
      <x:c r="C108" s="18" t="n">
        <x:v>2023</x:v>
      </x:c>
      <x:c r="D108" s="28" t="n">
        <x:v>45682</x:v>
      </x:c>
      <x:c r="E108" s="18" t="str">
        <x:v>Acceso libre</x:v>
      </x:c>
      <x:c r="F108" s="18" t="str">
        <x:v>Primera parte</x:v>
      </x:c>
      <x:c r="G108" s="18" t="str">
        <x:v>Extraordinario</x:v>
      </x:c>
      <x:c r="H108" s="18" t="str">
        <x:v>Único</x:v>
      </x:c>
      <x:c r="I108" s="18" t="str">
        <x:v>Sí</x:v>
      </x:c>
      <x:c r="J108" s="18" t="str">
        <x:v>Cuestionario extraordinario sin modelo paralelo.</x:v>
      </x:c>
      <x:c r="K108" s="18" t="n">
        <x:v>16</x:v>
      </x:c>
      <x:c r="L108" s="18" t="str">
        <x:v>No</x:v>
      </x:c>
      <x:c r="M108" s="18" t="str">
        <x:v>De acuerdo con lo fijado en el art. 15, en relación con la lengua de los procedimientos, de la Ley 39/2015, de 1 de octubre, del Procedimiento Administrativo Común de las Administraciones Públicas:</x:v>
      </x:c>
      <x:c r="N108" s="18" t="str">
        <x:v>La lengua de los procedimientos tramitados por la Administración General del Estado será el castellano, independientemente del territorio de la Comunidad Autónoma.</x:v>
      </x:c>
      <x:c r="O108" s="18" t="str">
        <x:v>Los órganos de la Administración General del Estado con sede en el territorio de una Comunidad Autónoma podrán utilizar también la lengua que sea cooficial en ella.</x:v>
      </x:c>
      <x:c r="P108" s="18" t="str">
        <x:v>La lengua del procedimiento en ningún momento puede ser elegida por el interesado .</x:v>
      </x:c>
      <x:c r="Q108" s="18" t="str">
        <x:v>Si existen discrepancias en cuanto a la lengua, el procedimiento se tramitará de acuerdo la lengua cooficial del territorio de la Comunidad Autónoma en el que tenga sede la Administración General del Estado.</x:v>
      </x:c>
      <x:c r="R108" s="18" t="str">
        <x:v>G16</x:v>
      </x:c>
      <x:c r="S108" s="18" t="n">
        <x:v>16</x:v>
      </x:c>
      <x:c r="T108" s="18" t="str">
        <x:v>Temario general</x:v>
      </x:c>
      <x:c r="U108" s="18" t="str">
        <x:v>El procedimiento administrativo común. La capacidad de obrar y el concepto de interesado. Representación. Identificación y firma de los interesados. Derechos del interesado en el procedimiento administrativo. Obligación de resolver y silencio administrativo. Términos y plazos.</x:v>
      </x:c>
      <x:c r="V108" s="18" t="str">
        <x:v>G16</x:v>
      </x:c>
      <x:c r="W108" s="18" t="str">
        <x:v>Ley 39/2015</x:v>
      </x:c>
      <x:c r="X108" s="18" t="str"/>
      <x:c r="Y108" s="18" t="str">
        <x:v>Procedimientos</x:v>
      </x:c>
      <x:c r="Z108" s="18" t="str">
        <x:v>Media</x:v>
      </x:c>
      <x:c r="AA108" s="18" t="str">
        <x:v>G16</x:v>
      </x:c>
      <x:c r="AB108" s="18" t="str"/>
      <x:c r="AC108" s="18" t="str"/>
      <x:c r="AD108" s="18" t="str">
        <x:v>No</x:v>
      </x:c>
      <x:c r="AE108" s="18" t="str">
        <x:v>Teórico</x:v>
      </x:c>
      <x:c r="AF108" s="18" t="str">
        <x:v>B</x:v>
      </x:c>
      <x:c r="AG108" s="18" t="str">
        <x:v>B</x:v>
      </x:c>
      <x:c r="AH108" s="18" t="str">
        <x:v>Válida</x:v>
      </x:c>
      <x:c r="AI108" s="18" t="str">
        <x:v>01. Información oficial de la oposición\Exámenes oficiales anteriores\2025 Convocatoria 2023 - Examen extraordinario acceso libre.pdf</x:v>
      </x:c>
      <x:c r="AJ108" s="18" t="str">
        <x:v>https://www.seg-social.es/wps/portal/wss/internet/InformacionUtil/9950/88beb45d-ca83-4bab-8162-f94ef2894562</x:v>
      </x:c>
      <x:c r="AK108" s="18" t="str">
        <x:v>Texto PDF</x:v>
      </x:c>
      <x:c r="AL108" s="18" t="n">
        <x:v>100</x:v>
      </x:c>
      <x:c r="AM108" s="18" t="str">
        <x:v>Alta</x:v>
      </x:c>
      <x:c r="AN108" s="18" t="str">
        <x:v>Regla jurídica determinista</x:v>
      </x:c>
      <x:c r="AO108" s="18" t="str">
        <x:v>2025_conv2023_extraordinario-T16</x:v>
      </x:c>
      <x:c r="AP108" s="18" t="n">
        <x:v>1</x:v>
      </x:c>
    </x:row>
    <x:row r="109">
      <x:c r="A109" s="18" t="str">
        <x:v>2025_conv2023_extraordinario-T17</x:v>
      </x:c>
      <x:c r="B109" s="18" t="n">
        <x:v>2025</x:v>
      </x:c>
      <x:c r="C109" s="18" t="n">
        <x:v>2023</x:v>
      </x:c>
      <x:c r="D109" s="28" t="n">
        <x:v>45682</x:v>
      </x:c>
      <x:c r="E109" s="18" t="str">
        <x:v>Acceso libre</x:v>
      </x:c>
      <x:c r="F109" s="18" t="str">
        <x:v>Primera parte</x:v>
      </x:c>
      <x:c r="G109" s="18" t="str">
        <x:v>Extraordinario</x:v>
      </x:c>
      <x:c r="H109" s="18" t="str">
        <x:v>Único</x:v>
      </x:c>
      <x:c r="I109" s="18" t="str">
        <x:v>Sí</x:v>
      </x:c>
      <x:c r="J109" s="18" t="str">
        <x:v>Cuestionario extraordinario sin modelo paralelo.</x:v>
      </x:c>
      <x:c r="K109" s="18" t="n">
        <x:v>17</x:v>
      </x:c>
      <x:c r="L109" s="18" t="str">
        <x:v>No</x:v>
      </x:c>
      <x:c r="M109" s="18" t="str">
        <x:v>Se podrá iniciar el procedimiento administrativo, de acuerdo con lo fijado en la Ley 39/2015, de 1 de octubre, del Procedimiento Administrativo Común de las Administraciones Públicas:</x:v>
      </x:c>
      <x:c r="N109" s="18" t="str">
        <x:v>Los procedimientos se iniciarán de oficio por acuerdo del órgano competente, bien por propia iniciativa o como consecuencia de orden superior, a petición razonada de otros órganos o por denuncia.</x:v>
      </x:c>
      <x:c r="O109" s="18" t="str">
        <x:v>Los procedimientos administrativos solo pueden iniciarse de oficio.</x:v>
      </x:c>
      <x:c r="P109" s="18" t="str">
        <x:v>Los procedimientos administrativos solo pueden iniciarse a instancia de parte, mediante una solicitud formulada con los arreglos establecidos en la Ley 39/2015.</x:v>
      </x:c>
      <x:c r="Q109" s="18" t="str">
        <x:v>Ninguna de las respuestas anteriores es correcta.</x:v>
      </x:c>
      <x:c r="R109" s="18" t="str">
        <x:v>G17</x:v>
      </x:c>
      <x:c r="S109" s="18" t="n">
        <x:v>17</x:v>
      </x:c>
      <x:c r="T109" s="18" t="str">
        <x:v>Temario general</x:v>
      </x:c>
      <x:c r="U109" s="18" t="str">
        <x:v>Las fases del procedimiento administrativo: Iniciación, ordenación, instrucción y finalización. La ejecución de los actos y resoluciones administrativas.</x:v>
      </x:c>
      <x:c r="V109" s="18" t="str">
        <x:v>G17</x:v>
      </x:c>
      <x:c r="W109" s="18" t="str">
        <x:v>Ley 39/2015</x:v>
      </x:c>
      <x:c r="X109" s="18" t="str"/>
      <x:c r="Y109" s="18" t="str">
        <x:v>Procedimientos</x:v>
      </x:c>
      <x:c r="Z109" s="18" t="str">
        <x:v>Media</x:v>
      </x:c>
      <x:c r="AA109" s="18" t="str">
        <x:v>G17</x:v>
      </x:c>
      <x:c r="AB109" s="18" t="str"/>
      <x:c r="AC109" s="18" t="str"/>
      <x:c r="AD109" s="18" t="str">
        <x:v>No</x:v>
      </x:c>
      <x:c r="AE109" s="18" t="str">
        <x:v>Teórico</x:v>
      </x:c>
      <x:c r="AF109" s="18" t="str">
        <x:v>A</x:v>
      </x:c>
      <x:c r="AG109" s="18" t="str">
        <x:v>A</x:v>
      </x:c>
      <x:c r="AH109" s="18" t="str">
        <x:v>Válida</x:v>
      </x:c>
      <x:c r="AI109" s="18" t="str">
        <x:v>01. Información oficial de la oposición\Exámenes oficiales anteriores\2025 Convocatoria 2023 - Examen extraordinario acceso libre.pdf</x:v>
      </x:c>
      <x:c r="AJ109" s="18" t="str">
        <x:v>https://www.seg-social.es/wps/portal/wss/internet/InformacionUtil/9950/88beb45d-ca83-4bab-8162-f94ef2894562</x:v>
      </x:c>
      <x:c r="AK109" s="18" t="str">
        <x:v>Texto PDF</x:v>
      </x:c>
      <x:c r="AL109" s="18" t="n">
        <x:v>100</x:v>
      </x:c>
      <x:c r="AM109" s="18" t="str">
        <x:v>Alta</x:v>
      </x:c>
      <x:c r="AN109" s="18" t="str">
        <x:v>Revisión jurídica individual</x:v>
      </x:c>
      <x:c r="AO109" s="18" t="str">
        <x:v>2025_conv2023_extraordinario-T17</x:v>
      </x:c>
      <x:c r="AP109" s="18" t="n">
        <x:v>1</x:v>
      </x:c>
    </x:row>
    <x:row r="110">
      <x:c r="A110" s="18" t="str">
        <x:v>2025_conv2023_extraordinario-T18</x:v>
      </x:c>
      <x:c r="B110" s="18" t="n">
        <x:v>2025</x:v>
      </x:c>
      <x:c r="C110" s="18" t="n">
        <x:v>2023</x:v>
      </x:c>
      <x:c r="D110" s="28" t="n">
        <x:v>45682</x:v>
      </x:c>
      <x:c r="E110" s="18" t="str">
        <x:v>Acceso libre</x:v>
      </x:c>
      <x:c r="F110" s="18" t="str">
        <x:v>Primera parte</x:v>
      </x:c>
      <x:c r="G110" s="18" t="str">
        <x:v>Extraordinario</x:v>
      </x:c>
      <x:c r="H110" s="18" t="str">
        <x:v>Único</x:v>
      </x:c>
      <x:c r="I110" s="18" t="str">
        <x:v>Sí</x:v>
      </x:c>
      <x:c r="J110" s="18" t="str">
        <x:v>Cuestionario extraordinario sin modelo paralelo.</x:v>
      </x:c>
      <x:c r="K110" s="18" t="n">
        <x:v>18</x:v>
      </x:c>
      <x:c r="L110" s="18" t="str">
        <x:v>No</x:v>
      </x:c>
      <x:c r="M110" s="18" t="str">
        <x:v>En relación con el recurso potestativo de reposición de acuerdo con la Ley 39/2015, de 1 de octubre, del Procedimiento Administrativo Común de las Administraciones Públicas:</x:v>
      </x:c>
      <x:c r="N110" s="18" t="str">
        <x:v>Los actos administrativos que pongan fin a la vía administrativa podrán ser recurridos potestativamente en reposición ante el mismo órgano que los hubiera dictado o ser impugnados directamente ante el orden jurisdiccional contencioso-administrativo.</x:v>
      </x:c>
      <x:c r="O110" s="18" t="str">
        <x:v>Se podrá interponer recurso contencioso -administrativo, aunque no haya sido resuelto expresamente o se haya producido la desestimación presunta del recurso de reposición interpuesto.</x:v>
      </x:c>
      <x:c r="P110" s="18" t="str">
        <x:v>El plazo para la interposición del recurso de reposición será de tres meses, si el acto fuera expreso</x:v>
      </x:c>
      <x:c r="Q110" s="18" t="str">
        <x:v>El plazo máximo para dictar y notificar la resolución del recurso será de tres meses.</x:v>
      </x:c>
      <x:c r="R110" s="18" t="str">
        <x:v>G18</x:v>
      </x:c>
      <x:c r="S110" s="18" t="n">
        <x:v>18</x:v>
      </x:c>
      <x:c r="T110" s="18" t="str">
        <x:v>Temario general</x:v>
      </x:c>
      <x:c r="U110" s="18" t="str">
        <x:v>Los recursos administrativos: concepto y clases. Recurso de alzada. Recurso potestativo de reposición. Recurso extraordinario de revisión. La jurisdicción contencioso-administrativa: objeto y plazos de interposición del recurso contencioso administrativo.</x:v>
      </x:c>
      <x:c r="V110" s="18" t="str">
        <x:v>G18</x:v>
      </x:c>
      <x:c r="W110" s="18" t="str">
        <x:v>Ley 39/2015</x:v>
      </x:c>
      <x:c r="X110" s="18" t="str"/>
      <x:c r="Y110" s="18" t="str">
        <x:v>Procedimientos</x:v>
      </x:c>
      <x:c r="Z110" s="18" t="str">
        <x:v>Media</x:v>
      </x:c>
      <x:c r="AA110" s="18" t="str">
        <x:v>G18</x:v>
      </x:c>
      <x:c r="AB110" s="18" t="str"/>
      <x:c r="AC110" s="18" t="str"/>
      <x:c r="AD110" s="18" t="str">
        <x:v>No</x:v>
      </x:c>
      <x:c r="AE110" s="18" t="str">
        <x:v>Teórico</x:v>
      </x:c>
      <x:c r="AF110" s="18" t="str">
        <x:v>A</x:v>
      </x:c>
      <x:c r="AG110" s="18" t="str">
        <x:v>A</x:v>
      </x:c>
      <x:c r="AH110" s="18" t="str">
        <x:v>Válida</x:v>
      </x:c>
      <x:c r="AI110" s="18" t="str">
        <x:v>01. Información oficial de la oposición\Exámenes oficiales anteriores\2025 Convocatoria 2023 - Examen extraordinario acceso libre.pdf</x:v>
      </x:c>
      <x:c r="AJ110" s="18" t="str">
        <x:v>https://www.seg-social.es/wps/portal/wss/internet/InformacionUtil/9950/88beb45d-ca83-4bab-8162-f94ef2894562</x:v>
      </x:c>
      <x:c r="AK110" s="18" t="str">
        <x:v>Texto PDF</x:v>
      </x:c>
      <x:c r="AL110" s="18" t="n">
        <x:v>100</x:v>
      </x:c>
      <x:c r="AM110" s="18" t="str">
        <x:v>Alta</x:v>
      </x:c>
      <x:c r="AN110" s="18" t="str">
        <x:v>Regla jurídica determinista</x:v>
      </x:c>
      <x:c r="AO110" s="18" t="str">
        <x:v>2025_conv2023_extraordinario-T18</x:v>
      </x:c>
      <x:c r="AP110" s="18" t="n">
        <x:v>1</x:v>
      </x:c>
    </x:row>
    <x:row r="111">
      <x:c r="A111" s="18" t="str">
        <x:v>2025_conv2023_extraordinario-T19</x:v>
      </x:c>
      <x:c r="B111" s="18" t="n">
        <x:v>2025</x:v>
      </x:c>
      <x:c r="C111" s="18" t="n">
        <x:v>2023</x:v>
      </x:c>
      <x:c r="D111" s="28" t="n">
        <x:v>45682</x:v>
      </x:c>
      <x:c r="E111" s="18" t="str">
        <x:v>Acceso libre</x:v>
      </x:c>
      <x:c r="F111" s="18" t="str">
        <x:v>Primera parte</x:v>
      </x:c>
      <x:c r="G111" s="18" t="str">
        <x:v>Extraordinario</x:v>
      </x:c>
      <x:c r="H111" s="18" t="str">
        <x:v>Único</x:v>
      </x:c>
      <x:c r="I111" s="18" t="str">
        <x:v>Sí</x:v>
      </x:c>
      <x:c r="J111" s="18" t="str">
        <x:v>Cuestionario extraordinario sin modelo paralelo.</x:v>
      </x:c>
      <x:c r="K111" s="18" t="n">
        <x:v>19</x:v>
      </x:c>
      <x:c r="L111" s="18" t="str">
        <x:v>No</x:v>
      </x:c>
      <x:c r="M111" s="18" t="str">
        <x:v>Respecto a la renuncia voluntaria a la condición de funcionario recogida en el art. 64 del Real Decreto Legislativo 5/2015, de 30 de octubre, por el que se aprueba el texto refundido de la Ley del Estatuto Básico del Empleado Público:</x:v>
      </x:c>
      <x:c r="N111" s="18" t="str">
        <x:v>Habrá de ser manifestada por escrito y será aceptada expresamente por la Administración, salvo cuando el funcionario esté sujeto a expediente disciplinario o haya sido dictado en su contra auto de procesamiento o de apertura de juicio oral por la comisión de algún delito.</x:v>
      </x:c>
      <x:c r="O111" s="18" t="str">
        <x:v>La renuncia a la condición de funcionario inhabilita para ingresar de nuevo en la Administración Pública a través del procedimiento de selección establecido.</x:v>
      </x:c>
      <x:c r="P111" s="18" t="str">
        <x:v>Habrá de ser manifestada por escrito y será aceptada expresamente por la Administración, salvo cuando el funcionario esté sujeto a expediente disciplinario o haya sido dictad a en su contra sentencia firme o de apertura de juicio oral por la comisión de alguna falta.</x:v>
      </x:c>
      <x:c r="Q111" s="18" t="str">
        <x:v>Habrá de ser manifestada por cualquier medio, oral o escrito, y será aceptada expresamente por la Administración o por silencio administrativo transcurrido el plazo de un mes desde su solicitud sin haber obtenido respuesta, salvo cuando el funcionario esté sujeto a expediente disciplinario o haya sido dictado en su contra auto de procesamiento o de apertura de juicio oral por la comisión de algún delito o falta.</x:v>
      </x:c>
      <x:c r="R111" s="18" t="str">
        <x:v>G19</x:v>
      </x:c>
      <x:c r="S111" s="18" t="n">
        <x:v>19</x:v>
      </x:c>
      <x:c r="T111" s="18" t="str">
        <x:v>Temario general</x:v>
      </x:c>
      <x:c r="U111" s="18" t="str">
        <x:v>El personal al servicio de las Administraciones Públicas: concepto y clases. Derechos y deberes de los funcionarios. La carrera administrativa. Las incompatibilidades. Régimen disciplinario: faltas, sanciones y procedimiento.</x:v>
      </x:c>
      <x:c r="V111" s="18" t="str">
        <x:v>G19</x:v>
      </x:c>
      <x:c r="W111" s="18" t="str">
        <x:v>Real Decreto Legislativo 5/2015</x:v>
      </x:c>
      <x:c r="X111" s="18" t="str"/>
      <x:c r="Y111" s="18" t="str">
        <x:v>Artículos literales</x:v>
      </x:c>
      <x:c r="Z111" s="18" t="str">
        <x:v>Media</x:v>
      </x:c>
      <x:c r="AA111" s="18" t="str">
        <x:v>G19</x:v>
      </x:c>
      <x:c r="AB111" s="18" t="str"/>
      <x:c r="AC111" s="18" t="str"/>
      <x:c r="AD111" s="18" t="str">
        <x:v>No</x:v>
      </x:c>
      <x:c r="AE111" s="18" t="str">
        <x:v>Teórico</x:v>
      </x:c>
      <x:c r="AF111" s="18" t="str">
        <x:v>A</x:v>
      </x:c>
      <x:c r="AG111" s="18" t="str">
        <x:v>A</x:v>
      </x:c>
      <x:c r="AH111" s="18" t="str">
        <x:v>Válida</x:v>
      </x:c>
      <x:c r="AI111" s="18" t="str">
        <x:v>01. Información oficial de la oposición\Exámenes oficiales anteriores\2025 Convocatoria 2023 - Examen extraordinario acceso libre.pdf</x:v>
      </x:c>
      <x:c r="AJ111" s="18" t="str">
        <x:v>https://www.seg-social.es/wps/portal/wss/internet/InformacionUtil/9950/88beb45d-ca83-4bab-8162-f94ef2894562</x:v>
      </x:c>
      <x:c r="AK111" s="18" t="str">
        <x:v>Texto PDF</x:v>
      </x:c>
      <x:c r="AL111" s="18" t="n">
        <x:v>100</x:v>
      </x:c>
      <x:c r="AM111" s="18" t="str">
        <x:v>Alta</x:v>
      </x:c>
      <x:c r="AN111" s="18" t="str">
        <x:v>Regla jurídica determinista</x:v>
      </x:c>
      <x:c r="AO111" s="18" t="str">
        <x:v>2025_conv2023_extraordinario-T19</x:v>
      </x:c>
      <x:c r="AP111" s="18" t="n">
        <x:v>1</x:v>
      </x:c>
    </x:row>
    <x:row r="112">
      <x:c r="A112" s="18" t="str">
        <x:v>2025_conv2023_extraordinario-T20</x:v>
      </x:c>
      <x:c r="B112" s="18" t="n">
        <x:v>2025</x:v>
      </x:c>
      <x:c r="C112" s="18" t="n">
        <x:v>2023</x:v>
      </x:c>
      <x:c r="D112" s="28" t="n">
        <x:v>45682</x:v>
      </x:c>
      <x:c r="E112" s="18" t="str">
        <x:v>Acceso libre</x:v>
      </x:c>
      <x:c r="F112" s="18" t="str">
        <x:v>Primera parte</x:v>
      </x:c>
      <x:c r="G112" s="18" t="str">
        <x:v>Extraordinario</x:v>
      </x:c>
      <x:c r="H112" s="18" t="str">
        <x:v>Único</x:v>
      </x:c>
      <x:c r="I112" s="18" t="str">
        <x:v>Sí</x:v>
      </x:c>
      <x:c r="J112" s="18" t="str">
        <x:v>Cuestionario extraordinario sin modelo paralelo.</x:v>
      </x:c>
      <x:c r="K112" s="18" t="n">
        <x:v>20</x:v>
      </x:c>
      <x:c r="L112" s="18" t="str">
        <x:v>No</x:v>
      </x:c>
      <x:c r="M112" s="18" t="str">
        <x:v>Según el artículo 7 de la Ley Orgánica 4/2001, de 12 de noviembre, reguladora del Derecho de Petición, si el escrito de petición no reuniera los requisitos establecidos, o no reflejara los datos necesarios con la suficiente claridad, se requerirá al peticionario para que subsane los defectos advertidos en el plazo de:</x:v>
      </x:c>
      <x:c r="N112" s="18" t="str">
        <x:v>30 días.</x:v>
      </x:c>
      <x:c r="O112" s="18" t="str">
        <x:v>10 días.</x:v>
      </x:c>
      <x:c r="P112" s="18" t="str">
        <x:v>15 días.</x:v>
      </x:c>
      <x:c r="Q112" s="18" t="str">
        <x:v>20 días.</x:v>
      </x:c>
      <x:c r="R112" s="18" t="str">
        <x:v>G20</x:v>
      </x:c>
      <x:c r="S112" s="18" t="n">
        <x:v>20</x:v>
      </x:c>
      <x:c r="T112" s="18" t="str">
        <x:v>Temario general</x:v>
      </x:c>
      <x:c r="U112" s="18" t="str">
        <x:v>Atención al público. Atención de personas con discapacidad. Los servicios de información administrativa. Información general y particular al ciudadano. Iniciativas. Reclamaciones. Quejas. Peticiones.</x:v>
      </x:c>
      <x:c r="V112" s="18" t="str">
        <x:v>G20</x:v>
      </x:c>
      <x:c r="W112" s="18" t="str">
        <x:v>Ley Orgánica 4/2001</x:v>
      </x:c>
      <x:c r="X112" s="18" t="str">
        <x:v>7</x:v>
      </x:c>
      <x:c r="Y112" s="18" t="str">
        <x:v>Plazos</x:v>
      </x:c>
      <x:c r="Z112" s="18" t="str">
        <x:v>Media</x:v>
      </x:c>
      <x:c r="AA112" s="18" t="str">
        <x:v>G20</x:v>
      </x:c>
      <x:c r="AB112" s="18" t="str"/>
      <x:c r="AC112" s="18" t="str"/>
      <x:c r="AD112" s="18" t="str">
        <x:v>No</x:v>
      </x:c>
      <x:c r="AE112" s="18" t="str">
        <x:v>Teórico</x:v>
      </x:c>
      <x:c r="AF112" s="18" t="str">
        <x:v>C</x:v>
      </x:c>
      <x:c r="AG112" s="18" t="str">
        <x:v>C</x:v>
      </x:c>
      <x:c r="AH112" s="18" t="str">
        <x:v>Válida</x:v>
      </x:c>
      <x:c r="AI112" s="18" t="str">
        <x:v>01. Información oficial de la oposición\Exámenes oficiales anteriores\2025 Convocatoria 2023 - Examen extraordinario acceso libre.pdf</x:v>
      </x:c>
      <x:c r="AJ112" s="18" t="str">
        <x:v>https://www.seg-social.es/wps/portal/wss/internet/InformacionUtil/9950/88beb45d-ca83-4bab-8162-f94ef2894562</x:v>
      </x:c>
      <x:c r="AK112" s="18" t="str">
        <x:v>Texto PDF</x:v>
      </x:c>
      <x:c r="AL112" s="18" t="n">
        <x:v>100</x:v>
      </x:c>
      <x:c r="AM112" s="18" t="str">
        <x:v>Alta</x:v>
      </x:c>
      <x:c r="AN112" s="18" t="str">
        <x:v>Regla jurídica determinista</x:v>
      </x:c>
      <x:c r="AO112" s="18" t="str">
        <x:v>2025_conv2023_extraordinario-T20</x:v>
      </x:c>
      <x:c r="AP112" s="18" t="n">
        <x:v>1</x:v>
      </x:c>
    </x:row>
    <x:row r="113">
      <x:c r="A113" s="18" t="str">
        <x:v>2025_conv2023_extraordinario-T21</x:v>
      </x:c>
      <x:c r="B113" s="18" t="n">
        <x:v>2025</x:v>
      </x:c>
      <x:c r="C113" s="18" t="n">
        <x:v>2023</x:v>
      </x:c>
      <x:c r="D113" s="28" t="n">
        <x:v>45682</x:v>
      </x:c>
      <x:c r="E113" s="18" t="str">
        <x:v>Acceso libre</x:v>
      </x:c>
      <x:c r="F113" s="18" t="str">
        <x:v>Primera parte</x:v>
      </x:c>
      <x:c r="G113" s="18" t="str">
        <x:v>Extraordinario</x:v>
      </x:c>
      <x:c r="H113" s="18" t="str">
        <x:v>Único</x:v>
      </x:c>
      <x:c r="I113" s="18" t="str">
        <x:v>Sí</x:v>
      </x:c>
      <x:c r="J113" s="18" t="str">
        <x:v>Cuestionario extraordinario sin modelo paralelo.</x:v>
      </x:c>
      <x:c r="K113" s="18" t="n">
        <x:v>21</x:v>
      </x:c>
      <x:c r="L113" s="18" t="str">
        <x:v>No</x:v>
      </x:c>
      <x:c r="M113" s="18" t="str">
        <x:v>Según el artículo 87 del Real Decreto Legislativo 1/2013, de 29 de noviembre, por el que se aprueba el Texto Refundido de la Ley General de derechos de las personas con discapacidad y de su inclusión social, las sanciones impuestas en materia de igualdad de oportunidades, no discriminación y accesibilidad universal de las personas con discapacidad prescribirán:</x:v>
      </x:c>
      <x:c r="N113" s="18" t="str">
        <x:v>A los 4 años si se trata de sanciones muy graves.</x:v>
      </x:c>
      <x:c r="O113" s="18" t="str">
        <x:v>A los 3 años si se trata de sanciones graves.</x:v>
      </x:c>
      <x:c r="P113" s="18" t="str">
        <x:v>A los 6 meses si se trata de sanciones leves.</x:v>
      </x:c>
      <x:c r="Q113" s="18" t="str">
        <x:v>A los 5 años si se trata de sanciones muy graves.</x:v>
      </x:c>
      <x:c r="R113" s="18" t="str">
        <x:v>G21</x:v>
      </x:c>
      <x:c r="S113" s="18" t="n">
        <x:v>21</x:v>
      </x:c>
      <x:c r="T113" s="18" t="str">
        <x:v>Temario general</x:v>
      </x:c>
      <x:c r="U113" s="18" t="str">
        <x:v>Políticas de igualdad y contra la violencia de género. Discapacidad y dependencia: régimen jurídico. La Ley 4/2023, de 28 de febrero, para la igualdad real y efectiva de las personas trans y para la garantía de los derechos de las personas LGTBI.</x:v>
      </x:c>
      <x:c r="V113" s="18" t="str">
        <x:v>G21</x:v>
      </x:c>
      <x:c r="W113" s="18" t="str">
        <x:v>Real Decreto Legislativo 1/2013</x:v>
      </x:c>
      <x:c r="X113" s="18" t="str">
        <x:v>87</x:v>
      </x:c>
      <x:c r="Y113" s="18" t="str">
        <x:v>Artículos literales</x:v>
      </x:c>
      <x:c r="Z113" s="18" t="str">
        <x:v>Alta</x:v>
      </x:c>
      <x:c r="AA113" s="18" t="str">
        <x:v>G21</x:v>
      </x:c>
      <x:c r="AB113" s="18" t="str"/>
      <x:c r="AC113" s="18" t="str"/>
      <x:c r="AD113" s="18" t="str">
        <x:v>No</x:v>
      </x:c>
      <x:c r="AE113" s="18" t="str">
        <x:v>Teórico</x:v>
      </x:c>
      <x:c r="AF113" s="18" t="str">
        <x:v>D</x:v>
      </x:c>
      <x:c r="AG113" s="18" t="str">
        <x:v>D</x:v>
      </x:c>
      <x:c r="AH113" s="18" t="str">
        <x:v>Válida</x:v>
      </x:c>
      <x:c r="AI113" s="18" t="str">
        <x:v>01. Información oficial de la oposición\Exámenes oficiales anteriores\2025 Convocatoria 2023 - Examen extraordinario acceso libre.pdf</x:v>
      </x:c>
      <x:c r="AJ113" s="18" t="str">
        <x:v>https://www.seg-social.es/wps/portal/wss/internet/InformacionUtil/9950/88beb45d-ca83-4bab-8162-f94ef2894562</x:v>
      </x:c>
      <x:c r="AK113" s="18" t="str">
        <x:v>Texto PDF</x:v>
      </x:c>
      <x:c r="AL113" s="18" t="n">
        <x:v>100</x:v>
      </x:c>
      <x:c r="AM113" s="18" t="str">
        <x:v>Alta</x:v>
      </x:c>
      <x:c r="AN113" s="18" t="str">
        <x:v>Regla jurídica determinista</x:v>
      </x:c>
      <x:c r="AO113" s="18" t="str">
        <x:v>2025_conv2023_extraordinario-T21</x:v>
      </x:c>
      <x:c r="AP113" s="18" t="n">
        <x:v>1</x:v>
      </x:c>
    </x:row>
    <x:row r="114">
      <x:c r="A114" s="18" t="str">
        <x:v>2025_conv2023_extraordinario-T22</x:v>
      </x:c>
      <x:c r="B114" s="18" t="n">
        <x:v>2025</x:v>
      </x:c>
      <x:c r="C114" s="18" t="n">
        <x:v>2023</x:v>
      </x:c>
      <x:c r="D114" s="28" t="n">
        <x:v>45682</x:v>
      </x:c>
      <x:c r="E114" s="18" t="str">
        <x:v>Acceso libre</x:v>
      </x:c>
      <x:c r="F114" s="18" t="str">
        <x:v>Primera parte</x:v>
      </x:c>
      <x:c r="G114" s="18" t="str">
        <x:v>Extraordinario</x:v>
      </x:c>
      <x:c r="H114" s="18" t="str">
        <x:v>Único</x:v>
      </x:c>
      <x:c r="I114" s="18" t="str">
        <x:v>Sí</x:v>
      </x:c>
      <x:c r="J114" s="18" t="str">
        <x:v>Cuestionario extraordinario sin modelo paralelo.</x:v>
      </x:c>
      <x:c r="K114" s="18" t="n">
        <x:v>22</x:v>
      </x:c>
      <x:c r="L114" s="18" t="str">
        <x:v>No</x:v>
      </x:c>
      <x:c r="M114" s="18" t="str">
        <x:v>De acuerdo con lo dispuesto en el art. 44 de la Ley Orgánica 3/2018, de 5 de diciembre, de Protección de Datos Personales y garantías de los derechos digitales, señale la afirmación correcta en relación con la Agencia Española de Protección de Datos:</x:v>
      </x:c>
      <x:c r="N114" s="18" t="str">
        <x:v>Es una autoridad administrativa independiente de ámbito estatal, que se relaciona con el Gobierno a través del Ministerio de la Presidencia, Justicia y Relaciones con las Cortes.</x:v>
      </x:c>
      <x:c r="O114" s="18" t="str">
        <x:v>Es un organismo independiente de ámbito europeo, que actúa bajo la supervisión y dirección del Comité Europeo de Protección de Datos (CEPD).</x:v>
      </x:c>
      <x:c r="P114" s="18" t="str">
        <x:v>Es una autoridad administrativa independiente de ámbito estatal, que se relaciona con el Gobierno a través del Ministerio para la Transformación Digital y de la Función Pública.</x:v>
      </x:c>
      <x:c r="Q114" s="18" t="str">
        <x:v>Es una autoridad administrativa dependiente de ámbito estatal, que actúa bajo la supervisión y dirección del Consejo General del Poder Judicial.</x:v>
      </x:c>
      <x:c r="R114" s="18" t="str">
        <x:v>G22</x:v>
      </x:c>
      <x:c r="S114" s="18" t="n">
        <x:v>22</x:v>
      </x:c>
      <x:c r="T114" s="18" t="str">
        <x:v>Temario general</x:v>
      </x:c>
      <x:c r="U114" s="18" t="str">
        <x:v>Normativa reguladora de la protección de datos personales: principios, derechos de las personas y ejercicios de los derechos.</x:v>
      </x:c>
      <x:c r="V114" s="18" t="str">
        <x:v>G22</x:v>
      </x:c>
      <x:c r="W114" s="18" t="str">
        <x:v>Ley Orgánica 3/2018</x:v>
      </x:c>
      <x:c r="X114" s="18" t="str"/>
      <x:c r="Y114" s="18" t="str">
        <x:v>Artículos literales</x:v>
      </x:c>
      <x:c r="Z114" s="18" t="str">
        <x:v>Media</x:v>
      </x:c>
      <x:c r="AA114" s="18" t="str">
        <x:v>G22</x:v>
      </x:c>
      <x:c r="AB114" s="18" t="str"/>
      <x:c r="AC114" s="18" t="str"/>
      <x:c r="AD114" s="18" t="str">
        <x:v>No</x:v>
      </x:c>
      <x:c r="AE114" s="18" t="str">
        <x:v>Teórico</x:v>
      </x:c>
      <x:c r="AF114" s="18" t="str">
        <x:v>A</x:v>
      </x:c>
      <x:c r="AG114" s="18" t="str">
        <x:v>A</x:v>
      </x:c>
      <x:c r="AH114" s="18" t="str">
        <x:v>Válida</x:v>
      </x:c>
      <x:c r="AI114" s="18" t="str">
        <x:v>01. Información oficial de la oposición\Exámenes oficiales anteriores\2025 Convocatoria 2023 - Examen extraordinario acceso libre.pdf</x:v>
      </x:c>
      <x:c r="AJ114" s="18" t="str">
        <x:v>https://www.seg-social.es/wps/portal/wss/internet/InformacionUtil/9950/88beb45d-ca83-4bab-8162-f94ef2894562</x:v>
      </x:c>
      <x:c r="AK114" s="18" t="str">
        <x:v>Texto PDF</x:v>
      </x:c>
      <x:c r="AL114" s="18" t="n">
        <x:v>100</x:v>
      </x:c>
      <x:c r="AM114" s="18" t="str">
        <x:v>Alta</x:v>
      </x:c>
      <x:c r="AN114" s="18" t="str">
        <x:v>Regla jurídica determinista</x:v>
      </x:c>
      <x:c r="AO114" s="18" t="str">
        <x:v>2025_conv2023_extraordinario-T22</x:v>
      </x:c>
      <x:c r="AP114" s="18" t="n">
        <x:v>1</x:v>
      </x:c>
    </x:row>
    <x:row r="115">
      <x:c r="A115" s="18" t="str">
        <x:v>2025_conv2023_extraordinario-T23</x:v>
      </x:c>
      <x:c r="B115" s="18" t="n">
        <x:v>2025</x:v>
      </x:c>
      <x:c r="C115" s="18" t="n">
        <x:v>2023</x:v>
      </x:c>
      <x:c r="D115" s="28" t="n">
        <x:v>45682</x:v>
      </x:c>
      <x:c r="E115" s="18" t="str">
        <x:v>Acceso libre</x:v>
      </x:c>
      <x:c r="F115" s="18" t="str">
        <x:v>Primera parte</x:v>
      </x:c>
      <x:c r="G115" s="18" t="str">
        <x:v>Extraordinario</x:v>
      </x:c>
      <x:c r="H115" s="18" t="str">
        <x:v>Único</x:v>
      </x:c>
      <x:c r="I115" s="18" t="str">
        <x:v>Sí</x:v>
      </x:c>
      <x:c r="J115" s="18" t="str">
        <x:v>Cuestionario extraordinario sin modelo paralelo.</x:v>
      </x:c>
      <x:c r="K115" s="18" t="n">
        <x:v>23</x:v>
      </x:c>
      <x:c r="L115" s="18" t="str">
        <x:v>No</x:v>
      </x:c>
      <x:c r="M115" s="18" t="str">
        <x:v>Conforme al art. 14, apartado 1 del Real Decreto 203/2021, ¿qué plazo tiene el interesado para subsanar la falta de utilización de medios electrónicos cuando está obligado a ello?</x:v>
      </x:c>
      <x:c r="N115" s="18" t="str">
        <x:v>10 días.</x:v>
      </x:c>
      <x:c r="O115" s="18" t="str">
        <x:v>5 días.</x:v>
      </x:c>
      <x:c r="P115" s="18" t="str">
        <x:v>30 días.</x:v>
      </x:c>
      <x:c r="Q115" s="18" t="str">
        <x:v>20 días.</x:v>
      </x:c>
      <x:c r="R115" s="18" t="str">
        <x:v>G23</x:v>
      </x:c>
      <x:c r="S115" s="18" t="n">
        <x:v>23</x:v>
      </x:c>
      <x:c r="T115" s="18" t="str">
        <x:v>Temario general</x:v>
      </x:c>
      <x:c r="U115" s="18" t="str">
        <x:v>El funcionamiento electrónico del sector público. Derecho y obligación de relacionarse electrónicamente con las Administraciones Públicas, registros y archivo electrónico.</x:v>
      </x:c>
      <x:c r="V115" s="18" t="str">
        <x:v>G23</x:v>
      </x:c>
      <x:c r="W115" s="18" t="str">
        <x:v>Real Decreto 203/2021</x:v>
      </x:c>
      <x:c r="X115" s="18" t="str"/>
      <x:c r="Y115" s="18" t="str">
        <x:v>Plazos</x:v>
      </x:c>
      <x:c r="Z115" s="18" t="str">
        <x:v>Media</x:v>
      </x:c>
      <x:c r="AA115" s="18" t="str">
        <x:v>G23</x:v>
      </x:c>
      <x:c r="AB115" s="18" t="str"/>
      <x:c r="AC115" s="18" t="str"/>
      <x:c r="AD115" s="18" t="str">
        <x:v>No</x:v>
      </x:c>
      <x:c r="AE115" s="18" t="str">
        <x:v>Teórico</x:v>
      </x:c>
      <x:c r="AF115" s="18" t="str">
        <x:v>A</x:v>
      </x:c>
      <x:c r="AG115" s="18" t="str">
        <x:v>A</x:v>
      </x:c>
      <x:c r="AH115" s="18" t="str">
        <x:v>Válida</x:v>
      </x:c>
      <x:c r="AI115" s="18" t="str">
        <x:v>01. Información oficial de la oposición\Exámenes oficiales anteriores\2025 Convocatoria 2023 - Examen extraordinario acceso libre.pdf</x:v>
      </x:c>
      <x:c r="AJ115" s="18" t="str">
        <x:v>https://www.seg-social.es/wps/portal/wss/internet/InformacionUtil/9950/88beb45d-ca83-4bab-8162-f94ef2894562</x:v>
      </x:c>
      <x:c r="AK115" s="18" t="str">
        <x:v>Texto PDF</x:v>
      </x:c>
      <x:c r="AL115" s="18" t="n">
        <x:v>100</x:v>
      </x:c>
      <x:c r="AM115" s="18" t="str">
        <x:v>Alta</x:v>
      </x:c>
      <x:c r="AN115" s="18" t="str">
        <x:v>Regla jurídica determinista</x:v>
      </x:c>
      <x:c r="AO115" s="18" t="str">
        <x:v>2025_conv2023_extraordinario-T23</x:v>
      </x:c>
      <x:c r="AP115" s="18" t="n">
        <x:v>1</x:v>
      </x:c>
    </x:row>
    <x:row r="116">
      <x:c r="A116" s="18" t="str">
        <x:v>2025_conv2023_extraordinario-T24</x:v>
      </x:c>
      <x:c r="B116" s="18" t="n">
        <x:v>2025</x:v>
      </x:c>
      <x:c r="C116" s="18" t="n">
        <x:v>2023</x:v>
      </x:c>
      <x:c r="D116" s="28" t="n">
        <x:v>45682</x:v>
      </x:c>
      <x:c r="E116" s="18" t="str">
        <x:v>Acceso libre</x:v>
      </x:c>
      <x:c r="F116" s="18" t="str">
        <x:v>Primera parte</x:v>
      </x:c>
      <x:c r="G116" s="18" t="str">
        <x:v>Extraordinario</x:v>
      </x:c>
      <x:c r="H116" s="18" t="str">
        <x:v>Único</x:v>
      </x:c>
      <x:c r="I116" s="18" t="str">
        <x:v>Sí</x:v>
      </x:c>
      <x:c r="J116" s="18" t="str">
        <x:v>Cuestionario extraordinario sin modelo paralelo.</x:v>
      </x:c>
      <x:c r="K116" s="18" t="n">
        <x:v>24</x:v>
      </x:c>
      <x:c r="L116" s="18" t="str">
        <x:v>No</x:v>
      </x:c>
      <x:c r="M116" s="18" t="str">
        <x:v>Según el artículo 8 del Texto Refundido de la Ley General de la Seguridad Social, las personas comprendidas en el campo de aplicación del sistema de la Seguridad Social:</x:v>
      </x:c>
      <x:c r="N116" s="18" t="str">
        <x:v>No podrán estar incluidas por el mismo trabajo, con carácter voluntario, en otros regímenes de previsión distintos de los que integran dicho sistema.</x:v>
      </x:c>
      <x:c r="O116" s="18" t="str">
        <x:v>No podrán estar incluidas por el mismo trabajo, con carácter obligatorio, en otros regímenes de previsión distintos de los que integran dicho sistema.</x:v>
      </x:c>
      <x:c r="P116" s="18" t="str">
        <x:v>Podrán estar incluidas por el mismo trabajo, con carácter obligatorio, en otros regímenes de previsión distintos de los que integran dicho sistema.</x:v>
      </x:c>
      <x:c r="Q116" s="18" t="str">
        <x:v>Podrán estar incluidas por el mismo trabajo, con carácter voluntario, en otros regímenes de previsión distintos de los que integran dicho sistema.</x:v>
      </x:c>
      <x:c r="R116" s="18" t="str">
        <x:v>S02</x:v>
      </x:c>
      <x:c r="S116" s="18" t="n">
        <x:v>2</x:v>
      </x:c>
      <x:c r="T116" s="18" t="str">
        <x:v>Temario específico Seguridad Social</x:v>
      </x:c>
      <x:c r="U116" s="18" t="str">
        <x:v>Campo de aplicación y composición del sistema de la Seguridad Social. Régimen general: ámbito subjetivo de aplicación, inclusiones y exclusiones. Regímenes especiales: enumeración, características generales, altas, bajas y cotización. Particularidades de la acción protectora. Sistemas especiales: enumeración y características generales. Altas, bajas y cotización. Particularidades de la acción protectora.</x:v>
      </x:c>
      <x:c r="V116" s="18" t="str">
        <x:v>S02</x:v>
      </x:c>
      <x:c r="W116" s="18" t="str">
        <x:v>Texto Refundido de la Ley General de la Seguridad Social</x:v>
      </x:c>
      <x:c r="X116" s="18" t="str">
        <x:v>8</x:v>
      </x:c>
      <x:c r="Y116" s="18" t="str">
        <x:v>Artículos literales</x:v>
      </x:c>
      <x:c r="Z116" s="18" t="str">
        <x:v>Media</x:v>
      </x:c>
      <x:c r="AA116" s="18" t="str">
        <x:v>S02</x:v>
      </x:c>
      <x:c r="AB116" s="18" t="str"/>
      <x:c r="AC116" s="18" t="str"/>
      <x:c r="AD116" s="18" t="str">
        <x:v>No</x:v>
      </x:c>
      <x:c r="AE116" s="18" t="str">
        <x:v>Teórico</x:v>
      </x:c>
      <x:c r="AF116" s="18" t="str">
        <x:v>B</x:v>
      </x:c>
      <x:c r="AG116" s="18" t="str">
        <x:v>B</x:v>
      </x:c>
      <x:c r="AH116" s="18" t="str">
        <x:v>Válida</x:v>
      </x:c>
      <x:c r="AI116" s="18" t="str">
        <x:v>01. Información oficial de la oposición\Exámenes oficiales anteriores\2025 Convocatoria 2023 - Examen extraordinario acceso libre.pdf</x:v>
      </x:c>
      <x:c r="AJ116" s="18" t="str">
        <x:v>https://www.seg-social.es/wps/portal/wss/internet/InformacionUtil/9950/88beb45d-ca83-4bab-8162-f94ef2894562</x:v>
      </x:c>
      <x:c r="AK116" s="18" t="str">
        <x:v>Texto PDF</x:v>
      </x:c>
      <x:c r="AL116" s="18" t="n">
        <x:v>100</x:v>
      </x:c>
      <x:c r="AM116" s="18" t="str">
        <x:v>Alta</x:v>
      </x:c>
      <x:c r="AN116" s="18" t="str">
        <x:v>Regla jurídica determinista</x:v>
      </x:c>
      <x:c r="AO116" s="18" t="str">
        <x:v>2025_conv2023_extraordinario-T24</x:v>
      </x:c>
      <x:c r="AP116" s="18" t="n">
        <x:v>1</x:v>
      </x:c>
    </x:row>
    <x:row r="117">
      <x:c r="A117" s="18" t="str">
        <x:v>2025_conv2023_extraordinario-T25</x:v>
      </x:c>
      <x:c r="B117" s="18" t="n">
        <x:v>2025</x:v>
      </x:c>
      <x:c r="C117" s="18" t="n">
        <x:v>2023</x:v>
      </x:c>
      <x:c r="D117" s="28" t="n">
        <x:v>45682</x:v>
      </x:c>
      <x:c r="E117" s="18" t="str">
        <x:v>Acceso libre</x:v>
      </x:c>
      <x:c r="F117" s="18" t="str">
        <x:v>Primera parte</x:v>
      </x:c>
      <x:c r="G117" s="18" t="str">
        <x:v>Extraordinario</x:v>
      </x:c>
      <x:c r="H117" s="18" t="str">
        <x:v>Único</x:v>
      </x:c>
      <x:c r="I117" s="18" t="str">
        <x:v>Sí</x:v>
      </x:c>
      <x:c r="J117" s="18" t="str">
        <x:v>Cuestionario extraordinario sin modelo paralelo.</x:v>
      </x:c>
      <x:c r="K117" s="18" t="n">
        <x:v>25</x:v>
      </x:c>
      <x:c r="L117" s="18" t="str">
        <x:v>No</x:v>
      </x:c>
      <x:c r="M117" s="18" t="str">
        <x:v>Según el artículo 136.2. del Texto Refundido de la Ley General de la Seguridad Social, están expresamente incluidos en el Régimen General, entre otros, algunos de los siguientes trabajadores:</x:v>
      </x:c>
      <x:c r="N117" s="18" t="str">
        <x:v>Los laicos o seglares que presten servicios retribuidos en los establecimientos o dependencias de las entidades o instituciones eclesiásticas.</x:v>
      </x:c>
      <x:c r="O117" s="18" t="str">
        <x:v>Las personas que presten servicios no retribuidos en entidades o instituciones de carácter benéfico - social.</x:v>
      </x:c>
      <x:c r="P117" s="18" t="str">
        <x:v>Los conductores de vehículos de turismo al servicio de empresas.</x:v>
      </x:c>
      <x:c r="Q117" s="18" t="str">
        <x:v>Los funcionarios del Estado transferidos a las comunidades autónomas que hayan ingresado o ingresen obligatoriamente en cuerpos o escalas propios de la comunidad autónoma de destino, cualquiera que sea el sistema de acceso.</x:v>
      </x:c>
      <x:c r="R117" s="18" t="str">
        <x:v>S02</x:v>
      </x:c>
      <x:c r="S117" s="18" t="n">
        <x:v>2</x:v>
      </x:c>
      <x:c r="T117" s="18" t="str">
        <x:v>Temario específico Seguridad Social</x:v>
      </x:c>
      <x:c r="U117" s="18" t="str">
        <x:v>Campo de aplicación y composición del sistema de la Seguridad Social. Régimen general: ámbito subjetivo de aplicación, inclusiones y exclusiones. Regímenes especiales: enumeración, características generales, altas, bajas y cotización. Particularidades de la acción protectora. Sistemas especiales: enumeración y características generales. Altas, bajas y cotización. Particularidades de la acción protectora.</x:v>
      </x:c>
      <x:c r="V117" s="18" t="str">
        <x:v>S02</x:v>
      </x:c>
      <x:c r="W117" s="18" t="str">
        <x:v>Texto Refundido de la Ley General de la Seguridad Social</x:v>
      </x:c>
      <x:c r="X117" s="18" t="str">
        <x:v>136.2</x:v>
      </x:c>
      <x:c r="Y117" s="18" t="str">
        <x:v>Artículos literales</x:v>
      </x:c>
      <x:c r="Z117" s="18" t="str">
        <x:v>Media</x:v>
      </x:c>
      <x:c r="AA117" s="18" t="str">
        <x:v>S02</x:v>
      </x:c>
      <x:c r="AB117" s="18" t="str"/>
      <x:c r="AC117" s="18" t="str"/>
      <x:c r="AD117" s="18" t="str">
        <x:v>No</x:v>
      </x:c>
      <x:c r="AE117" s="18" t="str">
        <x:v>Teórico</x:v>
      </x:c>
      <x:c r="AF117" s="18" t="str">
        <x:v>A</x:v>
      </x:c>
      <x:c r="AG117" s="18" t="str">
        <x:v>A</x:v>
      </x:c>
      <x:c r="AH117" s="18" t="str">
        <x:v>Válida</x:v>
      </x:c>
      <x:c r="AI117" s="18" t="str">
        <x:v>01. Información oficial de la oposición\Exámenes oficiales anteriores\2025 Convocatoria 2023 - Examen extraordinario acceso libre.pdf</x:v>
      </x:c>
      <x:c r="AJ117" s="18" t="str">
        <x:v>https://www.seg-social.es/wps/portal/wss/internet/InformacionUtil/9950/88beb45d-ca83-4bab-8162-f94ef2894562</x:v>
      </x:c>
      <x:c r="AK117" s="18" t="str">
        <x:v>Texto PDF</x:v>
      </x:c>
      <x:c r="AL117" s="18" t="n">
        <x:v>100</x:v>
      </x:c>
      <x:c r="AM117" s="18" t="str">
        <x:v>Alta</x:v>
      </x:c>
      <x:c r="AN117" s="18" t="str">
        <x:v>Regla jurídica determinista</x:v>
      </x:c>
      <x:c r="AO117" s="18" t="str">
        <x:v>2025_conv2023_extraordinario-T25</x:v>
      </x:c>
      <x:c r="AP117" s="18" t="n">
        <x:v>1</x:v>
      </x:c>
    </x:row>
    <x:row r="118">
      <x:c r="A118" s="18" t="str">
        <x:v>2025_conv2023_extraordinario-T26</x:v>
      </x:c>
      <x:c r="B118" s="18" t="n">
        <x:v>2025</x:v>
      </x:c>
      <x:c r="C118" s="18" t="n">
        <x:v>2023</x:v>
      </x:c>
      <x:c r="D118" s="28" t="n">
        <x:v>45682</x:v>
      </x:c>
      <x:c r="E118" s="18" t="str">
        <x:v>Acceso libre</x:v>
      </x:c>
      <x:c r="F118" s="18" t="str">
        <x:v>Primera parte</x:v>
      </x:c>
      <x:c r="G118" s="18" t="str">
        <x:v>Extraordinario</x:v>
      </x:c>
      <x:c r="H118" s="18" t="str">
        <x:v>Único</x:v>
      </x:c>
      <x:c r="I118" s="18" t="str">
        <x:v>Sí</x:v>
      </x:c>
      <x:c r="J118" s="18" t="str">
        <x:v>Cuestionario extraordinario sin modelo paralelo.</x:v>
      </x:c>
      <x:c r="K118" s="18" t="n">
        <x:v>26</x:v>
      </x:c>
      <x:c r="L118" s="18" t="str">
        <x:v>No</x:v>
      </x:c>
      <x:c r="M118" s="18" t="str">
        <x:v>De acuerdo con el artículo 255.3 del Texto Refundido de la Ley General de la Seguridad Social, durante los períodos de inactividad, el tipo de cotización del sistema especial para trabajadores por cuenta ajena agrario es:</x:v>
      </x:c>
      <x:c r="N118" s="18" t="str">
        <x:v>El tipo de cotización aplicable será el 12,50 por ciento.</x:v>
      </x:c>
      <x:c r="O118" s="18" t="str">
        <x:v>El tipo de cotización aplicable será el 11,50 por ciento.</x:v>
      </x:c>
      <x:c r="P118" s="18" t="str">
        <x:v>El tipo de cotización aplicable será el 7,50 por ciento.</x:v>
      </x:c>
      <x:c r="Q118" s="18" t="str">
        <x:v>El tipo de cotización aplicable será el 10,50 por ciento.</x:v>
      </x:c>
      <x:c r="R118" s="18" t="str">
        <x:v>S04</x:v>
      </x:c>
      <x:c r="S118" s="18" t="n">
        <x:v>4</x:v>
      </x:c>
      <x:c r="T118" s="18" t="str">
        <x:v>Temario específico Seguridad Social</x:v>
      </x:c>
      <x:c r="U118" s="18" t="str">
        <x:v>La cotización a la Seguridad Social: normas comunes del sistema. La liquidación de cuotas. El régimen general de la Seguridad Social. Supuestos especiales. Bases y tipos de cotización. Liquidación de otras deudas.</x:v>
      </x:c>
      <x:c r="V118" s="18" t="str">
        <x:v>S04</x:v>
      </x:c>
      <x:c r="W118" s="18" t="str">
        <x:v>Texto Refundido de la Ley General de la Seguridad Social</x:v>
      </x:c>
      <x:c r="X118" s="18" t="str">
        <x:v>255.3</x:v>
      </x:c>
      <x:c r="Y118" s="18" t="str">
        <x:v>Cotización</x:v>
      </x:c>
      <x:c r="Z118" s="18" t="str">
        <x:v>Media</x:v>
      </x:c>
      <x:c r="AA118" s="18" t="str">
        <x:v>S04</x:v>
      </x:c>
      <x:c r="AB118" s="18" t="str"/>
      <x:c r="AC118" s="18" t="str"/>
      <x:c r="AD118" s="18" t="str">
        <x:v>No</x:v>
      </x:c>
      <x:c r="AE118" s="18" t="str">
        <x:v>Teórico</x:v>
      </x:c>
      <x:c r="AF118" s="18" t="str">
        <x:v>B</x:v>
      </x:c>
      <x:c r="AG118" s="18" t="str">
        <x:v>B</x:v>
      </x:c>
      <x:c r="AH118" s="18" t="str">
        <x:v>Válida</x:v>
      </x:c>
      <x:c r="AI118" s="18" t="str">
        <x:v>01. Información oficial de la oposición\Exámenes oficiales anteriores\2025 Convocatoria 2023 - Examen extraordinario acceso libre.pdf</x:v>
      </x:c>
      <x:c r="AJ118" s="18" t="str">
        <x:v>https://www.seg-social.es/wps/portal/wss/internet/InformacionUtil/9950/88beb45d-ca83-4bab-8162-f94ef2894562</x:v>
      </x:c>
      <x:c r="AK118" s="18" t="str">
        <x:v>Texto PDF</x:v>
      </x:c>
      <x:c r="AL118" s="18" t="n">
        <x:v>100</x:v>
      </x:c>
      <x:c r="AM118" s="18" t="str">
        <x:v>Alta</x:v>
      </x:c>
      <x:c r="AN118" s="18" t="str">
        <x:v>Regla jurídica determinista</x:v>
      </x:c>
      <x:c r="AO118" s="18" t="str">
        <x:v>2025_conv2023_extraordinario-T26</x:v>
      </x:c>
      <x:c r="AP118" s="18" t="n">
        <x:v>1</x:v>
      </x:c>
    </x:row>
    <x:row r="119">
      <x:c r="A119" s="18" t="str">
        <x:v>2025_conv2023_extraordinario-T27</x:v>
      </x:c>
      <x:c r="B119" s="18" t="n">
        <x:v>2025</x:v>
      </x:c>
      <x:c r="C119" s="18" t="n">
        <x:v>2023</x:v>
      </x:c>
      <x:c r="D119" s="28" t="n">
        <x:v>45682</x:v>
      </x:c>
      <x:c r="E119" s="18" t="str">
        <x:v>Acceso libre</x:v>
      </x:c>
      <x:c r="F119" s="18" t="str">
        <x:v>Primera parte</x:v>
      </x:c>
      <x:c r="G119" s="18" t="str">
        <x:v>Extraordinario</x:v>
      </x:c>
      <x:c r="H119" s="18" t="str">
        <x:v>Único</x:v>
      </x:c>
      <x:c r="I119" s="18" t="str">
        <x:v>Sí</x:v>
      </x:c>
      <x:c r="J119" s="18" t="str">
        <x:v>Cuestionario extraordinario sin modelo paralelo.</x:v>
      </x:c>
      <x:c r="K119" s="18" t="n">
        <x:v>27</x:v>
      </x:c>
      <x:c r="L119" s="18" t="str">
        <x:v>No</x:v>
      </x:c>
      <x:c r="M119" s="18" t="str">
        <x:v>Conforme a lo establecido en el artículo 24 del Reglamento General sobre inscripción de empresas y afiliación, alta, bajas y variaciones de datos de trabajadores en la Seguridad Social, la solicitud de afiliación a la Seguridad Social:</x:v>
      </x:c>
      <x:c r="N119" s="18" t="str">
        <x:v>Implicará la de alta inicial en el Régimen de la misma que corresponda .</x:v>
      </x:c>
      <x:c r="O119" s="18" t="str">
        <x:v>No implicará la del alta inicial en el Régimen de la misma que corresponda.</x:v>
      </x:c>
      <x:c r="P119" s="18" t="str">
        <x:v>No implicará la del alta inicial en el Régimen de la misma que corresponda, salvo que se inste a la misma en la propia solicitud.</x:v>
      </x:c>
      <x:c r="Q119" s="18" t="str">
        <x:v>Implicará la de alta en el sistema que corresponda únicamente cuando se solicite por el trabajador.</x:v>
      </x:c>
      <x:c r="R119" s="18" t="str">
        <x:v>S03</x:v>
      </x:c>
      <x:c r="S119" s="18" t="n">
        <x:v>3</x:v>
      </x:c>
      <x:c r="T119" s="18" t="str">
        <x:v>Temario específico Seguridad Social</x:v>
      </x:c>
      <x:c r="U119" s="18" t="str">
        <x:v>Normas sobre afiliación. Altas y bajas en el régimen general. Procedimiento y efectos. El convenio especial y otras situaciones asimiladas a la del alta. Encuadramiento e inscripción.</x:v>
      </x:c>
      <x:c r="V119" s="18" t="str">
        <x:v>afiliación</x:v>
      </x:c>
      <x:c r="W119" s="18" t="str"/>
      <x:c r="X119" s="18" t="str">
        <x:v>24</x:v>
      </x:c>
      <x:c r="Y119" s="18" t="str">
        <x:v>Procedimientos</x:v>
      </x:c>
      <x:c r="Z119" s="18" t="str">
        <x:v>Media</x:v>
      </x:c>
      <x:c r="AA119" s="18" t="str">
        <x:v>afiliación</x:v>
      </x:c>
      <x:c r="AB119" s="18" t="str"/>
      <x:c r="AC119" s="18" t="str"/>
      <x:c r="AD119" s="18" t="str">
        <x:v>No</x:v>
      </x:c>
      <x:c r="AE119" s="18" t="str">
        <x:v>Teórico</x:v>
      </x:c>
      <x:c r="AF119" s="18" t="str">
        <x:v>A</x:v>
      </x:c>
      <x:c r="AG119" s="18" t="str">
        <x:v>A</x:v>
      </x:c>
      <x:c r="AH119" s="18" t="str">
        <x:v>Válida</x:v>
      </x:c>
      <x:c r="AI119" s="18" t="str">
        <x:v>01. Información oficial de la oposición\Exámenes oficiales anteriores\2025 Convocatoria 2023 - Examen extraordinario acceso libre.pdf</x:v>
      </x:c>
      <x:c r="AJ119" s="18" t="str">
        <x:v>https://www.seg-social.es/wps/portal/wss/internet/InformacionUtil/9950/88beb45d-ca83-4bab-8162-f94ef2894562</x:v>
      </x:c>
      <x:c r="AK119" s="18" t="str">
        <x:v>Texto PDF</x:v>
      </x:c>
      <x:c r="AL119" s="18" t="n">
        <x:v>100</x:v>
      </x:c>
      <x:c r="AM119" s="18" t="str">
        <x:v>Alta</x:v>
      </x:c>
      <x:c r="AN119" s="18" t="str">
        <x:v>Regla jurídica determinista</x:v>
      </x:c>
      <x:c r="AO119" s="18" t="str">
        <x:v>2025_conv2023_extraordinario-T27</x:v>
      </x:c>
      <x:c r="AP119" s="18" t="n">
        <x:v>1</x:v>
      </x:c>
    </x:row>
    <x:row r="120">
      <x:c r="A120" s="18" t="str">
        <x:v>2025_conv2023_extraordinario-T28</x:v>
      </x:c>
      <x:c r="B120" s="18" t="n">
        <x:v>2025</x:v>
      </x:c>
      <x:c r="C120" s="18" t="n">
        <x:v>2023</x:v>
      </x:c>
      <x:c r="D120" s="28" t="n">
        <x:v>45682</x:v>
      </x:c>
      <x:c r="E120" s="18" t="str">
        <x:v>Acceso libre</x:v>
      </x:c>
      <x:c r="F120" s="18" t="str">
        <x:v>Primera parte</x:v>
      </x:c>
      <x:c r="G120" s="18" t="str">
        <x:v>Extraordinario</x:v>
      </x:c>
      <x:c r="H120" s="18" t="str">
        <x:v>Único</x:v>
      </x:c>
      <x:c r="I120" s="18" t="str">
        <x:v>Sí</x:v>
      </x:c>
      <x:c r="J120" s="18" t="str">
        <x:v>Cuestionario extraordinario sin modelo paralelo.</x:v>
      </x:c>
      <x:c r="K120" s="18" t="n">
        <x:v>28</x:v>
      </x:c>
      <x:c r="L120" s="18" t="str">
        <x:v>No</x:v>
      </x:c>
      <x:c r="M120" s="18" t="str">
        <x:v>De acuerdo con lo establecido en el artículo 139 del Real Decreto Legislativo 8/2015, de 30 de octubre ¿a quién le corresponderá el reconocimiento al alta y a la baja en el Régimen General?:</x:v>
      </x:c>
      <x:c r="N120" s="18" t="str">
        <x:v>Al organismo competente de la Administración de la Seguridad Social y los empresarios.</x:v>
      </x:c>
      <x:c r="O120" s="18" t="str">
        <x:v>Al empresario y, en su caso los trabajadores.</x:v>
      </x:c>
      <x:c r="P120" s="18" t="str">
        <x:v>Al organismo competente de la Administración de la Seguridad Social que reglamentariamente se establezca.</x:v>
      </x:c>
      <x:c r="Q120" s="18" t="str">
        <x:v>Al organismo competente de la Administración de la Seguridad Social, los empresarios y, en su caso, los trabajadores.</x:v>
      </x:c>
      <x:c r="R120" s="18" t="str">
        <x:v>S03</x:v>
      </x:c>
      <x:c r="S120" s="18" t="n">
        <x:v>3</x:v>
      </x:c>
      <x:c r="T120" s="18" t="str">
        <x:v>Temario específico Seguridad Social</x:v>
      </x:c>
      <x:c r="U120" s="18" t="str">
        <x:v>Normas sobre afiliación. Altas y bajas en el régimen general. Procedimiento y efectos. El convenio especial y otras situaciones asimiladas a la del alta. Encuadramiento e inscripción.</x:v>
      </x:c>
      <x:c r="V120" s="18" t="str">
        <x:v>alta</x:v>
      </x:c>
      <x:c r="W120" s="18" t="str">
        <x:v>Real Decreto Legislativo 8/2015</x:v>
      </x:c>
      <x:c r="X120" s="18" t="str">
        <x:v>139</x:v>
      </x:c>
      <x:c r="Y120" s="18" t="str">
        <x:v>Afiliación, altas y bajas</x:v>
      </x:c>
      <x:c r="Z120" s="18" t="str">
        <x:v>Media</x:v>
      </x:c>
      <x:c r="AA120" s="18" t="str">
        <x:v>alta</x:v>
      </x:c>
      <x:c r="AB120" s="18" t="str"/>
      <x:c r="AC120" s="18" t="str"/>
      <x:c r="AD120" s="18" t="str">
        <x:v>No</x:v>
      </x:c>
      <x:c r="AE120" s="18" t="str">
        <x:v>Teórico</x:v>
      </x:c>
      <x:c r="AF120" s="18" t="str">
        <x:v>C</x:v>
      </x:c>
      <x:c r="AG120" s="18" t="str">
        <x:v>C</x:v>
      </x:c>
      <x:c r="AH120" s="18" t="str">
        <x:v>Válida</x:v>
      </x:c>
      <x:c r="AI120" s="18" t="str">
        <x:v>01. Información oficial de la oposición\Exámenes oficiales anteriores\2025 Convocatoria 2023 - Examen extraordinario acceso libre.pdf</x:v>
      </x:c>
      <x:c r="AJ120" s="18" t="str">
        <x:v>https://www.seg-social.es/wps/portal/wss/internet/InformacionUtil/9950/88beb45d-ca83-4bab-8162-f94ef2894562</x:v>
      </x:c>
      <x:c r="AK120" s="18" t="str">
        <x:v>Texto PDF</x:v>
      </x:c>
      <x:c r="AL120" s="18" t="n">
        <x:v>100</x:v>
      </x:c>
      <x:c r="AM120" s="18" t="str">
        <x:v>Alta</x:v>
      </x:c>
      <x:c r="AN120" s="18" t="str">
        <x:v>Revisión jurídica individual</x:v>
      </x:c>
      <x:c r="AO120" s="18" t="str">
        <x:v>2025_conv2023_extraordinario-T28</x:v>
      </x:c>
      <x:c r="AP120" s="18" t="n">
        <x:v>1</x:v>
      </x:c>
    </x:row>
    <x:row r="121">
      <x:c r="A121" s="18" t="str">
        <x:v>2025_conv2023_extraordinario-T29</x:v>
      </x:c>
      <x:c r="B121" s="18" t="n">
        <x:v>2025</x:v>
      </x:c>
      <x:c r="C121" s="18" t="n">
        <x:v>2023</x:v>
      </x:c>
      <x:c r="D121" s="28" t="n">
        <x:v>45682</x:v>
      </x:c>
      <x:c r="E121" s="18" t="str">
        <x:v>Acceso libre</x:v>
      </x:c>
      <x:c r="F121" s="18" t="str">
        <x:v>Primera parte</x:v>
      </x:c>
      <x:c r="G121" s="18" t="str">
        <x:v>Extraordinario</x:v>
      </x:c>
      <x:c r="H121" s="18" t="str">
        <x:v>Único</x:v>
      </x:c>
      <x:c r="I121" s="18" t="str">
        <x:v>Sí</x:v>
      </x:c>
      <x:c r="J121" s="18" t="str">
        <x:v>Cuestionario extraordinario sin modelo paralelo.</x:v>
      </x:c>
      <x:c r="K121" s="18" t="n">
        <x:v>29</x:v>
      </x:c>
      <x:c r="L121" s="18" t="str">
        <x:v>No</x:v>
      </x:c>
      <x:c r="M121" s="18" t="str">
        <x:v>¿En qué situación se encuentra el trabajador en caso de huelga o cierre patronal de acuerdo con el artículo 166 del texto Refundido de la Ley General de la Seguridad Social?:</x:v>
      </x:c>
      <x:c r="N121" s="18" t="str">
        <x:v>Situación de alta de pleno derecho.</x:v>
      </x:c>
      <x:c r="O121" s="18" t="str">
        <x:v>En situación de baja.</x:v>
      </x:c>
      <x:c r="P121" s="18" t="str">
        <x:v>En situación de no alta.</x:v>
      </x:c>
      <x:c r="Q121" s="18" t="str">
        <x:v>En situación de alta especial.</x:v>
      </x:c>
      <x:c r="R121" s="18" t="str">
        <x:v>S03</x:v>
      </x:c>
      <x:c r="S121" s="18" t="n">
        <x:v>3</x:v>
      </x:c>
      <x:c r="T121" s="18" t="str">
        <x:v>Temario específico Seguridad Social</x:v>
      </x:c>
      <x:c r="U121" s="18" t="str">
        <x:v>Normas sobre afiliación. Altas y bajas en el régimen general. Procedimiento y efectos. El convenio especial y otras situaciones asimiladas a la del alta. Encuadramiento e inscripción.</x:v>
      </x:c>
      <x:c r="V121" s="18" t="str">
        <x:v>S03</x:v>
      </x:c>
      <x:c r="W121" s="18" t="str">
        <x:v>texto Refundido de la Ley General de la Seguridad Social</x:v>
      </x:c>
      <x:c r="X121" s="18" t="str">
        <x:v>166</x:v>
      </x:c>
      <x:c r="Y121" s="18" t="str">
        <x:v>Afiliación, altas y bajas</x:v>
      </x:c>
      <x:c r="Z121" s="18" t="str">
        <x:v>Media</x:v>
      </x:c>
      <x:c r="AA121" s="18" t="str">
        <x:v>S03</x:v>
      </x:c>
      <x:c r="AB121" s="18" t="str"/>
      <x:c r="AC121" s="18" t="str"/>
      <x:c r="AD121" s="18" t="str">
        <x:v>No</x:v>
      </x:c>
      <x:c r="AE121" s="18" t="str">
        <x:v>Teórico</x:v>
      </x:c>
      <x:c r="AF121" s="18" t="str">
        <x:v>D</x:v>
      </x:c>
      <x:c r="AG121" s="18" t="str">
        <x:v>D</x:v>
      </x:c>
      <x:c r="AH121" s="18" t="str">
        <x:v>Válida</x:v>
      </x:c>
      <x:c r="AI121" s="18" t="str">
        <x:v>01. Información oficial de la oposición\Exámenes oficiales anteriores\2025 Convocatoria 2023 - Examen extraordinario acceso libre.pdf</x:v>
      </x:c>
      <x:c r="AJ121" s="18" t="str">
        <x:v>https://www.seg-social.es/wps/portal/wss/internet/InformacionUtil/9950/88beb45d-ca83-4bab-8162-f94ef2894562</x:v>
      </x:c>
      <x:c r="AK121" s="18" t="str">
        <x:v>Texto PDF</x:v>
      </x:c>
      <x:c r="AL121" s="18" t="n">
        <x:v>100</x:v>
      </x:c>
      <x:c r="AM121" s="18" t="str">
        <x:v>Alta</x:v>
      </x:c>
      <x:c r="AN121" s="18" t="str">
        <x:v>Revisión jurídica individual</x:v>
      </x:c>
      <x:c r="AO121" s="18" t="str">
        <x:v>2025_conv2023_extraordinario-T29</x:v>
      </x:c>
      <x:c r="AP121" s="18" t="n">
        <x:v>1</x:v>
      </x:c>
    </x:row>
    <x:row r="122">
      <x:c r="A122" s="18" t="str">
        <x:v>2025_conv2023_extraordinario-T30</x:v>
      </x:c>
      <x:c r="B122" s="18" t="n">
        <x:v>2025</x:v>
      </x:c>
      <x:c r="C122" s="18" t="n">
        <x:v>2023</x:v>
      </x:c>
      <x:c r="D122" s="28" t="n">
        <x:v>45682</x:v>
      </x:c>
      <x:c r="E122" s="18" t="str">
        <x:v>Acceso libre</x:v>
      </x:c>
      <x:c r="F122" s="18" t="str">
        <x:v>Primera parte</x:v>
      </x:c>
      <x:c r="G122" s="18" t="str">
        <x:v>Extraordinario</x:v>
      </x:c>
      <x:c r="H122" s="18" t="str">
        <x:v>Único</x:v>
      </x:c>
      <x:c r="I122" s="18" t="str">
        <x:v>Sí</x:v>
      </x:c>
      <x:c r="J122" s="18" t="str">
        <x:v>Cuestionario extraordinario sin modelo paralelo.</x:v>
      </x:c>
      <x:c r="K122" s="18" t="n">
        <x:v>30</x:v>
      </x:c>
      <x:c r="L122" s="18" t="str">
        <x:v>No</x:v>
      </x:c>
      <x:c r="M122" s="18" t="str">
        <x:v>De acuerdo con el artículo 25 del Reglamento General sobre inscripción de empresas y afiliación, altas, bajas y variaciones de datos de trabajadores en la Seguridad social, ¿quién dará cuenta a la Inspección de Trabajo y Seguridad Social de las solicitudes efectuadas por los trabajadores por cuenta ajena o asimilados por el incumplimiento de las obligaciones por par te del empresario?:</x:v>
      </x:c>
      <x:c r="N122" s="18" t="str">
        <x:v>La Entidades Gestoras.</x:v>
      </x:c>
      <x:c r="O122" s="18" t="str">
        <x:v>Los trabajadores por cuenta ajena o asimilados que efectuaran la solicitud.</x:v>
      </x:c>
      <x:c r="P122" s="18" t="str">
        <x:v>La Dirección Provincial de la Tesorería General de la Seguridad Social.</x:v>
      </x:c>
      <x:c r="Q122" s="18" t="str">
        <x:v>Los empresarios que incumplieran sus obligaciones.</x:v>
      </x:c>
      <x:c r="R122" s="18" t="str">
        <x:v>S03</x:v>
      </x:c>
      <x:c r="S122" s="18" t="n">
        <x:v>3</x:v>
      </x:c>
      <x:c r="T122" s="18" t="str">
        <x:v>Temario específico Seguridad Social</x:v>
      </x:c>
      <x:c r="U122" s="18" t="str">
        <x:v>Normas sobre afiliación. Altas y bajas en el régimen general. Procedimiento y efectos. El convenio especial y otras situaciones asimiladas a la del alta. Encuadramiento e inscripción.</x:v>
      </x:c>
      <x:c r="V122" s="18" t="str">
        <x:v>afiliación</x:v>
      </x:c>
      <x:c r="W122" s="18" t="str"/>
      <x:c r="X122" s="18" t="str">
        <x:v>25</x:v>
      </x:c>
      <x:c r="Y122" s="18" t="str">
        <x:v>Procedimientos</x:v>
      </x:c>
      <x:c r="Z122" s="18" t="str">
        <x:v>Alta</x:v>
      </x:c>
      <x:c r="AA122" s="18" t="str">
        <x:v>afiliación</x:v>
      </x:c>
      <x:c r="AB122" s="18" t="str">
        <x:v>Inspección de Trabajo y Seguridad Social</x:v>
      </x:c>
      <x:c r="AC122" s="18" t="str"/>
      <x:c r="AD122" s="18" t="str">
        <x:v>No</x:v>
      </x:c>
      <x:c r="AE122" s="18" t="str">
        <x:v>Teórico</x:v>
      </x:c>
      <x:c r="AF122" s="18" t="str">
        <x:v>C</x:v>
      </x:c>
      <x:c r="AG122" s="18" t="str">
        <x:v>C</x:v>
      </x:c>
      <x:c r="AH122" s="18" t="str">
        <x:v>Válida</x:v>
      </x:c>
      <x:c r="AI122" s="18" t="str">
        <x:v>01. Información oficial de la oposición\Exámenes oficiales anteriores\2025 Convocatoria 2023 - Examen extraordinario acceso libre.pdf</x:v>
      </x:c>
      <x:c r="AJ122" s="18" t="str">
        <x:v>https://www.seg-social.es/wps/portal/wss/internet/InformacionUtil/9950/88beb45d-ca83-4bab-8162-f94ef2894562</x:v>
      </x:c>
      <x:c r="AK122" s="18" t="str">
        <x:v>Texto PDF</x:v>
      </x:c>
      <x:c r="AL122" s="18" t="n">
        <x:v>100</x:v>
      </x:c>
      <x:c r="AM122" s="18" t="str">
        <x:v>Alta</x:v>
      </x:c>
      <x:c r="AN122" s="18" t="str">
        <x:v>Regla jurídica determinista</x:v>
      </x:c>
      <x:c r="AO122" s="18" t="str">
        <x:v>2025_conv2023_extraordinario-T30</x:v>
      </x:c>
      <x:c r="AP122" s="18" t="n">
        <x:v>1</x:v>
      </x:c>
    </x:row>
    <x:row r="123">
      <x:c r="A123" s="18" t="str">
        <x:v>2025_conv2023_extraordinario-T31</x:v>
      </x:c>
      <x:c r="B123" s="18" t="n">
        <x:v>2025</x:v>
      </x:c>
      <x:c r="C123" s="18" t="n">
        <x:v>2023</x:v>
      </x:c>
      <x:c r="D123" s="28" t="n">
        <x:v>45682</x:v>
      </x:c>
      <x:c r="E123" s="18" t="str">
        <x:v>Acceso libre</x:v>
      </x:c>
      <x:c r="F123" s="18" t="str">
        <x:v>Primera parte</x:v>
      </x:c>
      <x:c r="G123" s="18" t="str">
        <x:v>Extraordinario</x:v>
      </x:c>
      <x:c r="H123" s="18" t="str">
        <x:v>Único</x:v>
      </x:c>
      <x:c r="I123" s="18" t="str">
        <x:v>Sí</x:v>
      </x:c>
      <x:c r="J123" s="18" t="str">
        <x:v>Cuestionario extraordinario sin modelo paralelo.</x:v>
      </x:c>
      <x:c r="K123" s="18" t="n">
        <x:v>31</x:v>
      </x:c>
      <x:c r="L123" s="18" t="str">
        <x:v>No</x:v>
      </x:c>
      <x:c r="M123" s="18" t="str">
        <x:v>De acuerdo con el art. 202 del Texto refundido de la Ley de la Seguridad Social, para ser beneficiario de las lesiones permanentes no invalidantes (indemnizaciones por baremo) es necesario:</x:v>
      </x:c>
      <x:c r="N123" s="18" t="str">
        <x:v>Encontrarse en situación de baja médica.</x:v>
      </x:c>
      <x:c r="O123" s="18" t="str">
        <x:v>Haber sido dado de alta médica.</x:v>
      </x:c>
      <x:c r="P123" s="18" t="str">
        <x:v>tener reconocida una incapacidad permanente total.</x:v>
      </x:c>
      <x:c r="Q123" s="18" t="str">
        <x:v>tener reconocida una incapacidad permanente absoluta.</x:v>
      </x:c>
      <x:c r="R123" s="18" t="str">
        <x:v>S08</x:v>
      </x:c>
      <x:c r="S123" s="18" t="n">
        <x:v>8</x:v>
      </x:c>
      <x:c r="T123" s="18" t="str">
        <x:v>Temario específico Seguridad Social</x:v>
      </x:c>
      <x:c r="U123" s="18" t="str">
        <x:v>Incapacidad temporal: concepto y causas que motivan esta situación. Beneficiarios. Prestación económica: determinación y cuantía. Nacimiento, duración y extinción del derecho al subsidio. Reconocimiento y pago. Control de la incapacidad. Incapacidad permanente contributiva: concepto. Grados de incapacidad. Prestaciones. Determinación y cuantía. Beneficiarios. Nacimiento, duración y extinción del derecho. Lesiones permanentes no incapacitantes. La calificación y revisión de la incapacidad permanente.</x:v>
      </x:c>
      <x:c r="V123" s="18" t="str">
        <x:v>S08</x:v>
      </x:c>
      <x:c r="W123" s="18" t="str"/>
      <x:c r="X123" s="18" t="str"/>
      <x:c r="Y123" s="18" t="str">
        <x:v>Personas beneficiarias</x:v>
      </x:c>
      <x:c r="Z123" s="18" t="str">
        <x:v>Media</x:v>
      </x:c>
      <x:c r="AA123" s="18" t="str">
        <x:v>S08</x:v>
      </x:c>
      <x:c r="AB123" s="18" t="str"/>
      <x:c r="AC123" s="18" t="str"/>
      <x:c r="AD123" s="18" t="str">
        <x:v>No</x:v>
      </x:c>
      <x:c r="AE123" s="18" t="str">
        <x:v>Teórico</x:v>
      </x:c>
      <x:c r="AF123" s="18" t="str">
        <x:v>B</x:v>
      </x:c>
      <x:c r="AG123" s="18" t="str">
        <x:v>B</x:v>
      </x:c>
      <x:c r="AH123" s="18" t="str">
        <x:v>Válida</x:v>
      </x:c>
      <x:c r="AI123" s="18" t="str">
        <x:v>01. Información oficial de la oposición\Exámenes oficiales anteriores\2025 Convocatoria 2023 - Examen extraordinario acceso libre.pdf</x:v>
      </x:c>
      <x:c r="AJ123" s="18" t="str">
        <x:v>https://www.seg-social.es/wps/portal/wss/internet/InformacionUtil/9950/88beb45d-ca83-4bab-8162-f94ef2894562</x:v>
      </x:c>
      <x:c r="AK123" s="18" t="str">
        <x:v>Texto PDF</x:v>
      </x:c>
      <x:c r="AL123" s="18" t="n">
        <x:v>100</x:v>
      </x:c>
      <x:c r="AM123" s="18" t="str">
        <x:v>Alta</x:v>
      </x:c>
      <x:c r="AN123" s="18" t="str">
        <x:v>Regla jurídica determinista</x:v>
      </x:c>
      <x:c r="AO123" s="18" t="str">
        <x:v>2025_conv2023_extraordinario-T31</x:v>
      </x:c>
      <x:c r="AP123" s="18" t="n">
        <x:v>1</x:v>
      </x:c>
    </x:row>
    <x:row r="124">
      <x:c r="A124" s="18" t="str">
        <x:v>2025_conv2023_extraordinario-T32</x:v>
      </x:c>
      <x:c r="B124" s="18" t="n">
        <x:v>2025</x:v>
      </x:c>
      <x:c r="C124" s="18" t="n">
        <x:v>2023</x:v>
      </x:c>
      <x:c r="D124" s="28" t="n">
        <x:v>45682</x:v>
      </x:c>
      <x:c r="E124" s="18" t="str">
        <x:v>Acceso libre</x:v>
      </x:c>
      <x:c r="F124" s="18" t="str">
        <x:v>Primera parte</x:v>
      </x:c>
      <x:c r="G124" s="18" t="str">
        <x:v>Extraordinario</x:v>
      </x:c>
      <x:c r="H124" s="18" t="str">
        <x:v>Único</x:v>
      </x:c>
      <x:c r="I124" s="18" t="str">
        <x:v>Sí</x:v>
      </x:c>
      <x:c r="J124" s="18" t="str">
        <x:v>Cuestionario extraordinario sin modelo paralelo.</x:v>
      </x:c>
      <x:c r="K124" s="18" t="n">
        <x:v>32</x:v>
      </x:c>
      <x:c r="L124" s="18" t="str">
        <x:v>No</x:v>
      </x:c>
      <x:c r="M124" s="18" t="str">
        <x:v>De acuerdo con el art. 196 del Texto Refundido de la Ley General de la Seguridad Social, la prestación económica correspondiente a la incapacidad permanente parcial consiste en:</x:v>
      </x:c>
      <x:c r="N124" s="18" t="str">
        <x:v>en una pensión vitalicia, que podrá excepcionalmente ser sustituida por una indemnización a tanto alzado cuando el beneficiario fuese menor de sesenta años.</x:v>
      </x:c>
      <x:c r="O124" s="18" t="str">
        <x:v>en una pensión vitalicia.</x:v>
      </x:c>
      <x:c r="P124" s="18" t="str">
        <x:v>una cantidad a tanto alzado.</x:v>
      </x:c>
      <x:c r="Q124" s="18" t="str">
        <x:v>una indemnización por baremo.</x:v>
      </x:c>
      <x:c r="R124" s="18" t="str">
        <x:v>S08</x:v>
      </x:c>
      <x:c r="S124" s="18" t="n">
        <x:v>8</x:v>
      </x:c>
      <x:c r="T124" s="18" t="str">
        <x:v>Temario específico Seguridad Social</x:v>
      </x:c>
      <x:c r="U124" s="18" t="str">
        <x:v>Incapacidad temporal: concepto y causas que motivan esta situación. Beneficiarios. Prestación económica: determinación y cuantía. Nacimiento, duración y extinción del derecho al subsidio. Reconocimiento y pago. Control de la incapacidad. Incapacidad permanente contributiva: concepto. Grados de incapacidad. Prestaciones. Determinación y cuantía. Beneficiarios. Nacimiento, duración y extinción del derecho. Lesiones permanentes no incapacitantes. La calificación y revisión de la incapacidad permanente.</x:v>
      </x:c>
      <x:c r="V124" s="18" t="str">
        <x:v>incapacidad permanente</x:v>
      </x:c>
      <x:c r="W124" s="18" t="str">
        <x:v>Texto Refundido de la Ley General de la Seguridad Social</x:v>
      </x:c>
      <x:c r="X124" s="18" t="str"/>
      <x:c r="Y124" s="18" t="str">
        <x:v>Incapacidad</x:v>
      </x:c>
      <x:c r="Z124" s="18" t="str">
        <x:v>Media</x:v>
      </x:c>
      <x:c r="AA124" s="18" t="str">
        <x:v>incapacidad permanente</x:v>
      </x:c>
      <x:c r="AB124" s="18" t="str"/>
      <x:c r="AC124" s="18" t="str"/>
      <x:c r="AD124" s="18" t="str">
        <x:v>No</x:v>
      </x:c>
      <x:c r="AE124" s="18" t="str">
        <x:v>Teórico</x:v>
      </x:c>
      <x:c r="AF124" s="18" t="str">
        <x:v>C</x:v>
      </x:c>
      <x:c r="AG124" s="18" t="str">
        <x:v>C</x:v>
      </x:c>
      <x:c r="AH124" s="18" t="str">
        <x:v>Válida</x:v>
      </x:c>
      <x:c r="AI124" s="18" t="str">
        <x:v>01. Información oficial de la oposición\Exámenes oficiales anteriores\2025 Convocatoria 2023 - Examen extraordinario acceso libre.pdf</x:v>
      </x:c>
      <x:c r="AJ124" s="18" t="str">
        <x:v>https://www.seg-social.es/wps/portal/wss/internet/InformacionUtil/9950/88beb45d-ca83-4bab-8162-f94ef2894562</x:v>
      </x:c>
      <x:c r="AK124" s="18" t="str">
        <x:v>Texto PDF</x:v>
      </x:c>
      <x:c r="AL124" s="18" t="n">
        <x:v>100</x:v>
      </x:c>
      <x:c r="AM124" s="18" t="str">
        <x:v>Alta</x:v>
      </x:c>
      <x:c r="AN124" s="18" t="str">
        <x:v>Regla jurídica determinista</x:v>
      </x:c>
      <x:c r="AO124" s="18" t="str">
        <x:v>2025_conv2023_extraordinario-T32</x:v>
      </x:c>
      <x:c r="AP124" s="18" t="n">
        <x:v>1</x:v>
      </x:c>
    </x:row>
    <x:row r="125">
      <x:c r="A125" s="18" t="str">
        <x:v>2025_conv2023_extraordinario-T33</x:v>
      </x:c>
      <x:c r="B125" s="18" t="n">
        <x:v>2025</x:v>
      </x:c>
      <x:c r="C125" s="18" t="n">
        <x:v>2023</x:v>
      </x:c>
      <x:c r="D125" s="28" t="n">
        <x:v>45682</x:v>
      </x:c>
      <x:c r="E125" s="18" t="str">
        <x:v>Acceso libre</x:v>
      </x:c>
      <x:c r="F125" s="18" t="str">
        <x:v>Primera parte</x:v>
      </x:c>
      <x:c r="G125" s="18" t="str">
        <x:v>Extraordinario</x:v>
      </x:c>
      <x:c r="H125" s="18" t="str">
        <x:v>Único</x:v>
      </x:c>
      <x:c r="I125" s="18" t="str">
        <x:v>Sí</x:v>
      </x:c>
      <x:c r="J125" s="18" t="str">
        <x:v>Cuestionario extraordinario sin modelo paralelo.</x:v>
      </x:c>
      <x:c r="K125" s="18" t="n">
        <x:v>33</x:v>
      </x:c>
      <x:c r="L125" s="18" t="str">
        <x:v>No</x:v>
      </x:c>
      <x:c r="M125" s="18" t="str">
        <x:v>Según recoge el art. 174 del Texto Refundido de la Ley General de la Seguridad Social, el derecho al subsidio por Incapacidad temporal se extingue:</x:v>
      </x:c>
      <x:c r="N125" s="18" t="str">
        <x:v>por el transcurso del plazo máximo de trescientos sesenta y cinco días naturales desde la baja médica.</x:v>
      </x:c>
      <x:c r="O125" s="18" t="str">
        <x:v>por el transcurso del plazo máximo de quinientos cuarenta y cinco días naturales desde la baja médica.</x:v>
      </x:c>
      <x:c r="P125" s="18" t="str">
        <x:v>por el transcurso del plazo de trescientos sesenta días desde el alta médica.</x:v>
      </x:c>
      <x:c r="Q125" s="18" t="str">
        <x:v>por el transcurso del plazo máximo de ciento ochenta días desde la notificación de la baja médica.</x:v>
      </x:c>
      <x:c r="R125" s="18" t="str">
        <x:v>S08</x:v>
      </x:c>
      <x:c r="S125" s="18" t="n">
        <x:v>8</x:v>
      </x:c>
      <x:c r="T125" s="18" t="str">
        <x:v>Temario específico Seguridad Social</x:v>
      </x:c>
      <x:c r="U125" s="18" t="str">
        <x:v>Incapacidad temporal: concepto y causas que motivan esta situación. Beneficiarios. Prestación económica: determinación y cuantía. Nacimiento, duración y extinción del derecho al subsidio. Reconocimiento y pago. Control de la incapacidad. Incapacidad permanente contributiva: concepto. Grados de incapacidad. Prestaciones. Determinación y cuantía. Beneficiarios. Nacimiento, duración y extinción del derecho. Lesiones permanentes no incapacitantes. La calificación y revisión de la incapacidad permanente.</x:v>
      </x:c>
      <x:c r="V125" s="18" t="str">
        <x:v>incapacidad temporal</x:v>
      </x:c>
      <x:c r="W125" s="18" t="str">
        <x:v>Texto Refundido de la Ley General de la Seguridad Social</x:v>
      </x:c>
      <x:c r="X125" s="18" t="str"/>
      <x:c r="Y125" s="18" t="str">
        <x:v>Causas de extinción</x:v>
      </x:c>
      <x:c r="Z125" s="18" t="str">
        <x:v>Media</x:v>
      </x:c>
      <x:c r="AA125" s="18" t="str">
        <x:v>incapacidad temporal</x:v>
      </x:c>
      <x:c r="AB125" s="18" t="str"/>
      <x:c r="AC125" s="18" t="str"/>
      <x:c r="AD125" s="18" t="str">
        <x:v>No</x:v>
      </x:c>
      <x:c r="AE125" s="18" t="str">
        <x:v>Teórico</x:v>
      </x:c>
      <x:c r="AF125" s="18" t="str">
        <x:v>B</x:v>
      </x:c>
      <x:c r="AG125" s="18" t="str">
        <x:v>B</x:v>
      </x:c>
      <x:c r="AH125" s="18" t="str">
        <x:v>Válida</x:v>
      </x:c>
      <x:c r="AI125" s="18" t="str">
        <x:v>01. Información oficial de la oposición\Exámenes oficiales anteriores\2025 Convocatoria 2023 - Examen extraordinario acceso libre.pdf</x:v>
      </x:c>
      <x:c r="AJ125" s="18" t="str">
        <x:v>https://www.seg-social.es/wps/portal/wss/internet/InformacionUtil/9950/88beb45d-ca83-4bab-8162-f94ef2894562</x:v>
      </x:c>
      <x:c r="AK125" s="18" t="str">
        <x:v>Texto PDF</x:v>
      </x:c>
      <x:c r="AL125" s="18" t="n">
        <x:v>100</x:v>
      </x:c>
      <x:c r="AM125" s="18" t="str">
        <x:v>Alta</x:v>
      </x:c>
      <x:c r="AN125" s="18" t="str">
        <x:v>Regla jurídica determinista</x:v>
      </x:c>
      <x:c r="AO125" s="18" t="str">
        <x:v>2025_conv2023_extraordinario-T33</x:v>
      </x:c>
      <x:c r="AP125" s="18" t="n">
        <x:v>1</x:v>
      </x:c>
    </x:row>
    <x:row r="126">
      <x:c r="A126" s="18" t="str">
        <x:v>2025_conv2023_extraordinario-T34</x:v>
      </x:c>
      <x:c r="B126" s="18" t="n">
        <x:v>2025</x:v>
      </x:c>
      <x:c r="C126" s="18" t="n">
        <x:v>2023</x:v>
      </x:c>
      <x:c r="D126" s="28" t="n">
        <x:v>45682</x:v>
      </x:c>
      <x:c r="E126" s="18" t="str">
        <x:v>Acceso libre</x:v>
      </x:c>
      <x:c r="F126" s="18" t="str">
        <x:v>Primera parte</x:v>
      </x:c>
      <x:c r="G126" s="18" t="str">
        <x:v>Extraordinario</x:v>
      </x:c>
      <x:c r="H126" s="18" t="str">
        <x:v>Único</x:v>
      </x:c>
      <x:c r="I126" s="18" t="str">
        <x:v>Sí</x:v>
      </x:c>
      <x:c r="J126" s="18" t="str">
        <x:v>Cuestionario extraordinario sin modelo paralelo.</x:v>
      </x:c>
      <x:c r="K126" s="18" t="n">
        <x:v>34</x:v>
      </x:c>
      <x:c r="L126" s="18" t="str">
        <x:v>No</x:v>
      </x:c>
      <x:c r="M126" s="18" t="str">
        <x:v>En virtud de lo establecido en el art. 169 del Texto Refundido de la Ley General de la Seguridad Social, se considera que existe recaída en un mismo proceso de incapacidad temporal, salvo en los procesos por bajas médicas por menstruación incapacitante secundaria, cuando:</x:v>
      </x:c>
      <x:c r="N126" s="18" t="str">
        <x:v>sea reconocida una incapacidad permanente total derivada de la misma baja médica.</x:v>
      </x:c>
      <x:c r="O126" s="18" t="str">
        <x:v>sea reconocida una gran invalidez derivada de la misma baja médica.</x:v>
      </x:c>
      <x:c r="P126" s="18" t="str">
        <x:v>se produzca una nueva baja médica, por distinta patología, en los 365 días naturales siguientes a la fecha de efectos del alta médica anterior.</x:v>
      </x:c>
      <x:c r="Q126" s="18" t="str">
        <x:v>se produzca una nueva baja médica por la misma o similar patología dentro de los ciento ochenta días naturales siguientes a la fecha de efectos de alta médica anterior.</x:v>
      </x:c>
      <x:c r="R126" s="18" t="str">
        <x:v>S08</x:v>
      </x:c>
      <x:c r="S126" s="18" t="n">
        <x:v>8</x:v>
      </x:c>
      <x:c r="T126" s="18" t="str">
        <x:v>Temario específico Seguridad Social</x:v>
      </x:c>
      <x:c r="U126" s="18" t="str">
        <x:v>Incapacidad temporal: concepto y causas que motivan esta situación. Beneficiarios. Prestación económica: determinación y cuantía. Nacimiento, duración y extinción del derecho al subsidio. Reconocimiento y pago. Control de la incapacidad. Incapacidad permanente contributiva: concepto. Grados de incapacidad. Prestaciones. Determinación y cuantía. Beneficiarios. Nacimiento, duración y extinción del derecho. Lesiones permanentes no incapacitantes. La calificación y revisión de la incapacidad permanente.</x:v>
      </x:c>
      <x:c r="V126" s="18" t="str">
        <x:v>incapacidad temporal</x:v>
      </x:c>
      <x:c r="W126" s="18" t="str">
        <x:v>Texto Refundido de la Ley General de la Seguridad Social</x:v>
      </x:c>
      <x:c r="X126" s="18" t="str"/>
      <x:c r="Y126" s="18" t="str">
        <x:v>Incapacidad</x:v>
      </x:c>
      <x:c r="Z126" s="18" t="str">
        <x:v>Alta</x:v>
      </x:c>
      <x:c r="AA126" s="18" t="str">
        <x:v>incapacidad temporal</x:v>
      </x:c>
      <x:c r="AB126" s="18" t="str">
        <x:v>ISM</x:v>
      </x:c>
      <x:c r="AC126" s="18" t="str"/>
      <x:c r="AD126" s="18" t="str">
        <x:v>Sí</x:v>
      </x:c>
      <x:c r="AE126" s="18" t="str">
        <x:v>Teórico</x:v>
      </x:c>
      <x:c r="AF126" s="18" t="str">
        <x:v>D</x:v>
      </x:c>
      <x:c r="AG126" s="18" t="str">
        <x:v>D</x:v>
      </x:c>
      <x:c r="AH126" s="18" t="str">
        <x:v>Válida</x:v>
      </x:c>
      <x:c r="AI126" s="18" t="str">
        <x:v>01. Información oficial de la oposición\Exámenes oficiales anteriores\2025 Convocatoria 2023 - Examen extraordinario acceso libre.pdf</x:v>
      </x:c>
      <x:c r="AJ126" s="18" t="str">
        <x:v>https://www.seg-social.es/wps/portal/wss/internet/InformacionUtil/9950/88beb45d-ca83-4bab-8162-f94ef2894562</x:v>
      </x:c>
      <x:c r="AK126" s="18" t="str">
        <x:v>Texto PDF</x:v>
      </x:c>
      <x:c r="AL126" s="18" t="n">
        <x:v>100</x:v>
      </x:c>
      <x:c r="AM126" s="18" t="str">
        <x:v>Alta</x:v>
      </x:c>
      <x:c r="AN126" s="18" t="str">
        <x:v>Regla jurídica determinista</x:v>
      </x:c>
      <x:c r="AO126" s="18" t="str">
        <x:v>2025_conv2023_extraordinario-T34</x:v>
      </x:c>
      <x:c r="AP126" s="18" t="n">
        <x:v>1</x:v>
      </x:c>
    </x:row>
    <x:row r="127">
      <x:c r="A127" s="18" t="str">
        <x:v>2025_conv2023_extraordinario-T35</x:v>
      </x:c>
      <x:c r="B127" s="18" t="n">
        <x:v>2025</x:v>
      </x:c>
      <x:c r="C127" s="18" t="n">
        <x:v>2023</x:v>
      </x:c>
      <x:c r="D127" s="28" t="n">
        <x:v>45682</x:v>
      </x:c>
      <x:c r="E127" s="18" t="str">
        <x:v>Acceso libre</x:v>
      </x:c>
      <x:c r="F127" s="18" t="str">
        <x:v>Primera parte</x:v>
      </x:c>
      <x:c r="G127" s="18" t="str">
        <x:v>Extraordinario</x:v>
      </x:c>
      <x:c r="H127" s="18" t="str">
        <x:v>Único</x:v>
      </x:c>
      <x:c r="I127" s="18" t="str">
        <x:v>Sí</x:v>
      </x:c>
      <x:c r="J127" s="18" t="str">
        <x:v>Cuestionario extraordinario sin modelo paralelo.</x:v>
      </x:c>
      <x:c r="K127" s="18" t="n">
        <x:v>35</x:v>
      </x:c>
      <x:c r="L127" s="18" t="str">
        <x:v>No</x:v>
      </x:c>
      <x:c r="M127" s="18" t="str">
        <x:v>Conforme al art. 184 del Texto Refundido de la Ley General de la Seguridad Social cuando concurran en ambos progenitores, las circunstancias necesarias para tener la condición de beneficiarios de la prestación por ejercicio corresponsable del cuidado del lactante, el derecho a percibirla:</x:v>
      </x:c>
      <x:c r="N127" s="18" t="str">
        <x:v>podrá reconocerse a ambos progenitores.</x:v>
      </x:c>
      <x:c r="O127" s="18" t="str">
        <x:v>no podrá ser reconocido a ninguno de los progenitores por incompatibilidad.</x:v>
      </x:c>
      <x:c r="P127" s="18" t="str">
        <x:v>solo podrá ser reconocido a favor de uno de ellos.</x:v>
      </x:c>
      <x:c r="Q127" s="18" t="str">
        <x:v>queda en suspenso hasta que uno de los progenitores deje de cumplir los requisitos para poder acceder a la prestación, reconociéndose entonces al otro progenitor.</x:v>
      </x:c>
      <x:c r="R127" s="18" t="str">
        <x:v>S09</x:v>
      </x:c>
      <x:c r="S127" s="18" t="n">
        <x:v>9</x:v>
      </x:c>
      <x:c r="T127" s="18" t="str">
        <x:v>Temario específico Seguridad Social</x:v>
      </x:c>
      <x:c r="U127" s="18" t="str">
        <x:v>Nacimiento y cuidado de menor. Ejercicio corresponsable del cuidado del lactante. Prestación por riesgo durante el embarazo. Prestación por riesgo durante la lactancia natural. Asignación económica por hijo o menor acogido a cargo. Prestación económica por nacimiento o adopción de hijo en supuestos de familias numerosas o monoparentales y en los casos de madres o padres con discapacidad. Prestación por parto o adopción Subsidio por cuidado de menores afectados por cáncer u otra enfermedad grave.</x:v>
      </x:c>
      <x:c r="V127" s="18" t="str">
        <x:v>S09</x:v>
      </x:c>
      <x:c r="W127" s="18" t="str">
        <x:v>Texto Refundido de la Ley General de la Seguridad Social</x:v>
      </x:c>
      <x:c r="X127" s="18" t="str"/>
      <x:c r="Y127" s="18" t="str">
        <x:v>Personas beneficiarias</x:v>
      </x:c>
      <x:c r="Z127" s="18" t="str">
        <x:v>Media</x:v>
      </x:c>
      <x:c r="AA127" s="18" t="str">
        <x:v>S09</x:v>
      </x:c>
      <x:c r="AB127" s="18" t="str"/>
      <x:c r="AC127" s="18" t="str"/>
      <x:c r="AD127" s="18" t="str">
        <x:v>No</x:v>
      </x:c>
      <x:c r="AE127" s="18" t="str">
        <x:v>Teórico</x:v>
      </x:c>
      <x:c r="AF127" s="18" t="str">
        <x:v>C</x:v>
      </x:c>
      <x:c r="AG127" s="18" t="str">
        <x:v>C</x:v>
      </x:c>
      <x:c r="AH127" s="18" t="str">
        <x:v>Válida</x:v>
      </x:c>
      <x:c r="AI127" s="18" t="str">
        <x:v>01. Información oficial de la oposición\Exámenes oficiales anteriores\2025 Convocatoria 2023 - Examen extraordinario acceso libre.pdf</x:v>
      </x:c>
      <x:c r="AJ127" s="18" t="str">
        <x:v>https://www.seg-social.es/wps/portal/wss/internet/InformacionUtil/9950/88beb45d-ca83-4bab-8162-f94ef2894562</x:v>
      </x:c>
      <x:c r="AK127" s="18" t="str">
        <x:v>Texto PDF</x:v>
      </x:c>
      <x:c r="AL127" s="18" t="n">
        <x:v>100</x:v>
      </x:c>
      <x:c r="AM127" s="18" t="str">
        <x:v>Alta</x:v>
      </x:c>
      <x:c r="AN127" s="18" t="str">
        <x:v>Regla jurídica determinista</x:v>
      </x:c>
      <x:c r="AO127" s="18" t="str">
        <x:v>2025_conv2023_extraordinario-T35</x:v>
      </x:c>
      <x:c r="AP127" s="18" t="n">
        <x:v>1</x:v>
      </x:c>
    </x:row>
    <x:row r="128">
      <x:c r="A128" s="18" t="str">
        <x:v>2025_conv2023_extraordinario-T36</x:v>
      </x:c>
      <x:c r="B128" s="18" t="n">
        <x:v>2025</x:v>
      </x:c>
      <x:c r="C128" s="18" t="n">
        <x:v>2023</x:v>
      </x:c>
      <x:c r="D128" s="28" t="n">
        <x:v>45682</x:v>
      </x:c>
      <x:c r="E128" s="18" t="str">
        <x:v>Acceso libre</x:v>
      </x:c>
      <x:c r="F128" s="18" t="str">
        <x:v>Primera parte</x:v>
      </x:c>
      <x:c r="G128" s="18" t="str">
        <x:v>Extraordinario</x:v>
      </x:c>
      <x:c r="H128" s="18" t="str">
        <x:v>Único</x:v>
      </x:c>
      <x:c r="I128" s="18" t="str">
        <x:v>Sí</x:v>
      </x:c>
      <x:c r="J128" s="18" t="str">
        <x:v>Cuestionario extraordinario sin modelo paralelo.</x:v>
      </x:c>
      <x:c r="K128" s="18" t="n">
        <x:v>36</x:v>
      </x:c>
      <x:c r="L128" s="18" t="str">
        <x:v>No</x:v>
      </x:c>
      <x:c r="M128" s="18" t="str">
        <x:v>Conforme al art. 37 del Real Decreto 295/2009, de 6 de marzo, por el que se regulan las prestaciones económicas del sistema de la Seguridad Social por maternidad, paternidad, riesgo durante el embarazo y riesgo durante la lactancia natural, si la trabajadora se encuentra en situación de riesgo durante el embar azo y durante la misma solicita la prestación por incapacidad temporal:</x:v>
      </x:c>
      <x:c r="N128" s="18" t="str">
        <x:v>no procederá el reconocimiento de la incapacidad temporal hasta la finalización de la situación de riesgo durante el embarazo.</x:v>
      </x:c>
      <x:c r="O128" s="18" t="str">
        <x:v>se extingue la prestación por riesgo durante el embarazo.</x:v>
      </x:c>
      <x:c r="P128" s="18" t="str">
        <x:v>se suspende la prestación por riesgo durante el embarazo.</x:v>
      </x:c>
      <x:c r="Q128" s="18" t="str">
        <x:v>la trabajadora debe optar por una de las dos prestaciones.</x:v>
      </x:c>
      <x:c r="R128" s="18" t="str">
        <x:v>S09</x:v>
      </x:c>
      <x:c r="S128" s="18" t="n">
        <x:v>9</x:v>
      </x:c>
      <x:c r="T128" s="18" t="str">
        <x:v>Temario específico Seguridad Social</x:v>
      </x:c>
      <x:c r="U128" s="18" t="str">
        <x:v>Nacimiento y cuidado de menor. Ejercicio corresponsable del cuidado del lactante. Prestación por riesgo durante el embarazo. Prestación por riesgo durante la lactancia natural. Asignación económica por hijo o menor acogido a cargo. Prestación económica por nacimiento o adopción de hijo en supuestos de familias numerosas o monoparentales y en los casos de madres o padres con discapacidad. Prestación por parto o adopción Subsidio por cuidado de menores afectados por cáncer u otra enfermedad grave.</x:v>
      </x:c>
      <x:c r="V128" s="18" t="str">
        <x:v>incapacidad temporal</x:v>
      </x:c>
      <x:c r="W128" s="18" t="str">
        <x:v>Real Decreto 295/2009</x:v>
      </x:c>
      <x:c r="X128" s="18" t="str"/>
      <x:c r="Y128" s="18" t="str">
        <x:v>Prestaciones familiares</x:v>
      </x:c>
      <x:c r="Z128" s="18" t="str">
        <x:v>Alta</x:v>
      </x:c>
      <x:c r="AA128" s="18" t="str">
        <x:v>incapacidad temporal</x:v>
      </x:c>
      <x:c r="AB128" s="18" t="str">
        <x:v>ISM</x:v>
      </x:c>
      <x:c r="AC128" s="18" t="str"/>
      <x:c r="AD128" s="18" t="str">
        <x:v>No</x:v>
      </x:c>
      <x:c r="AE128" s="18" t="str">
        <x:v>Teórico</x:v>
      </x:c>
      <x:c r="AF128" s="18" t="str">
        <x:v>A</x:v>
      </x:c>
      <x:c r="AG128" s="18" t="str">
        <x:v>A</x:v>
      </x:c>
      <x:c r="AH128" s="18" t="str">
        <x:v>Válida</x:v>
      </x:c>
      <x:c r="AI128" s="18" t="str">
        <x:v>01. Información oficial de la oposición\Exámenes oficiales anteriores\2025 Convocatoria 2023 - Examen extraordinario acceso libre.pdf</x:v>
      </x:c>
      <x:c r="AJ128" s="18" t="str">
        <x:v>https://www.seg-social.es/wps/portal/wss/internet/InformacionUtil/9950/88beb45d-ca83-4bab-8162-f94ef2894562</x:v>
      </x:c>
      <x:c r="AK128" s="18" t="str">
        <x:v>Texto PDF</x:v>
      </x:c>
      <x:c r="AL128" s="18" t="n">
        <x:v>100</x:v>
      </x:c>
      <x:c r="AM128" s="18" t="str">
        <x:v>Alta</x:v>
      </x:c>
      <x:c r="AN128" s="18" t="str">
        <x:v>Revisión jurídica individual</x:v>
      </x:c>
      <x:c r="AO128" s="18" t="str">
        <x:v>2025_conv2023_extraordinario-T36</x:v>
      </x:c>
      <x:c r="AP128" s="18" t="n">
        <x:v>1</x:v>
      </x:c>
    </x:row>
    <x:row r="129">
      <x:c r="A129" s="18" t="str">
        <x:v>2025_conv2023_extraordinario-T37</x:v>
      </x:c>
      <x:c r="B129" s="18" t="n">
        <x:v>2025</x:v>
      </x:c>
      <x:c r="C129" s="18" t="n">
        <x:v>2023</x:v>
      </x:c>
      <x:c r="D129" s="28" t="n">
        <x:v>45682</x:v>
      </x:c>
      <x:c r="E129" s="18" t="str">
        <x:v>Acceso libre</x:v>
      </x:c>
      <x:c r="F129" s="18" t="str">
        <x:v>Primera parte</x:v>
      </x:c>
      <x:c r="G129" s="18" t="str">
        <x:v>Extraordinario</x:v>
      </x:c>
      <x:c r="H129" s="18" t="str">
        <x:v>Único</x:v>
      </x:c>
      <x:c r="I129" s="18" t="str">
        <x:v>Sí</x:v>
      </x:c>
      <x:c r="J129" s="18" t="str">
        <x:v>Cuestionario extraordinario sin modelo paralelo.</x:v>
      </x:c>
      <x:c r="K129" s="18" t="n">
        <x:v>37</x:v>
      </x:c>
      <x:c r="L129" s="18" t="str">
        <x:v>No</x:v>
      </x:c>
      <x:c r="M129" s="18" t="str">
        <x:v>Tal y como recoge el art. 6 del Real Decreto 295/2009, de 6 de marzo, por el que se regulan las prestaciones económicas del sistema de la Seguridad Social por maternidad, paternidad, riesgo durante el embarazo y riesgo durante la lactancia natural, en caso de parto múltiple, señale la respuesta correcta:</x:v>
      </x:c>
      <x:c r="N129" s="18" t="str">
        <x:v>se reconoce un subsidio especial por cada hijo, a partir del segundo, igual al que corresponda percibir por el primero, durante el periodo de dieciséis semanas inmediatamente posteriores al parto.</x:v>
      </x:c>
      <x:c r="O129" s="18" t="str">
        <x:v>se concede un subsidio especial por cada hijo, a partir del tercero, igual al que corresponda percibir por el primero, durante el periodo de seis meses inmediatamente posteriores al parto.</x:v>
      </x:c>
      <x:c r="P129" s="18" t="str">
        <x:v>se reconoce un subsidio especial por cada hijo, a partir del tercero, igual al que corresponda percibir por el primero, durante el periodo de dos semanas inmediatamente posteriores al parto.</x:v>
      </x:c>
      <x:c r="Q129" s="18" t="str">
        <x:v>se concederá un subsidio especial por cada hijo, a partir del segundo, igual al que corresponda percibir por el primero, durante el periodo de seis semanas inmediatamente posteriores al parto.</x:v>
      </x:c>
      <x:c r="R129" s="18" t="str">
        <x:v>S09</x:v>
      </x:c>
      <x:c r="S129" s="18" t="n">
        <x:v>9</x:v>
      </x:c>
      <x:c r="T129" s="18" t="str">
        <x:v>Temario específico Seguridad Social</x:v>
      </x:c>
      <x:c r="U129" s="18" t="str">
        <x:v>Nacimiento y cuidado de menor. Ejercicio corresponsable del cuidado del lactante. Prestación por riesgo durante el embarazo. Prestación por riesgo durante la lactancia natural. Asignación económica por hijo o menor acogido a cargo. Prestación económica por nacimiento o adopción de hijo en supuestos de familias numerosas o monoparentales y en los casos de madres o padres con discapacidad. Prestación por parto o adopción Subsidio por cuidado de menores afectados por cáncer u otra enfermedad grave.</x:v>
      </x:c>
      <x:c r="V129" s="18" t="str">
        <x:v>S09</x:v>
      </x:c>
      <x:c r="W129" s="18" t="str">
        <x:v>Real Decreto 295/2009</x:v>
      </x:c>
      <x:c r="X129" s="18" t="str"/>
      <x:c r="Y129" s="18" t="str">
        <x:v>Prestaciones familiares</x:v>
      </x:c>
      <x:c r="Z129" s="18" t="str">
        <x:v>Media</x:v>
      </x:c>
      <x:c r="AA129" s="18" t="str">
        <x:v>S09</x:v>
      </x:c>
      <x:c r="AB129" s="18" t="str"/>
      <x:c r="AC129" s="18" t="str"/>
      <x:c r="AD129" s="18" t="str">
        <x:v>No</x:v>
      </x:c>
      <x:c r="AE129" s="18" t="str">
        <x:v>Teórico</x:v>
      </x:c>
      <x:c r="AF129" s="18" t="str">
        <x:v>D</x:v>
      </x:c>
      <x:c r="AG129" s="18" t="str">
        <x:v>D</x:v>
      </x:c>
      <x:c r="AH129" s="18" t="str">
        <x:v>Válida</x:v>
      </x:c>
      <x:c r="AI129" s="18" t="str">
        <x:v>01. Información oficial de la oposición\Exámenes oficiales anteriores\2025 Convocatoria 2023 - Examen extraordinario acceso libre.pdf</x:v>
      </x:c>
      <x:c r="AJ129" s="18" t="str">
        <x:v>https://www.seg-social.es/wps/portal/wss/internet/InformacionUtil/9950/88beb45d-ca83-4bab-8162-f94ef2894562</x:v>
      </x:c>
      <x:c r="AK129" s="18" t="str">
        <x:v>Texto PDF</x:v>
      </x:c>
      <x:c r="AL129" s="18" t="n">
        <x:v>100</x:v>
      </x:c>
      <x:c r="AM129" s="18" t="str">
        <x:v>Alta</x:v>
      </x:c>
      <x:c r="AN129" s="18" t="str">
        <x:v>Regla jurídica determinista</x:v>
      </x:c>
      <x:c r="AO129" s="18" t="str">
        <x:v>2025_conv2023_extraordinario-T37</x:v>
      </x:c>
      <x:c r="AP129" s="18" t="n">
        <x:v>1</x:v>
      </x:c>
    </x:row>
    <x:row r="130">
      <x:c r="A130" s="18" t="str">
        <x:v>2025_conv2023_extraordinario-T38</x:v>
      </x:c>
      <x:c r="B130" s="18" t="n">
        <x:v>2025</x:v>
      </x:c>
      <x:c r="C130" s="18" t="n">
        <x:v>2023</x:v>
      </x:c>
      <x:c r="D130" s="28" t="n">
        <x:v>45682</x:v>
      </x:c>
      <x:c r="E130" s="18" t="str">
        <x:v>Acceso libre</x:v>
      </x:c>
      <x:c r="F130" s="18" t="str">
        <x:v>Primera parte</x:v>
      </x:c>
      <x:c r="G130" s="18" t="str">
        <x:v>Extraordinario</x:v>
      </x:c>
      <x:c r="H130" s="18" t="str">
        <x:v>Único</x:v>
      </x:c>
      <x:c r="I130" s="18" t="str">
        <x:v>Sí</x:v>
      </x:c>
      <x:c r="J130" s="18" t="str">
        <x:v>Cuestionario extraordinario sin modelo paralelo.</x:v>
      </x:c>
      <x:c r="K130" s="18" t="n">
        <x:v>38</x:v>
      </x:c>
      <x:c r="L130" s="18" t="str">
        <x:v>No</x:v>
      </x:c>
      <x:c r="M130" s="18" t="str">
        <x:v>De conformidad con lo recogido en el art.12 del Real Decreto 295/2009, de 6 de marzo, por el que se regulan las prestaciones económicas del sistema de la Seguridad Social por maternidad, paternidad, riesgo durante el embarazo y riesgo durante la lactancia natural, las prestaciones económicas por nacimiento y cuidado de menor serán gestionadas:</x:v>
      </x:c>
      <x:c r="N130" s="18" t="str">
        <x:v>Por la mutua colaboradora con la con la que tenga concertada la empresa la cobertura de las contingencias profesionales.</x:v>
      </x:c>
      <x:c r="O130" s="18" t="str">
        <x:v>Directamente por el Instituto Nacional de la Seguridad Social, excepto para los trabajadores incluidos en el Régimen Especial de la Seguridad Social de los Trabajadores del Mar, cuya gestión corresponderá al Instituto Social de la Marina.</x:v>
      </x:c>
      <x:c r="P130" s="18" t="str">
        <x:v>Por la mutua colaboradora con la con la que tenga concertada la empresa la cobertura de las contingencias comunes</x:v>
      </x:c>
      <x:c r="Q130" s="18" t="str">
        <x:v>Por la empresa, en régimen de colaboración obligatoria.</x:v>
      </x:c>
      <x:c r="R130" s="18" t="str">
        <x:v>S09</x:v>
      </x:c>
      <x:c r="S130" s="18" t="n">
        <x:v>9</x:v>
      </x:c>
      <x:c r="T130" s="18" t="str">
        <x:v>Temario específico Seguridad Social</x:v>
      </x:c>
      <x:c r="U130" s="18" t="str">
        <x:v>Nacimiento y cuidado de menor. Ejercicio corresponsable del cuidado del lactante. Prestación por riesgo durante el embarazo. Prestación por riesgo durante la lactancia natural. Asignación económica por hijo o menor acogido a cargo. Prestación económica por nacimiento o adopción de hijo en supuestos de familias numerosas o monoparentales y en los casos de madres o padres con discapacidad. Prestación por parto o adopción Subsidio por cuidado de menores afectados por cáncer u otra enfermedad grave.</x:v>
      </x:c>
      <x:c r="V130" s="18" t="str">
        <x:v>nacimiento y cuidado de menor</x:v>
      </x:c>
      <x:c r="W130" s="18" t="str">
        <x:v>Real Decreto 295/2009</x:v>
      </x:c>
      <x:c r="X130" s="18" t="str"/>
      <x:c r="Y130" s="18" t="str">
        <x:v>Prestaciones familiares</x:v>
      </x:c>
      <x:c r="Z130" s="18" t="str">
        <x:v>Alta</x:v>
      </x:c>
      <x:c r="AA130" s="18" t="str">
        <x:v>nacimiento y cuidado de menor</x:v>
      </x:c>
      <x:c r="AB130" s="18" t="str"/>
      <x:c r="AC130" s="18" t="str"/>
      <x:c r="AD130" s="18" t="str">
        <x:v>No</x:v>
      </x:c>
      <x:c r="AE130" s="18" t="str">
        <x:v>Teórico</x:v>
      </x:c>
      <x:c r="AF130" s="18" t="str">
        <x:v>B</x:v>
      </x:c>
      <x:c r="AG130" s="18" t="str">
        <x:v>B</x:v>
      </x:c>
      <x:c r="AH130" s="18" t="str">
        <x:v>Válida</x:v>
      </x:c>
      <x:c r="AI130" s="18" t="str">
        <x:v>01. Información oficial de la oposición\Exámenes oficiales anteriores\2025 Convocatoria 2023 - Examen extraordinario acceso libre.pdf</x:v>
      </x:c>
      <x:c r="AJ130" s="18" t="str">
        <x:v>https://www.seg-social.es/wps/portal/wss/internet/InformacionUtil/9950/88beb45d-ca83-4bab-8162-f94ef2894562</x:v>
      </x:c>
      <x:c r="AK130" s="18" t="str">
        <x:v>Texto PDF</x:v>
      </x:c>
      <x:c r="AL130" s="18" t="n">
        <x:v>100</x:v>
      </x:c>
      <x:c r="AM130" s="18" t="str">
        <x:v>Alta</x:v>
      </x:c>
      <x:c r="AN130" s="18" t="str">
        <x:v>Regla jurídica determinista</x:v>
      </x:c>
      <x:c r="AO130" s="18" t="str">
        <x:v>2025_conv2023_extraordinario-T38</x:v>
      </x:c>
      <x:c r="AP130" s="18" t="n">
        <x:v>1</x:v>
      </x:c>
    </x:row>
    <x:row r="131">
      <x:c r="A131" s="18" t="str">
        <x:v>2025_conv2023_extraordinario-T39</x:v>
      </x:c>
      <x:c r="B131" s="18" t="n">
        <x:v>2025</x:v>
      </x:c>
      <x:c r="C131" s="18" t="n">
        <x:v>2023</x:v>
      </x:c>
      <x:c r="D131" s="28" t="n">
        <x:v>45682</x:v>
      </x:c>
      <x:c r="E131" s="18" t="str">
        <x:v>Acceso libre</x:v>
      </x:c>
      <x:c r="F131" s="18" t="str">
        <x:v>Primera parte</x:v>
      </x:c>
      <x:c r="G131" s="18" t="str">
        <x:v>Extraordinario</x:v>
      </x:c>
      <x:c r="H131" s="18" t="str">
        <x:v>Único</x:v>
      </x:c>
      <x:c r="I131" s="18" t="str">
        <x:v>Sí</x:v>
      </x:c>
      <x:c r="J131" s="18" t="str">
        <x:v>Cuestionario extraordinario sin modelo paralelo.</x:v>
      </x:c>
      <x:c r="K131" s="18" t="n">
        <x:v>39</x:v>
      </x:c>
      <x:c r="L131" s="18" t="str">
        <x:v>No</x:v>
      </x:c>
      <x:c r="M131" s="18" t="str">
        <x:v>La base reguladora de la pensión contributiva de viudedad, de acuerdo al artículo 7.2 del Decreto 1646/1972, señale la respuesta correcta:</x:v>
      </x:c>
      <x:c r="N131" s="18" t="str">
        <x:v>Es una cuantía fija establecida anualmente por Real Decreto.</x:v>
      </x:c>
      <x:c r="O131" s="18" t="str">
        <x:v>Es la misma si el fallecimiento se ha producido por contingencias comunes o profesionales.</x:v>
      </x:c>
      <x:c r="P131" s="18" t="str">
        <x:v>Derivada de contingencias comunes será el cociente que resulte de dividir por 28 la suma de las bases de cotización del interesado durante un periodo ininterrumpido de 24 meses, elegidos por los beneficiarios dentro de los 15 años inmediatamente anteriores al mes previo al del hecho causante de la pensión.</x:v>
      </x:c>
      <x:c r="Q131" s="18" t="str">
        <x:v>Derivada de contingencias profesionales será el cociente que resulte de dividir por 28 la suma de las bases de cotización del interesado durante un periodo ininterrumpido de 24 meses, elegidos por los beneficiarios dentro de los 15 años inmediatamente ante riores al mes previo al del hecho causante de la pensión.</x:v>
      </x:c>
      <x:c r="R131" s="18" t="str">
        <x:v>S11</x:v>
      </x:c>
      <x:c r="S131" s="18" t="n">
        <x:v>11</x:v>
      </x:c>
      <x:c r="T131" s="18" t="str">
        <x:v>Temario específico Seguridad Social</x:v>
      </x:c>
      <x:c r="U131" s="18" t="str">
        <x:v>La protección por muerte y supervivencia. Hecho causante. Requisitos para las prestaciones de viudedad, orfandad y en favor de familiares. Cuantía de las prestaciones. Compatibilidad. Suspensión y Extinción. Normas específicas en caso de muerte derivada de accidente de trabajo o enfermedad profesional. Efectividad económica de las prestaciones. El auxilio por defunción.</x:v>
      </x:c>
      <x:c r="V131" s="18" t="str">
        <x:v>viudedad</x:v>
      </x:c>
      <x:c r="W131" s="18" t="str"/>
      <x:c r="X131" s="18" t="str">
        <x:v>7.2</x:v>
      </x:c>
      <x:c r="Y131" s="18" t="str">
        <x:v>Cálculos</x:v>
      </x:c>
      <x:c r="Z131" s="18" t="str">
        <x:v>Media</x:v>
      </x:c>
      <x:c r="AA131" s="18" t="str">
        <x:v>viudedad</x:v>
      </x:c>
      <x:c r="AB131" s="18" t="str"/>
      <x:c r="AC131" s="18" t="str"/>
      <x:c r="AD131" s="18" t="str">
        <x:v>No</x:v>
      </x:c>
      <x:c r="AE131" s="18" t="str">
        <x:v>Teórico</x:v>
      </x:c>
      <x:c r="AF131" s="18" t="str">
        <x:v>C</x:v>
      </x:c>
      <x:c r="AG131" s="18" t="str">
        <x:v>C</x:v>
      </x:c>
      <x:c r="AH131" s="18" t="str">
        <x:v>Válida</x:v>
      </x:c>
      <x:c r="AI131" s="18" t="str">
        <x:v>01. Información oficial de la oposición\Exámenes oficiales anteriores\2025 Convocatoria 2023 - Examen extraordinario acceso libre.pdf</x:v>
      </x:c>
      <x:c r="AJ131" s="18" t="str">
        <x:v>https://www.seg-social.es/wps/portal/wss/internet/InformacionUtil/9950/88beb45d-ca83-4bab-8162-f94ef2894562</x:v>
      </x:c>
      <x:c r="AK131" s="18" t="str">
        <x:v>Texto PDF</x:v>
      </x:c>
      <x:c r="AL131" s="18" t="n">
        <x:v>100</x:v>
      </x:c>
      <x:c r="AM131" s="18" t="str">
        <x:v>Alta</x:v>
      </x:c>
      <x:c r="AN131" s="18" t="str">
        <x:v>Regla jurídica determinista</x:v>
      </x:c>
      <x:c r="AO131" s="18" t="str">
        <x:v>2025_conv2023_extraordinario-T39</x:v>
      </x:c>
      <x:c r="AP131" s="18" t="n">
        <x:v>1</x:v>
      </x:c>
    </x:row>
    <x:row r="132">
      <x:c r="A132" s="18" t="str">
        <x:v>2025_conv2023_extraordinario-T40</x:v>
      </x:c>
      <x:c r="B132" s="18" t="n">
        <x:v>2025</x:v>
      </x:c>
      <x:c r="C132" s="18" t="n">
        <x:v>2023</x:v>
      </x:c>
      <x:c r="D132" s="28" t="n">
        <x:v>45682</x:v>
      </x:c>
      <x:c r="E132" s="18" t="str">
        <x:v>Acceso libre</x:v>
      </x:c>
      <x:c r="F132" s="18" t="str">
        <x:v>Primera parte</x:v>
      </x:c>
      <x:c r="G132" s="18" t="str">
        <x:v>Extraordinario</x:v>
      </x:c>
      <x:c r="H132" s="18" t="str">
        <x:v>Único</x:v>
      </x:c>
      <x:c r="I132" s="18" t="str">
        <x:v>Sí</x:v>
      </x:c>
      <x:c r="J132" s="18" t="str">
        <x:v>Cuestionario extraordinario sin modelo paralelo.</x:v>
      </x:c>
      <x:c r="K132" s="18" t="n">
        <x:v>40</x:v>
      </x:c>
      <x:c r="L132" s="18" t="str">
        <x:v>No</x:v>
      </x:c>
      <x:c r="M132" s="18" t="str">
        <x:v>En relación con la pensión de orfandad, el artículo 224 del Texto Refundido de la Ley General de la Seguridad Social establece que:</x:v>
      </x:c>
      <x:c r="N132" s="18" t="str">
        <x:v>La cuantía de esta prestación será el 70 por ciento de su base reguladora, siempre que los rendimientos de la unidad familiar de convivencia, incluidas las personas huérfanas, dividido por el número de miembros que la componen, no superen en cómputo anual el 75 por ciento del Salario Mínimo Interprofesional vigente en cada momento, excluida la parte proporcional de las pagas extraordinarias.</x:v>
      </x:c>
      <x:c r="O132" s="18" t="str">
        <x:v>La cuantía de esta prestación será el 70 por ciento de su base reguladora, siempre y en todo caso.</x:v>
      </x:c>
      <x:c r="P132" s="18" t="str">
        <x:v>La cuantía de esta prestación será el 50 por ciento de su base reguladora, siempre que los rendimientos de la unidad familiar de convivencia, incluidas las personas huérfanas, dividido por el número de miembros que la componen, no superen en cómputo anual el 75 por ciento del Salario Mínimo Interprofesional vigente en cada momento, excluida la parte proporcional de las pagas extraordinarias.</x:v>
      </x:c>
      <x:c r="Q132" s="18" t="str">
        <x:v>La cuantía de esta prestación será el 50 por ciento de su base reguladora, siempre y en todo caso.</x:v>
      </x:c>
      <x:c r="R132" s="18" t="str">
        <x:v>S11</x:v>
      </x:c>
      <x:c r="S132" s="18" t="n">
        <x:v>11</x:v>
      </x:c>
      <x:c r="T132" s="18" t="str">
        <x:v>Temario específico Seguridad Social</x:v>
      </x:c>
      <x:c r="U132" s="18" t="str">
        <x:v>La protección por muerte y supervivencia. Hecho causante. Requisitos para las prestaciones de viudedad, orfandad y en favor de familiares. Cuantía de las prestaciones. Compatibilidad. Suspensión y Extinción. Normas específicas en caso de muerte derivada de accidente de trabajo o enfermedad profesional. Efectividad económica de las prestaciones. El auxilio por defunción.</x:v>
      </x:c>
      <x:c r="V132" s="18" t="str">
        <x:v>orfandad</x:v>
      </x:c>
      <x:c r="W132" s="18" t="str">
        <x:v>Texto Refundido de la Ley General de la Seguridad Social</x:v>
      </x:c>
      <x:c r="X132" s="18" t="str">
        <x:v>224</x:v>
      </x:c>
      <x:c r="Y132" s="18" t="str">
        <x:v>Muerte y supervivencia</x:v>
      </x:c>
      <x:c r="Z132" s="18" t="str">
        <x:v>Media</x:v>
      </x:c>
      <x:c r="AA132" s="18" t="str">
        <x:v>orfandad</x:v>
      </x:c>
      <x:c r="AB132" s="18" t="str"/>
      <x:c r="AC132" s="18" t="str"/>
      <x:c r="AD132" s="18" t="str">
        <x:v>No</x:v>
      </x:c>
      <x:c r="AE132" s="18" t="str">
        <x:v>Teórico</x:v>
      </x:c>
      <x:c r="AF132" s="18" t="str">
        <x:v>A</x:v>
      </x:c>
      <x:c r="AG132" s="18" t="str">
        <x:v>A</x:v>
      </x:c>
      <x:c r="AH132" s="18" t="str">
        <x:v>Válida</x:v>
      </x:c>
      <x:c r="AI132" s="18" t="str">
        <x:v>01. Información oficial de la oposición\Exámenes oficiales anteriores\2025 Convocatoria 2023 - Examen extraordinario acceso libre.pdf</x:v>
      </x:c>
      <x:c r="AJ132" s="18" t="str">
        <x:v>https://www.seg-social.es/wps/portal/wss/internet/InformacionUtil/9950/88beb45d-ca83-4bab-8162-f94ef2894562</x:v>
      </x:c>
      <x:c r="AK132" s="18" t="str">
        <x:v>Texto PDF</x:v>
      </x:c>
      <x:c r="AL132" s="18" t="n">
        <x:v>100</x:v>
      </x:c>
      <x:c r="AM132" s="18" t="str">
        <x:v>Alta</x:v>
      </x:c>
      <x:c r="AN132" s="18" t="str">
        <x:v>Regla jurídica determinista</x:v>
      </x:c>
      <x:c r="AO132" s="18" t="str">
        <x:v>2025_conv2023_extraordinario-T40</x:v>
      </x:c>
      <x:c r="AP132" s="18" t="n">
        <x:v>1</x:v>
      </x:c>
    </x:row>
    <x:row r="133">
      <x:c r="A133" s="18" t="str">
        <x:v>2025_conv2023_extraordinario-T41</x:v>
      </x:c>
      <x:c r="B133" s="18" t="n">
        <x:v>2025</x:v>
      </x:c>
      <x:c r="C133" s="18" t="n">
        <x:v>2023</x:v>
      </x:c>
      <x:c r="D133" s="28" t="n">
        <x:v>45682</x:v>
      </x:c>
      <x:c r="E133" s="18" t="str">
        <x:v>Acceso libre</x:v>
      </x:c>
      <x:c r="F133" s="18" t="str">
        <x:v>Primera parte</x:v>
      </x:c>
      <x:c r="G133" s="18" t="str">
        <x:v>Extraordinario</x:v>
      </x:c>
      <x:c r="H133" s="18" t="str">
        <x:v>Único</x:v>
      </x:c>
      <x:c r="I133" s="18" t="str">
        <x:v>Sí</x:v>
      </x:c>
      <x:c r="J133" s="18" t="str">
        <x:v>Cuestionario extraordinario sin modelo paralelo.</x:v>
      </x:c>
      <x:c r="K133" s="18" t="n">
        <x:v>41</x:v>
      </x:c>
      <x:c r="L133" s="18" t="str">
        <x:v>No</x:v>
      </x:c>
      <x:c r="M133" s="18" t="str">
        <x:v>Según el artículo 31 del Decreto 3158/1966, la pensión vitalicia de viudedad:</x:v>
      </x:c>
      <x:c r="N133" s="18" t="str">
        <x:v>La regla general es que el porcentaje a aplicar a la correspondiente base reguladora es del 60%</x:v>
      </x:c>
      <x:c r="O133" s="18" t="str">
        <x:v>La regla general es que el porcentaje a aplicar a la correspondiente base reguladora es del 75%.</x:v>
      </x:c>
      <x:c r="P133" s="18" t="str">
        <x:v>La regla general es que el porcentaje a aplicar a la correspondiente base reguladora es del 52%.</x:v>
      </x:c>
      <x:c r="Q133" s="18" t="str">
        <x:v>Ninguna de las respuestas anteriores es correcta.</x:v>
      </x:c>
      <x:c r="R133" s="18" t="str">
        <x:v>S11</x:v>
      </x:c>
      <x:c r="S133" s="18" t="n">
        <x:v>11</x:v>
      </x:c>
      <x:c r="T133" s="18" t="str">
        <x:v>Temario específico Seguridad Social</x:v>
      </x:c>
      <x:c r="U133" s="18" t="str">
        <x:v>La protección por muerte y supervivencia. Hecho causante. Requisitos para las prestaciones de viudedad, orfandad y en favor de familiares. Cuantía de las prestaciones. Compatibilidad. Suspensión y Extinción. Normas específicas en caso de muerte derivada de accidente de trabajo o enfermedad profesional. Efectividad económica de las prestaciones. El auxilio por defunción.</x:v>
      </x:c>
      <x:c r="V133" s="18" t="str">
        <x:v>viudedad</x:v>
      </x:c>
      <x:c r="W133" s="18" t="str"/>
      <x:c r="X133" s="18" t="str">
        <x:v>31</x:v>
      </x:c>
      <x:c r="Y133" s="18" t="str">
        <x:v>Muerte y supervivencia</x:v>
      </x:c>
      <x:c r="Z133" s="18" t="str">
        <x:v>Media</x:v>
      </x:c>
      <x:c r="AA133" s="18" t="str">
        <x:v>viudedad</x:v>
      </x:c>
      <x:c r="AB133" s="18" t="str"/>
      <x:c r="AC133" s="18" t="str"/>
      <x:c r="AD133" s="18" t="str">
        <x:v>No</x:v>
      </x:c>
      <x:c r="AE133" s="18" t="str">
        <x:v>Teórico</x:v>
      </x:c>
      <x:c r="AF133" s="18" t="str">
        <x:v>C</x:v>
      </x:c>
      <x:c r="AG133" s="18" t="str">
        <x:v>C</x:v>
      </x:c>
      <x:c r="AH133" s="18" t="str">
        <x:v>Válida</x:v>
      </x:c>
      <x:c r="AI133" s="18" t="str">
        <x:v>01. Información oficial de la oposición\Exámenes oficiales anteriores\2025 Convocatoria 2023 - Examen extraordinario acceso libre.pdf</x:v>
      </x:c>
      <x:c r="AJ133" s="18" t="str">
        <x:v>https://www.seg-social.es/wps/portal/wss/internet/InformacionUtil/9950/88beb45d-ca83-4bab-8162-f94ef2894562</x:v>
      </x:c>
      <x:c r="AK133" s="18" t="str">
        <x:v>Texto PDF</x:v>
      </x:c>
      <x:c r="AL133" s="18" t="n">
        <x:v>100</x:v>
      </x:c>
      <x:c r="AM133" s="18" t="str">
        <x:v>Alta</x:v>
      </x:c>
      <x:c r="AN133" s="18" t="str">
        <x:v>Regla jurídica determinista</x:v>
      </x:c>
      <x:c r="AO133" s="18" t="str">
        <x:v>2025_conv2023_extraordinario-T41</x:v>
      </x:c>
      <x:c r="AP133" s="18" t="n">
        <x:v>1</x:v>
      </x:c>
    </x:row>
    <x:row r="134">
      <x:c r="A134" s="18" t="str">
        <x:v>2025_conv2023_extraordinario-T42</x:v>
      </x:c>
      <x:c r="B134" s="18" t="n">
        <x:v>2025</x:v>
      </x:c>
      <x:c r="C134" s="18" t="n">
        <x:v>2023</x:v>
      </x:c>
      <x:c r="D134" s="28" t="n">
        <x:v>45682</x:v>
      </x:c>
      <x:c r="E134" s="18" t="str">
        <x:v>Acceso libre</x:v>
      </x:c>
      <x:c r="F134" s="18" t="str">
        <x:v>Primera parte</x:v>
      </x:c>
      <x:c r="G134" s="18" t="str">
        <x:v>Extraordinario</x:v>
      </x:c>
      <x:c r="H134" s="18" t="str">
        <x:v>Único</x:v>
      </x:c>
      <x:c r="I134" s="18" t="str">
        <x:v>Sí</x:v>
      </x:c>
      <x:c r="J134" s="18" t="str">
        <x:v>Cuestionario extraordinario sin modelo paralelo.</x:v>
      </x:c>
      <x:c r="K134" s="18" t="n">
        <x:v>42</x:v>
      </x:c>
      <x:c r="L134" s="18" t="str">
        <x:v>No</x:v>
      </x:c>
      <x:c r="M134" s="18" t="str">
        <x:v>De acuerdo con el artículo 5 de la Ley 19/2021, por la que se establece el Ingreso Mínimo Vital, en relación con los titulares de esta prestación:</x:v>
      </x:c>
      <x:c r="N134" s="18" t="str">
        <x:v>Son titulares de esta prestación las personas con capacidad jurídica que la soliciten y la perciban, en nombre propio o en nombre de una unidad de convivencia. En este último caso, cualquier integrante asumirá la representación de la citada unidad.</x:v>
      </x:c>
      <x:c r="O134" s="18" t="str">
        <x:v>En caso de no integrarse en una unidad de convivencia, la edad mínima de la persona titular será de 25 años, salvo en algunos supuestos.</x:v>
      </x:c>
      <x:c r="P134" s="18" t="str">
        <x:v>En el supuesto de que en una unidad de convivencia existieran varias personas que pudieran ostentar tal condición, será considerada titular la persona a la que se le reconozca la prestación solicitada en nombre de la unidad de convivencia.</x:v>
      </x:c>
      <x:c r="Q134" s="18" t="str">
        <x:v>En ningún caso, la entidad gestora podrá acordar el pago de la prestación a otro de los miembros de la unidad de convivencia distintos del titular.</x:v>
      </x:c>
      <x:c r="R134" s="18" t="str">
        <x:v>S12</x:v>
      </x:c>
      <x:c r="S134" s="18" t="n">
        <x:v>12</x:v>
      </x:c>
      <x:c r="T134" s="18" t="str">
        <x:v>Temario específico Seguridad Social</x:v>
      </x:c>
      <x:c r="U134" s="18" t="str">
        <x:v>Prestaciones no contributivas y asistenciales. El ingreso mínimo vital: beneficiarios, requisitos y duración. Obligaciones de las personas beneficiarias. Cuantía, pago, reintegro de prestaciones indebidas. Prestaciones familiares múltiples. Prestaciones familiares en la modalidad contributiva. Las pensiones no contributivas: Invalidez no contributiva: Jubilación no contributiva.</x:v>
      </x:c>
      <x:c r="V134" s="18" t="str">
        <x:v>ingreso mínimo vital</x:v>
      </x:c>
      <x:c r="W134" s="18" t="str">
        <x:v>Ley 19/2021</x:v>
      </x:c>
      <x:c r="X134" s="18" t="str">
        <x:v>5</x:v>
      </x:c>
      <x:c r="Y134" s="18" t="str">
        <x:v>Prestaciones no contributivas</x:v>
      </x:c>
      <x:c r="Z134" s="18" t="str">
        <x:v>Media</x:v>
      </x:c>
      <x:c r="AA134" s="18" t="str">
        <x:v>ingreso mínimo vital</x:v>
      </x:c>
      <x:c r="AB134" s="18" t="str"/>
      <x:c r="AC134" s="18" t="str"/>
      <x:c r="AD134" s="18" t="str">
        <x:v>No</x:v>
      </x:c>
      <x:c r="AE134" s="18" t="str">
        <x:v>Teórico</x:v>
      </x:c>
      <x:c r="AF134" s="18" t="str">
        <x:v>C</x:v>
      </x:c>
      <x:c r="AG134" s="18" t="str">
        <x:v>C</x:v>
      </x:c>
      <x:c r="AH134" s="18" t="str">
        <x:v>Válida</x:v>
      </x:c>
      <x:c r="AI134" s="18" t="str">
        <x:v>01. Información oficial de la oposición\Exámenes oficiales anteriores\2025 Convocatoria 2023 - Examen extraordinario acceso libre.pdf</x:v>
      </x:c>
      <x:c r="AJ134" s="18" t="str">
        <x:v>https://www.seg-social.es/wps/portal/wss/internet/InformacionUtil/9950/88beb45d-ca83-4bab-8162-f94ef2894562</x:v>
      </x:c>
      <x:c r="AK134" s="18" t="str">
        <x:v>Texto PDF</x:v>
      </x:c>
      <x:c r="AL134" s="18" t="n">
        <x:v>100</x:v>
      </x:c>
      <x:c r="AM134" s="18" t="str">
        <x:v>Alta</x:v>
      </x:c>
      <x:c r="AN134" s="18" t="str">
        <x:v>Regla jurídica determinista</x:v>
      </x:c>
      <x:c r="AO134" s="18" t="str">
        <x:v>2025_conv2023_extraordinario-T42</x:v>
      </x:c>
      <x:c r="AP134" s="18" t="n">
        <x:v>1</x:v>
      </x:c>
    </x:row>
    <x:row r="135">
      <x:c r="A135" s="18" t="str">
        <x:v>2025_conv2023_extraordinario-T43</x:v>
      </x:c>
      <x:c r="B135" s="18" t="n">
        <x:v>2025</x:v>
      </x:c>
      <x:c r="C135" s="18" t="n">
        <x:v>2023</x:v>
      </x:c>
      <x:c r="D135" s="28" t="n">
        <x:v>45682</x:v>
      </x:c>
      <x:c r="E135" s="18" t="str">
        <x:v>Acceso libre</x:v>
      </x:c>
      <x:c r="F135" s="18" t="str">
        <x:v>Primera parte</x:v>
      </x:c>
      <x:c r="G135" s="18" t="str">
        <x:v>Extraordinario</x:v>
      </x:c>
      <x:c r="H135" s="18" t="str">
        <x:v>Único</x:v>
      </x:c>
      <x:c r="I135" s="18" t="str">
        <x:v>Sí</x:v>
      </x:c>
      <x:c r="J135" s="18" t="str">
        <x:v>Cuestionario extraordinario sin modelo paralelo.</x:v>
      </x:c>
      <x:c r="K135" s="18" t="n">
        <x:v>43</x:v>
      </x:c>
      <x:c r="L135" s="18" t="str">
        <x:v>No</x:v>
      </x:c>
      <x:c r="M135" s="18" t="str">
        <x:v>Conforme señala el artículo 36 de la Ley 19/2021, por la que se establece el Ingreso Mínimo Vital, las personas titulares del ingreso mínimo vital estarán sujetas durante el tiempo de percepción de la prestación, entre otras, a alguna o algunas de las siguientes obligaciones:</x:v>
      </x:c>
      <x:c r="N135" s="18" t="str">
        <x:v>Reintegrar el importe de las prestaciones indebidamente percibidas.</x:v>
      </x:c>
      <x:c r="O135" s="18" t="str">
        <x:v>Presentar trimestralmente declaración correspondiente al Impuesto sobre la Renta de las Personas Físicas.</x:v>
      </x:c>
      <x:c r="P135" s="18" t="str">
        <x:v>Comunicar a la entidad gestora, con carácter previo, las salidas al extranjero, tanto del titular como de los miembros de la unidad de convivencia, por un periodo, continuado o no, superior a 30 días naturales durante cada año natural.</x:v>
      </x:c>
      <x:c r="Q135" s="18" t="str">
        <x:v>Comunicar cualquier cambio de domicilio o de situación en el Padrón municipal que afecte personalmente a dichos titulares o a cualquier otro miembro que forme parte de la unidad de convivencia, en el plazo de 15 días naturales desde que se produzcan.</x:v>
      </x:c>
      <x:c r="R135" s="18" t="str">
        <x:v>S12</x:v>
      </x:c>
      <x:c r="S135" s="18" t="n">
        <x:v>12</x:v>
      </x:c>
      <x:c r="T135" s="18" t="str">
        <x:v>Temario específico Seguridad Social</x:v>
      </x:c>
      <x:c r="U135" s="18" t="str">
        <x:v>Prestaciones no contributivas y asistenciales. El ingreso mínimo vital: beneficiarios, requisitos y duración. Obligaciones de las personas beneficiarias. Cuantía, pago, reintegro de prestaciones indebidas. Prestaciones familiares múltiples. Prestaciones familiares en la modalidad contributiva. Las pensiones no contributivas: Invalidez no contributiva: Jubilación no contributiva.</x:v>
      </x:c>
      <x:c r="V135" s="18" t="str">
        <x:v>ingreso mínimo vital</x:v>
      </x:c>
      <x:c r="W135" s="18" t="str">
        <x:v>Ley 19/2021</x:v>
      </x:c>
      <x:c r="X135" s="18" t="str">
        <x:v>36</x:v>
      </x:c>
      <x:c r="Y135" s="18" t="str">
        <x:v>Prestaciones no contributivas</x:v>
      </x:c>
      <x:c r="Z135" s="18" t="str">
        <x:v>Media</x:v>
      </x:c>
      <x:c r="AA135" s="18" t="str">
        <x:v>ingreso mínimo vital</x:v>
      </x:c>
      <x:c r="AB135" s="18" t="str"/>
      <x:c r="AC135" s="18" t="str"/>
      <x:c r="AD135" s="18" t="str">
        <x:v>No</x:v>
      </x:c>
      <x:c r="AE135" s="18" t="str">
        <x:v>Teórico</x:v>
      </x:c>
      <x:c r="AF135" s="18" t="str">
        <x:v>A</x:v>
      </x:c>
      <x:c r="AG135" s="18" t="str">
        <x:v>A</x:v>
      </x:c>
      <x:c r="AH135" s="18" t="str">
        <x:v>Válida</x:v>
      </x:c>
      <x:c r="AI135" s="18" t="str">
        <x:v>01. Información oficial de la oposición\Exámenes oficiales anteriores\2025 Convocatoria 2023 - Examen extraordinario acceso libre.pdf</x:v>
      </x:c>
      <x:c r="AJ135" s="18" t="str">
        <x:v>https://www.seg-social.es/wps/portal/wss/internet/InformacionUtil/9950/88beb45d-ca83-4bab-8162-f94ef2894562</x:v>
      </x:c>
      <x:c r="AK135" s="18" t="str">
        <x:v>Texto PDF</x:v>
      </x:c>
      <x:c r="AL135" s="18" t="n">
        <x:v>100</x:v>
      </x:c>
      <x:c r="AM135" s="18" t="str">
        <x:v>Alta</x:v>
      </x:c>
      <x:c r="AN135" s="18" t="str">
        <x:v>Regla jurídica determinista</x:v>
      </x:c>
      <x:c r="AO135" s="18" t="str">
        <x:v>2025_conv2023_extraordinario-T43</x:v>
      </x:c>
      <x:c r="AP135" s="18" t="n">
        <x:v>1</x:v>
      </x:c>
    </x:row>
    <x:row r="136">
      <x:c r="A136" s="18" t="str">
        <x:v>2025_conv2023_extraordinario-T44</x:v>
      </x:c>
      <x:c r="B136" s="18" t="n">
        <x:v>2025</x:v>
      </x:c>
      <x:c r="C136" s="18" t="n">
        <x:v>2023</x:v>
      </x:c>
      <x:c r="D136" s="28" t="n">
        <x:v>45682</x:v>
      </x:c>
      <x:c r="E136" s="18" t="str">
        <x:v>Acceso libre</x:v>
      </x:c>
      <x:c r="F136" s="18" t="str">
        <x:v>Primera parte</x:v>
      </x:c>
      <x:c r="G136" s="18" t="str">
        <x:v>Extraordinario</x:v>
      </x:c>
      <x:c r="H136" s="18" t="str">
        <x:v>Único</x:v>
      </x:c>
      <x:c r="I136" s="18" t="str">
        <x:v>Sí</x:v>
      </x:c>
      <x:c r="J136" s="18" t="str">
        <x:v>Cuestionario extraordinario sin modelo paralelo.</x:v>
      </x:c>
      <x:c r="K136" s="18" t="n">
        <x:v>44</x:v>
      </x:c>
      <x:c r="L136" s="18" t="str">
        <x:v>No</x:v>
      </x:c>
      <x:c r="M136" s="18" t="str">
        <x:v>De acuerdo con el artículo 236 del Texto Refundido de la Ley General de la Seguridad Social, el período computable como cotizado por cuidado de hijos o menores será como máximo de:</x:v>
      </x:c>
      <x:c r="N136" s="18" t="str">
        <x:v>180 días por hijo o menor adoptado o acogido, sin que en ningún caso pueda ser superior a la interrupción real de la cotización.</x:v>
      </x:c>
      <x:c r="O136" s="18" t="str">
        <x:v>90 días por hijo o menor adoptado o acogido, sin que en ningún caso pueda ser superior a la interrupción real de la cotización.</x:v>
      </x:c>
      <x:c r="P136" s="18" t="str">
        <x:v>365 días por hijo o menor adoptado o acogido, sin que en ningún caso pueda ser superior a la interrupción real de la cotización.</x:v>
      </x:c>
      <x:c r="Q136" s="18" t="str">
        <x:v>270 días por hijo o menor adoptado o acogido, sin que en ningún caso pueda ser superior a la interrupción real de la cotización.</x:v>
      </x:c>
      <x:c r="R136" s="18" t="str">
        <x:v>S12</x:v>
      </x:c>
      <x:c r="S136" s="18" t="n">
        <x:v>12</x:v>
      </x:c>
      <x:c r="T136" s="18" t="str">
        <x:v>Temario específico Seguridad Social</x:v>
      </x:c>
      <x:c r="U136" s="18" t="str">
        <x:v>Prestaciones no contributivas y asistenciales. El ingreso mínimo vital: beneficiarios, requisitos y duración. Obligaciones de las personas beneficiarias. Cuantía, pago, reintegro de prestaciones indebidas. Prestaciones familiares múltiples. Prestaciones familiares en la modalidad contributiva. Las pensiones no contributivas: Invalidez no contributiva: Jubilación no contributiva.</x:v>
      </x:c>
      <x:c r="V136" s="18" t="str">
        <x:v>S12</x:v>
      </x:c>
      <x:c r="W136" s="18" t="str">
        <x:v>Texto Refundido de la Ley General de la Seguridad Social</x:v>
      </x:c>
      <x:c r="X136" s="18" t="str">
        <x:v>236</x:v>
      </x:c>
      <x:c r="Y136" s="18" t="str">
        <x:v>Prestaciones no contributivas</x:v>
      </x:c>
      <x:c r="Z136" s="18" t="str">
        <x:v>Media</x:v>
      </x:c>
      <x:c r="AA136" s="18" t="str">
        <x:v>S12</x:v>
      </x:c>
      <x:c r="AB136" s="18" t="str"/>
      <x:c r="AC136" s="18" t="str"/>
      <x:c r="AD136" s="18" t="str">
        <x:v>No</x:v>
      </x:c>
      <x:c r="AE136" s="18" t="str">
        <x:v>Teórico</x:v>
      </x:c>
      <x:c r="AF136" s="18" t="str">
        <x:v>D</x:v>
      </x:c>
      <x:c r="AG136" s="18" t="str">
        <x:v>D</x:v>
      </x:c>
      <x:c r="AH136" s="18" t="str">
        <x:v>Válida</x:v>
      </x:c>
      <x:c r="AI136" s="18" t="str">
        <x:v>01. Información oficial de la oposición\Exámenes oficiales anteriores\2025 Convocatoria 2023 - Examen extraordinario acceso libre.pdf</x:v>
      </x:c>
      <x:c r="AJ136" s="18" t="str">
        <x:v>https://www.seg-social.es/wps/portal/wss/internet/InformacionUtil/9950/88beb45d-ca83-4bab-8162-f94ef2894562</x:v>
      </x:c>
      <x:c r="AK136" s="18" t="str">
        <x:v>Texto PDF</x:v>
      </x:c>
      <x:c r="AL136" s="18" t="n">
        <x:v>100</x:v>
      </x:c>
      <x:c r="AM136" s="18" t="str">
        <x:v>Alta</x:v>
      </x:c>
      <x:c r="AN136" s="18" t="str">
        <x:v>Revisión jurídica individual</x:v>
      </x:c>
      <x:c r="AO136" s="18" t="str">
        <x:v>2025_conv2023_extraordinario-T44</x:v>
      </x:c>
      <x:c r="AP136" s="18" t="n">
        <x:v>1</x:v>
      </x:c>
    </x:row>
    <x:row r="137">
      <x:c r="A137" s="18" t="str">
        <x:v>2025_conv2023_extraordinario-T45</x:v>
      </x:c>
      <x:c r="B137" s="18" t="n">
        <x:v>2025</x:v>
      </x:c>
      <x:c r="C137" s="18" t="n">
        <x:v>2023</x:v>
      </x:c>
      <x:c r="D137" s="28" t="n">
        <x:v>45682</x:v>
      </x:c>
      <x:c r="E137" s="18" t="str">
        <x:v>Acceso libre</x:v>
      </x:c>
      <x:c r="F137" s="18" t="str">
        <x:v>Primera parte</x:v>
      </x:c>
      <x:c r="G137" s="18" t="str">
        <x:v>Extraordinario</x:v>
      </x:c>
      <x:c r="H137" s="18" t="str">
        <x:v>Único</x:v>
      </x:c>
      <x:c r="I137" s="18" t="str">
        <x:v>Sí</x:v>
      </x:c>
      <x:c r="J137" s="18" t="str">
        <x:v>Cuestionario extraordinario sin modelo paralelo.</x:v>
      </x:c>
      <x:c r="K137" s="18" t="n">
        <x:v>45</x:v>
      </x:c>
      <x:c r="L137" s="18" t="str">
        <x:v>No</x:v>
      </x:c>
      <x:c r="M137" s="18" t="str">
        <x:v>Según el artículo 365 del Texto Refundido de la Ley General de la Seguridad Social, los efectos económicos del reconocimiento del derecho a las pensiones de invalidez no contributiva se producirán:</x:v>
      </x:c>
      <x:c r="N137" s="18" t="str">
        <x:v>A partir del día primero del mes en que se presente la solicitud.</x:v>
      </x:c>
      <x:c r="O137" s="18" t="str">
        <x:v>A partir del día primero del mes siguiente a aquel en que se presente la solicitud.</x:v>
      </x:c>
      <x:c r="P137" s="18" t="str">
        <x:v>A partir del día quinto del mes siguiente a aquel en que se presente la solicitud.</x:v>
      </x:c>
      <x:c r="Q137" s="18" t="str">
        <x:v>A partir del día quinto del mes en que se presente la solicitud.</x:v>
      </x:c>
      <x:c r="R137" s="18" t="str">
        <x:v>S12</x:v>
      </x:c>
      <x:c r="S137" s="18" t="n">
        <x:v>12</x:v>
      </x:c>
      <x:c r="T137" s="18" t="str">
        <x:v>Temario específico Seguridad Social</x:v>
      </x:c>
      <x:c r="U137" s="18" t="str">
        <x:v>Prestaciones no contributivas y asistenciales. El ingreso mínimo vital: beneficiarios, requisitos y duración. Obligaciones de las personas beneficiarias. Cuantía, pago, reintegro de prestaciones indebidas. Prestaciones familiares múltiples. Prestaciones familiares en la modalidad contributiva. Las pensiones no contributivas: Invalidez no contributiva: Jubilación no contributiva.</x:v>
      </x:c>
      <x:c r="V137" s="18" t="str">
        <x:v>S12</x:v>
      </x:c>
      <x:c r="W137" s="18" t="str">
        <x:v>Texto Refundido de la Ley General de la Seguridad Social</x:v>
      </x:c>
      <x:c r="X137" s="18" t="str">
        <x:v>365</x:v>
      </x:c>
      <x:c r="Y137" s="18" t="str">
        <x:v>Prestaciones no contributivas</x:v>
      </x:c>
      <x:c r="Z137" s="18" t="str">
        <x:v>Media</x:v>
      </x:c>
      <x:c r="AA137" s="18" t="str">
        <x:v>S12</x:v>
      </x:c>
      <x:c r="AB137" s="18" t="str"/>
      <x:c r="AC137" s="18" t="str"/>
      <x:c r="AD137" s="18" t="str">
        <x:v>No</x:v>
      </x:c>
      <x:c r="AE137" s="18" t="str">
        <x:v>Teórico</x:v>
      </x:c>
      <x:c r="AF137" s="18" t="str">
        <x:v>B</x:v>
      </x:c>
      <x:c r="AG137" s="18" t="str">
        <x:v>B</x:v>
      </x:c>
      <x:c r="AH137" s="18" t="str">
        <x:v>Válida</x:v>
      </x:c>
      <x:c r="AI137" s="18" t="str">
        <x:v>01. Información oficial de la oposición\Exámenes oficiales anteriores\2025 Convocatoria 2023 - Examen extraordinario acceso libre.pdf</x:v>
      </x:c>
      <x:c r="AJ137" s="18" t="str">
        <x:v>https://www.seg-social.es/wps/portal/wss/internet/InformacionUtil/9950/88beb45d-ca83-4bab-8162-f94ef2894562</x:v>
      </x:c>
      <x:c r="AK137" s="18" t="str">
        <x:v>Texto PDF</x:v>
      </x:c>
      <x:c r="AL137" s="18" t="n">
        <x:v>100</x:v>
      </x:c>
      <x:c r="AM137" s="18" t="str">
        <x:v>Alta</x:v>
      </x:c>
      <x:c r="AN137" s="18" t="str">
        <x:v>Regla jurídica determinista</x:v>
      </x:c>
      <x:c r="AO137" s="18" t="str">
        <x:v>2025_conv2023_extraordinario-T45</x:v>
      </x:c>
      <x:c r="AP137" s="18" t="n">
        <x:v>1</x:v>
      </x:c>
    </x:row>
    <x:row r="138">
      <x:c r="A138" s="18" t="str">
        <x:v>2025_conv2023_extraordinario-T46</x:v>
      </x:c>
      <x:c r="B138" s="18" t="n">
        <x:v>2025</x:v>
      </x:c>
      <x:c r="C138" s="18" t="n">
        <x:v>2023</x:v>
      </x:c>
      <x:c r="D138" s="28" t="n">
        <x:v>45682</x:v>
      </x:c>
      <x:c r="E138" s="18" t="str">
        <x:v>Acceso libre</x:v>
      </x:c>
      <x:c r="F138" s="18" t="str">
        <x:v>Primera parte</x:v>
      </x:c>
      <x:c r="G138" s="18" t="str">
        <x:v>Extraordinario</x:v>
      </x:c>
      <x:c r="H138" s="18" t="str">
        <x:v>Único</x:v>
      </x:c>
      <x:c r="I138" s="18" t="str">
        <x:v>Sí</x:v>
      </x:c>
      <x:c r="J138" s="18" t="str">
        <x:v>Cuestionario extraordinario sin modelo paralelo.</x:v>
      </x:c>
      <x:c r="K138" s="18" t="n">
        <x:v>46</x:v>
      </x:c>
      <x:c r="L138" s="18" t="str">
        <x:v>No</x:v>
      </x:c>
      <x:c r="M138" s="18" t="str">
        <x:v>De acuerdo con lo dispuesto en el artículo 109.3 del Texto Refundido de la Ley General de la Seguridad Social, señale cuál de las siguientes prestaciones de la Seguridad Social tiene naturaleza contributiva:</x:v>
      </x:c>
      <x:c r="N138" s="18" t="str">
        <x:v>Las prestaciones familiares reguladas en el capítulo I del título VI.</x:v>
      </x:c>
      <x:c r="O138" s="18" t="str">
        <x:v>Los complementos por mínimos de las pensiones de la Seguridad Social.</x:v>
      </x:c>
      <x:c r="P138" s="18" t="str">
        <x:v>Todas las prestaciones derivadas de las contingencias de accidentes de trabajo y enfermedades profesionales.</x:v>
      </x:c>
      <x:c r="Q138" s="18" t="str">
        <x:v>Las prestaciones y servicios de asistencia sanitaria incluidos en la acción protectora de la Seguridad Social y los correspondientes a los servicios sociales, salvo que se deriven de accidentes de trabajo y enfermedades profesionales.</x:v>
      </x:c>
      <x:c r="R138" s="18" t="str">
        <x:v>S13</x:v>
      </x:c>
      <x:c r="S138" s="18" t="n">
        <x:v>13</x:v>
      </x:c>
      <x:c r="T138" s="18" t="str">
        <x:v>Temario específico Seguridad Social</x:v>
      </x:c>
      <x:c r="U138" s="18" t="str">
        <x:v>Recursos generales del sistema de la Seguridad Social. El patrimonio único de la seguridad social: titularidad, adscripción, administración y custodia. Los negocios jurídicos patrimoniales: adquisición, enajenación, arrendamiento y cesión. El Fondo de Reserva de la Seguridad Social: constitución, dotación y disposición. Gestión de los recursos financieros: atribución de funciones. Pago de prestaciones de la Seguridad Social.</x:v>
      </x:c>
      <x:c r="V138" s="18" t="str">
        <x:v>S13</x:v>
      </x:c>
      <x:c r="W138" s="18" t="str">
        <x:v>Texto Refundido de la Ley General de la Seguridad Social</x:v>
      </x:c>
      <x:c r="X138" s="18" t="str">
        <x:v>109.3</x:v>
      </x:c>
      <x:c r="Y138" s="18" t="str">
        <x:v>Artículos literales</x:v>
      </x:c>
      <x:c r="Z138" s="18" t="str">
        <x:v>Media</x:v>
      </x:c>
      <x:c r="AA138" s="18" t="str">
        <x:v>S13</x:v>
      </x:c>
      <x:c r="AB138" s="18" t="str"/>
      <x:c r="AC138" s="18" t="str"/>
      <x:c r="AD138" s="18" t="str">
        <x:v>No</x:v>
      </x:c>
      <x:c r="AE138" s="18" t="str">
        <x:v>Teórico</x:v>
      </x:c>
      <x:c r="AF138" s="18" t="str">
        <x:v>C</x:v>
      </x:c>
      <x:c r="AG138" s="18" t="str">
        <x:v>C</x:v>
      </x:c>
      <x:c r="AH138" s="18" t="str">
        <x:v>Válida</x:v>
      </x:c>
      <x:c r="AI138" s="18" t="str">
        <x:v>01. Información oficial de la oposición\Exámenes oficiales anteriores\2025 Convocatoria 2023 - Examen extraordinario acceso libre.pdf</x:v>
      </x:c>
      <x:c r="AJ138" s="18" t="str">
        <x:v>https://www.seg-social.es/wps/portal/wss/internet/InformacionUtil/9950/88beb45d-ca83-4bab-8162-f94ef2894562</x:v>
      </x:c>
      <x:c r="AK138" s="18" t="str">
        <x:v>Texto PDF</x:v>
      </x:c>
      <x:c r="AL138" s="18" t="n">
        <x:v>100</x:v>
      </x:c>
      <x:c r="AM138" s="18" t="str">
        <x:v>Alta</x:v>
      </x:c>
      <x:c r="AN138" s="18" t="str">
        <x:v>Regla jurídica determinista</x:v>
      </x:c>
      <x:c r="AO138" s="18" t="str">
        <x:v>2025_conv2023_extraordinario-T46</x:v>
      </x:c>
      <x:c r="AP138" s="18" t="n">
        <x:v>1</x:v>
      </x:c>
    </x:row>
    <x:row r="139">
      <x:c r="A139" s="18" t="str">
        <x:v>2025_conv2023_extraordinario-T47</x:v>
      </x:c>
      <x:c r="B139" s="18" t="n">
        <x:v>2025</x:v>
      </x:c>
      <x:c r="C139" s="18" t="n">
        <x:v>2023</x:v>
      </x:c>
      <x:c r="D139" s="28" t="n">
        <x:v>45682</x:v>
      </x:c>
      <x:c r="E139" s="18" t="str">
        <x:v>Acceso libre</x:v>
      </x:c>
      <x:c r="F139" s="18" t="str">
        <x:v>Primera parte</x:v>
      </x:c>
      <x:c r="G139" s="18" t="str">
        <x:v>Extraordinario</x:v>
      </x:c>
      <x:c r="H139" s="18" t="str">
        <x:v>Único</x:v>
      </x:c>
      <x:c r="I139" s="18" t="str">
        <x:v>Sí</x:v>
      </x:c>
      <x:c r="J139" s="18" t="str">
        <x:v>Cuestionario extraordinario sin modelo paralelo.</x:v>
      </x:c>
      <x:c r="K139" s="18" t="n">
        <x:v>47</x:v>
      </x:c>
      <x:c r="L139" s="18" t="str">
        <x:v>No</x:v>
      </x:c>
      <x:c r="M139" s="18" t="str">
        <x:v>Según el artículo 104.1 del Texto Refundido de la Ley General de la Seguridad Social, la titularidad del patrimonio único de la Seguridad Social corresponde a:</x:v>
      </x:c>
      <x:c r="N139" s="18" t="str">
        <x:v>Al Instituto Nacional de la Seguridad Social.</x:v>
      </x:c>
      <x:c r="O139" s="18" t="str">
        <x:v>A la Tesorería General de la Seguridad Social.</x:v>
      </x:c>
      <x:c r="P139" s="18" t="str">
        <x:v>A la Dirección General de Ordenación de Pagos de la Seguridad Social.</x:v>
      </x:c>
      <x:c r="Q139" s="18" t="str">
        <x:v>Al Ministerio de Inclusión, Seguridad Social y Migraciones.</x:v>
      </x:c>
      <x:c r="R139" s="18" t="str">
        <x:v>S13</x:v>
      </x:c>
      <x:c r="S139" s="18" t="n">
        <x:v>13</x:v>
      </x:c>
      <x:c r="T139" s="18" t="str">
        <x:v>Temario específico Seguridad Social</x:v>
      </x:c>
      <x:c r="U139" s="18" t="str">
        <x:v>Recursos generales del sistema de la Seguridad Social. El patrimonio único de la seguridad social: titularidad, adscripción, administración y custodia. Los negocios jurídicos patrimoniales: adquisición, enajenación, arrendamiento y cesión. El Fondo de Reserva de la Seguridad Social: constitución, dotación y disposición. Gestión de los recursos financieros: atribución de funciones. Pago de prestaciones de la Seguridad Social.</x:v>
      </x:c>
      <x:c r="V139" s="18" t="str">
        <x:v>S13</x:v>
      </x:c>
      <x:c r="W139" s="18" t="str">
        <x:v>Texto Refundido de la Ley General de la Seguridad Social</x:v>
      </x:c>
      <x:c r="X139" s="18" t="str">
        <x:v>104.1</x:v>
      </x:c>
      <x:c r="Y139" s="18" t="str">
        <x:v>Competencias</x:v>
      </x:c>
      <x:c r="Z139" s="18" t="str">
        <x:v>Media</x:v>
      </x:c>
      <x:c r="AA139" s="18" t="str">
        <x:v>S13</x:v>
      </x:c>
      <x:c r="AB139" s="18" t="str"/>
      <x:c r="AC139" s="18" t="str"/>
      <x:c r="AD139" s="18" t="str">
        <x:v>No</x:v>
      </x:c>
      <x:c r="AE139" s="18" t="str">
        <x:v>Teórico</x:v>
      </x:c>
      <x:c r="AF139" s="18" t="str">
        <x:v>B</x:v>
      </x:c>
      <x:c r="AG139" s="18" t="str">
        <x:v>B</x:v>
      </x:c>
      <x:c r="AH139" s="18" t="str">
        <x:v>Válida</x:v>
      </x:c>
      <x:c r="AI139" s="18" t="str">
        <x:v>01. Información oficial de la oposición\Exámenes oficiales anteriores\2025 Convocatoria 2023 - Examen extraordinario acceso libre.pdf</x:v>
      </x:c>
      <x:c r="AJ139" s="18" t="str">
        <x:v>https://www.seg-social.es/wps/portal/wss/internet/InformacionUtil/9950/88beb45d-ca83-4bab-8162-f94ef2894562</x:v>
      </x:c>
      <x:c r="AK139" s="18" t="str">
        <x:v>Texto PDF</x:v>
      </x:c>
      <x:c r="AL139" s="18" t="n">
        <x:v>100</x:v>
      </x:c>
      <x:c r="AM139" s="18" t="str">
        <x:v>Alta</x:v>
      </x:c>
      <x:c r="AN139" s="18" t="str">
        <x:v>Regla jurídica determinista</x:v>
      </x:c>
      <x:c r="AO139" s="18" t="str">
        <x:v>2025_conv2023_extraordinario-T47</x:v>
      </x:c>
      <x:c r="AP139" s="18" t="n">
        <x:v>1</x:v>
      </x:c>
    </x:row>
    <x:row r="140">
      <x:c r="A140" s="18" t="str">
        <x:v>2025_conv2023_extraordinario-T48</x:v>
      </x:c>
      <x:c r="B140" s="18" t="n">
        <x:v>2025</x:v>
      </x:c>
      <x:c r="C140" s="18" t="n">
        <x:v>2023</x:v>
      </x:c>
      <x:c r="D140" s="28" t="n">
        <x:v>45682</x:v>
      </x:c>
      <x:c r="E140" s="18" t="str">
        <x:v>Acceso libre</x:v>
      </x:c>
      <x:c r="F140" s="18" t="str">
        <x:v>Primera parte</x:v>
      </x:c>
      <x:c r="G140" s="18" t="str">
        <x:v>Extraordinario</x:v>
      </x:c>
      <x:c r="H140" s="18" t="str">
        <x:v>Único</x:v>
      </x:c>
      <x:c r="I140" s="18" t="str">
        <x:v>Sí</x:v>
      </x:c>
      <x:c r="J140" s="18" t="str">
        <x:v>Cuestionario extraordinario sin modelo paralelo.</x:v>
      </x:c>
      <x:c r="K140" s="18" t="n">
        <x:v>48</x:v>
      </x:c>
      <x:c r="L140" s="18" t="str">
        <x:v>No</x:v>
      </x:c>
      <x:c r="M140" s="18" t="str">
        <x:v>Conforme a lo establecido en el artículo 108 del Texto Refundido de la Ley General de la Seguridad Social, los bienes y derechos que integran el patrimonio de la seguridad social:</x:v>
      </x:c>
      <x:c r="N140" s="18" t="str">
        <x:v>Están exentos del cumplimiento de obligaciones tributarias y fiscales.</x:v>
      </x:c>
      <x:c r="O140" s="18" t="str">
        <x:v>No son susceptibles de enajenación, cesión o adscripción a otros organismos.</x:v>
      </x:c>
      <x:c r="P140" s="18" t="str">
        <x:v>Son inembargables.</x:v>
      </x:c>
      <x:c r="Q140" s="18" t="str">
        <x:v>Son embargables bajo ciertas condiciones.</x:v>
      </x:c>
      <x:c r="R140" s="18" t="str">
        <x:v>S13</x:v>
      </x:c>
      <x:c r="S140" s="18" t="n">
        <x:v>13</x:v>
      </x:c>
      <x:c r="T140" s="18" t="str">
        <x:v>Temario específico Seguridad Social</x:v>
      </x:c>
      <x:c r="U140" s="18" t="str">
        <x:v>Recursos generales del sistema de la Seguridad Social. El patrimonio único de la seguridad social: titularidad, adscripción, administración y custodia. Los negocios jurídicos patrimoniales: adquisición, enajenación, arrendamiento y cesión. El Fondo de Reserva de la Seguridad Social: constitución, dotación y disposición. Gestión de los recursos financieros: atribución de funciones. Pago de prestaciones de la Seguridad Social.</x:v>
      </x:c>
      <x:c r="V140" s="18" t="str">
        <x:v>S13</x:v>
      </x:c>
      <x:c r="W140" s="18" t="str">
        <x:v>Texto Refundido de la Ley General de la Seguridad Social</x:v>
      </x:c>
      <x:c r="X140" s="18" t="str">
        <x:v>108</x:v>
      </x:c>
      <x:c r="Y140" s="18" t="str">
        <x:v>Artículos literales</x:v>
      </x:c>
      <x:c r="Z140" s="18" t="str">
        <x:v>Media</x:v>
      </x:c>
      <x:c r="AA140" s="18" t="str">
        <x:v>S13</x:v>
      </x:c>
      <x:c r="AB140" s="18" t="str"/>
      <x:c r="AC140" s="18" t="str"/>
      <x:c r="AD140" s="18" t="str">
        <x:v>No</x:v>
      </x:c>
      <x:c r="AE140" s="18" t="str">
        <x:v>Teórico</x:v>
      </x:c>
      <x:c r="AF140" s="18" t="str">
        <x:v>C</x:v>
      </x:c>
      <x:c r="AG140" s="18" t="str">
        <x:v>C</x:v>
      </x:c>
      <x:c r="AH140" s="18" t="str">
        <x:v>Válida</x:v>
      </x:c>
      <x:c r="AI140" s="18" t="str">
        <x:v>01. Información oficial de la oposición\Exámenes oficiales anteriores\2025 Convocatoria 2023 - Examen extraordinario acceso libre.pdf</x:v>
      </x:c>
      <x:c r="AJ140" s="18" t="str">
        <x:v>https://www.seg-social.es/wps/portal/wss/internet/InformacionUtil/9950/88beb45d-ca83-4bab-8162-f94ef2894562</x:v>
      </x:c>
      <x:c r="AK140" s="18" t="str">
        <x:v>Texto PDF</x:v>
      </x:c>
      <x:c r="AL140" s="18" t="n">
        <x:v>100</x:v>
      </x:c>
      <x:c r="AM140" s="18" t="str">
        <x:v>Alta</x:v>
      </x:c>
      <x:c r="AN140" s="18" t="str">
        <x:v>Regla jurídica determinista</x:v>
      </x:c>
      <x:c r="AO140" s="18" t="str">
        <x:v>2025_conv2023_extraordinario-T48</x:v>
      </x:c>
      <x:c r="AP140" s="18" t="n">
        <x:v>1</x:v>
      </x:c>
    </x:row>
    <x:row r="141">
      <x:c r="A141" s="18" t="str">
        <x:v>2025_conv2023_extraordinario-T49</x:v>
      </x:c>
      <x:c r="B141" s="18" t="n">
        <x:v>2025</x:v>
      </x:c>
      <x:c r="C141" s="18" t="n">
        <x:v>2023</x:v>
      </x:c>
      <x:c r="D141" s="28" t="n">
        <x:v>45682</x:v>
      </x:c>
      <x:c r="E141" s="18" t="str">
        <x:v>Acceso libre</x:v>
      </x:c>
      <x:c r="F141" s="18" t="str">
        <x:v>Primera parte</x:v>
      </x:c>
      <x:c r="G141" s="18" t="str">
        <x:v>Extraordinario</x:v>
      </x:c>
      <x:c r="H141" s="18" t="str">
        <x:v>Único</x:v>
      </x:c>
      <x:c r="I141" s="18" t="str">
        <x:v>Sí</x:v>
      </x:c>
      <x:c r="J141" s="18" t="str">
        <x:v>Cuestionario extraordinario sin modelo paralelo.</x:v>
      </x:c>
      <x:c r="K141" s="18" t="n">
        <x:v>49</x:v>
      </x:c>
      <x:c r="L141" s="18" t="str">
        <x:v>No</x:v>
      </x:c>
      <x:c r="M141" s="18" t="str">
        <x:v>Señale la respuesta correcta en relación con el Capítulo I del Texto Refundido de la Ley General de la Seguridad Social:</x:v>
      </x:c>
      <x:c r="N141" s="18" t="str">
        <x:v>El sistema de la Seguridad Social, configurado por la acción protectora en sus modalidades contributiva y no contributiva, se fundamenta en los principios de universalidad, progresividad, subsidiariedad e igualdad.</x:v>
      </x:c>
      <x:c r="O141" s="18" t="str">
        <x:v>El Estado, por medio de la Seguridad Social, garantiza a las personas comprendidas en el campo de aplicación de esta, por cumplir los requisitos exigidos en las modalidades contributiva o no contributiva, así como a los familiares o asimilados que tuvieran a su cargo, la protección adecuada frente a las contingencias y en las situaciones que se contemplan en esta ley.</x:v>
      </x:c>
      <x:c r="P141" s="18" t="str">
        <x:v>Será anulable todo pacto, individual o colectivo, por el cual el trabajador renuncie a los derechos que le confiere la presente ley.</x:v>
      </x:c>
      <x:c r="Q141" s="18" t="str">
        <x:v>El derecho de los españoles a la Seguridad Social, establecido en el artículo 39 de la Constitución Española, se ajustará a lo dispuesto en la presente ley.</x:v>
      </x:c>
      <x:c r="R141" s="18" t="str">
        <x:v>S01</x:v>
      </x:c>
      <x:c r="S141" s="18" t="n">
        <x:v>1</x:v>
      </x:c>
      <x:c r="T141" s="18" t="str">
        <x:v>Temario específico Seguridad Social</x:v>
      </x:c>
      <x:c r="U141" s="18" t="str">
        <x:v>La Seguridad Social en la Constitución española de 1978. El texto refundido de la Ley General de la Seguridad Social.</x:v>
      </x:c>
      <x:c r="V141" s="18" t="str">
        <x:v>S01</x:v>
      </x:c>
      <x:c r="W141" s="18" t="str">
        <x:v>Texto Refundido de la Ley General de la Seguridad Social</x:v>
      </x:c>
      <x:c r="X141" s="18" t="str"/>
      <x:c r="Y141" s="18" t="str">
        <x:v>Artículos literales</x:v>
      </x:c>
      <x:c r="Z141" s="18" t="str">
        <x:v>Básica</x:v>
      </x:c>
      <x:c r="AA141" s="18" t="str">
        <x:v>S01</x:v>
      </x:c>
      <x:c r="AB141" s="18" t="str"/>
      <x:c r="AC141" s="18" t="str"/>
      <x:c r="AD141" s="18" t="str">
        <x:v>No</x:v>
      </x:c>
      <x:c r="AE141" s="18" t="str">
        <x:v>Teórico</x:v>
      </x:c>
      <x:c r="AF141" s="18" t="str">
        <x:v>B</x:v>
      </x:c>
      <x:c r="AG141" s="18" t="str">
        <x:v>B</x:v>
      </x:c>
      <x:c r="AH141" s="18" t="str">
        <x:v>Válida</x:v>
      </x:c>
      <x:c r="AI141" s="18" t="str">
        <x:v>01. Información oficial de la oposición\Exámenes oficiales anteriores\2025 Convocatoria 2023 - Examen extraordinario acceso libre.pdf</x:v>
      </x:c>
      <x:c r="AJ141" s="18" t="str">
        <x:v>https://www.seg-social.es/wps/portal/wss/internet/InformacionUtil/9950/88beb45d-ca83-4bab-8162-f94ef2894562</x:v>
      </x:c>
      <x:c r="AK141" s="18" t="str">
        <x:v>Texto PDF</x:v>
      </x:c>
      <x:c r="AL141" s="18" t="n">
        <x:v>100</x:v>
      </x:c>
      <x:c r="AM141" s="18" t="str">
        <x:v>Alta</x:v>
      </x:c>
      <x:c r="AN141" s="18" t="str">
        <x:v>Revisión jurídica individual</x:v>
      </x:c>
      <x:c r="AO141" s="18" t="str">
        <x:v>2025_conv2023_extraordinario-T49</x:v>
      </x:c>
      <x:c r="AP141" s="18" t="n">
        <x:v>1</x:v>
      </x:c>
    </x:row>
    <x:row r="142">
      <x:c r="A142" s="18" t="str">
        <x:v>2025_conv2023_extraordinario-T50</x:v>
      </x:c>
      <x:c r="B142" s="18" t="n">
        <x:v>2025</x:v>
      </x:c>
      <x:c r="C142" s="18" t="n">
        <x:v>2023</x:v>
      </x:c>
      <x:c r="D142" s="28" t="n">
        <x:v>45682</x:v>
      </x:c>
      <x:c r="E142" s="18" t="str">
        <x:v>Acceso libre</x:v>
      </x:c>
      <x:c r="F142" s="18" t="str">
        <x:v>Primera parte</x:v>
      </x:c>
      <x:c r="G142" s="18" t="str">
        <x:v>Extraordinario</x:v>
      </x:c>
      <x:c r="H142" s="18" t="str">
        <x:v>Único</x:v>
      </x:c>
      <x:c r="I142" s="18" t="str">
        <x:v>Sí</x:v>
      </x:c>
      <x:c r="J142" s="18" t="str">
        <x:v>Cuestionario extraordinario sin modelo paralelo.</x:v>
      </x:c>
      <x:c r="K142" s="18" t="n">
        <x:v>50</x:v>
      </x:c>
      <x:c r="L142" s="18" t="str">
        <x:v>No</x:v>
      </x:c>
      <x:c r="M142" s="18" t="str">
        <x:v>Según lo dispuesto en el Texto Refundido de la Ley General de la Seguridad Social, el Título VI del mismo regula:</x:v>
      </x:c>
      <x:c r="N142" s="18" t="str">
        <x:v>Protección por desempleo.</x:v>
      </x:c>
      <x:c r="O142" s="18" t="str">
        <x:v>Protección a la familia.</x:v>
      </x:c>
      <x:c r="P142" s="18" t="str">
        <x:v>Protección por cese de actividad.</x:v>
      </x:c>
      <x:c r="Q142" s="18" t="str">
        <x:v>Prestaciones no contributivas.</x:v>
      </x:c>
      <x:c r="R142" s="18" t="str">
        <x:v>S12</x:v>
      </x:c>
      <x:c r="S142" s="18" t="n">
        <x:v>12</x:v>
      </x:c>
      <x:c r="T142" s="18" t="str">
        <x:v>Temario específico Seguridad Social</x:v>
      </x:c>
      <x:c r="U142" s="18" t="str">
        <x:v>Prestaciones no contributivas y asistenciales. El ingreso mínimo vital: beneficiarios, requisitos y duración. Obligaciones de las personas beneficiarias. Cuantía, pago, reintegro de prestaciones indebidas. Prestaciones familiares múltiples. Prestaciones familiares en la modalidad contributiva. Las pensiones no contributivas: Invalidez no contributiva: Jubilación no contributiva.</x:v>
      </x:c>
      <x:c r="V142" s="18" t="str">
        <x:v>S12</x:v>
      </x:c>
      <x:c r="W142" s="18" t="str">
        <x:v>Texto Refundido de la Ley General de la Seguridad Social</x:v>
      </x:c>
      <x:c r="X142" s="18" t="str"/>
      <x:c r="Y142" s="18" t="str">
        <x:v>Prestaciones no contributivas</x:v>
      </x:c>
      <x:c r="Z142" s="18" t="str">
        <x:v>Básica</x:v>
      </x:c>
      <x:c r="AA142" s="18" t="str">
        <x:v>S12</x:v>
      </x:c>
      <x:c r="AB142" s="18" t="str">
        <x:v>ISM</x:v>
      </x:c>
      <x:c r="AC142" s="18" t="str"/>
      <x:c r="AD142" s="18" t="str">
        <x:v>No</x:v>
      </x:c>
      <x:c r="AE142" s="18" t="str">
        <x:v>Teórico</x:v>
      </x:c>
      <x:c r="AF142" s="18" t="str">
        <x:v>D</x:v>
      </x:c>
      <x:c r="AG142" s="18" t="str">
        <x:v>D</x:v>
      </x:c>
      <x:c r="AH142" s="18" t="str">
        <x:v>Válida</x:v>
      </x:c>
      <x:c r="AI142" s="18" t="str">
        <x:v>01. Información oficial de la oposición\Exámenes oficiales anteriores\2025 Convocatoria 2023 - Examen extraordinario acceso libre.pdf</x:v>
      </x:c>
      <x:c r="AJ142" s="18" t="str">
        <x:v>https://www.seg-social.es/wps/portal/wss/internet/InformacionUtil/9950/88beb45d-ca83-4bab-8162-f94ef2894562</x:v>
      </x:c>
      <x:c r="AK142" s="18" t="str">
        <x:v>Texto PDF</x:v>
      </x:c>
      <x:c r="AL142" s="18" t="n">
        <x:v>100</x:v>
      </x:c>
      <x:c r="AM142" s="18" t="str">
        <x:v>Alta</x:v>
      </x:c>
      <x:c r="AN142" s="18" t="str">
        <x:v>Revisión jurídica individual</x:v>
      </x:c>
      <x:c r="AO142" s="18" t="str">
        <x:v>2025_conv2023_extraordinario-T50</x:v>
      </x:c>
      <x:c r="AP142" s="18" t="n">
        <x:v>1</x:v>
      </x:c>
    </x:row>
    <x:row r="143">
      <x:c r="A143" s="18" t="str">
        <x:v>2025_conv2023_extraordinario-T51</x:v>
      </x:c>
      <x:c r="B143" s="18" t="n">
        <x:v>2025</x:v>
      </x:c>
      <x:c r="C143" s="18" t="n">
        <x:v>2023</x:v>
      </x:c>
      <x:c r="D143" s="28" t="n">
        <x:v>45682</x:v>
      </x:c>
      <x:c r="E143" s="18" t="str">
        <x:v>Acceso libre</x:v>
      </x:c>
      <x:c r="F143" s="18" t="str">
        <x:v>Primera parte</x:v>
      </x:c>
      <x:c r="G143" s="18" t="str">
        <x:v>Extraordinario</x:v>
      </x:c>
      <x:c r="H143" s="18" t="str">
        <x:v>Único</x:v>
      </x:c>
      <x:c r="I143" s="18" t="str">
        <x:v>Sí</x:v>
      </x:c>
      <x:c r="J143" s="18" t="str">
        <x:v>Cuestionario extraordinario sin modelo paralelo.</x:v>
      </x:c>
      <x:c r="K143" s="18" t="n">
        <x:v>51</x:v>
      </x:c>
      <x:c r="L143" s="18" t="str">
        <x:v>No</x:v>
      </x:c>
      <x:c r="M143" s="18" t="str">
        <x:v>¿En qué Título del Texto Refundido de la Ley General de la Seguridad Social se establece el campo de aplicación del Sistema de la Seguridad Social?:</x:v>
      </x:c>
      <x:c r="N143" s="18" t="str">
        <x:v>Disposiciones Adicionales.</x:v>
      </x:c>
      <x:c r="O143" s="18" t="str">
        <x:v>Título II.</x:v>
      </x:c>
      <x:c r="P143" s="18" t="str">
        <x:v>Título I.</x:v>
      </x:c>
      <x:c r="Q143" s="18" t="str">
        <x:v>Preámbulo.</x:v>
      </x:c>
      <x:c r="R143" s="18" t="str">
        <x:v>S02</x:v>
      </x:c>
      <x:c r="S143" s="18" t="n">
        <x:v>2</x:v>
      </x:c>
      <x:c r="T143" s="18" t="str">
        <x:v>Temario específico Seguridad Social</x:v>
      </x:c>
      <x:c r="U143" s="18" t="str">
        <x:v>Campo de aplicación y composición del sistema de la Seguridad Social. Régimen general: ámbito subjetivo de aplicación, inclusiones y exclusiones. Regímenes especiales: enumeración, características generales, altas, bajas y cotización. Particularidades de la acción protectora. Sistemas especiales: enumeración y características generales. Altas, bajas y cotización. Particularidades de la acción protectora.</x:v>
      </x:c>
      <x:c r="V143" s="18" t="str">
        <x:v>S02</x:v>
      </x:c>
      <x:c r="W143" s="18" t="str">
        <x:v>Texto Refundido de la Ley General de la Seguridad Social</x:v>
      </x:c>
      <x:c r="X143" s="18" t="str"/>
      <x:c r="Y143" s="18" t="str">
        <x:v>Artículos literales</x:v>
      </x:c>
      <x:c r="Z143" s="18" t="str">
        <x:v>Básica</x:v>
      </x:c>
      <x:c r="AA143" s="18" t="str">
        <x:v>S02</x:v>
      </x:c>
      <x:c r="AB143" s="18" t="str"/>
      <x:c r="AC143" s="18" t="str"/>
      <x:c r="AD143" s="18" t="str">
        <x:v>No</x:v>
      </x:c>
      <x:c r="AE143" s="18" t="str">
        <x:v>Teórico</x:v>
      </x:c>
      <x:c r="AF143" s="18" t="str">
        <x:v>C</x:v>
      </x:c>
      <x:c r="AG143" s="18" t="str">
        <x:v>C</x:v>
      </x:c>
      <x:c r="AH143" s="18" t="str">
        <x:v>Válida</x:v>
      </x:c>
      <x:c r="AI143" s="18" t="str">
        <x:v>01. Información oficial de la oposición\Exámenes oficiales anteriores\2025 Convocatoria 2023 - Examen extraordinario acceso libre.pdf</x:v>
      </x:c>
      <x:c r="AJ143" s="18" t="str">
        <x:v>https://www.seg-social.es/wps/portal/wss/internet/InformacionUtil/9950/88beb45d-ca83-4bab-8162-f94ef2894562</x:v>
      </x:c>
      <x:c r="AK143" s="18" t="str">
        <x:v>Texto PDF</x:v>
      </x:c>
      <x:c r="AL143" s="18" t="n">
        <x:v>100</x:v>
      </x:c>
      <x:c r="AM143" s="18" t="str">
        <x:v>Alta</x:v>
      </x:c>
      <x:c r="AN143" s="18" t="str">
        <x:v>Regla jurídica determinista</x:v>
      </x:c>
      <x:c r="AO143" s="18" t="str">
        <x:v>2025_conv2023_extraordinario-T51</x:v>
      </x:c>
      <x:c r="AP143" s="18" t="n">
        <x:v>1</x:v>
      </x:c>
    </x:row>
    <x:row r="144">
      <x:c r="A144" s="18" t="str">
        <x:v>2025_conv2023_extraordinario-T52</x:v>
      </x:c>
      <x:c r="B144" s="18" t="n">
        <x:v>2025</x:v>
      </x:c>
      <x:c r="C144" s="18" t="n">
        <x:v>2023</x:v>
      </x:c>
      <x:c r="D144" s="28" t="n">
        <x:v>45682</x:v>
      </x:c>
      <x:c r="E144" s="18" t="str">
        <x:v>Acceso libre</x:v>
      </x:c>
      <x:c r="F144" s="18" t="str">
        <x:v>Primera parte</x:v>
      </x:c>
      <x:c r="G144" s="18" t="str">
        <x:v>Extraordinario</x:v>
      </x:c>
      <x:c r="H144" s="18" t="str">
        <x:v>Único</x:v>
      </x:c>
      <x:c r="I144" s="18" t="str">
        <x:v>Sí</x:v>
      </x:c>
      <x:c r="J144" s="18" t="str">
        <x:v>Cuestionario extraordinario sin modelo paralelo.</x:v>
      </x:c>
      <x:c r="K144" s="18" t="n">
        <x:v>52</x:v>
      </x:c>
      <x:c r="L144" s="18" t="str">
        <x:v>No</x:v>
      </x:c>
      <x:c r="M144" s="18" t="str">
        <x:v>Dentro de los principios rectores de la política social y económica, el artículo 49 de la Constitución Española, como principio configurador del Sistema de Seguridad Social, establece lo siguiente:</x:v>
      </x:c>
      <x:c r="N144" s="18" t="str">
        <x:v>Las personas con discapacidad ejercen los derechos previstos en este Título en condiciones de libertad e igualdad reales y efectivas. Se regulará reglamentariamente la protección especial que sea necesaria para dicho ejercicio.</x:v>
      </x:c>
      <x:c r="O144" s="18" t="str">
        <x:v>Los poderes públicos impulsarán las políticas que garanticen la plena autonomía personal y la inclusión social de las personas con discapacidad, en entornos universalmente accesibles. Asimismo, fomentarán la participación de sus organizaciones, en los términos que la ley establezca.</x:v>
      </x:c>
      <x:c r="P144" s="18" t="str">
        <x:v>Se atenderán particularmente las necesidades específicas de las mujeres y los mayores con discapacidad.</x:v>
      </x:c>
      <x:c r="Q144" s="18" t="str">
        <x:v>Los poderes públicos realizarán una política de previsión, tratamiento, rehabilitación e integración de los disminuidos físicos, sensoriales y psíquicos a los que prestarán la atención especializada que requieran y los ampararán especialmente para el disfrute de los derechos que este Título otorga a todos los ciudadanos.</x:v>
      </x:c>
      <x:c r="R144" s="18" t="str">
        <x:v>S01</x:v>
      </x:c>
      <x:c r="S144" s="18" t="n">
        <x:v>1</x:v>
      </x:c>
      <x:c r="T144" s="18" t="str">
        <x:v>Temario específico Seguridad Social</x:v>
      </x:c>
      <x:c r="U144" s="18" t="str">
        <x:v>La Seguridad Social en la Constitución española de 1978. El texto refundido de la Ley General de la Seguridad Social.</x:v>
      </x:c>
      <x:c r="V144" s="18" t="str">
        <x:v>S01</x:v>
      </x:c>
      <x:c r="W144" s="18" t="str">
        <x:v>Constitución Española</x:v>
      </x:c>
      <x:c r="X144" s="18" t="str">
        <x:v>49</x:v>
      </x:c>
      <x:c r="Y144" s="18" t="str">
        <x:v>Artículos literales</x:v>
      </x:c>
      <x:c r="Z144" s="18" t="str">
        <x:v>Media</x:v>
      </x:c>
      <x:c r="AA144" s="18" t="str">
        <x:v>S01</x:v>
      </x:c>
      <x:c r="AB144" s="18" t="str"/>
      <x:c r="AC144" s="18" t="str"/>
      <x:c r="AD144" s="18" t="str">
        <x:v>No</x:v>
      </x:c>
      <x:c r="AE144" s="18" t="str">
        <x:v>Teórico</x:v>
      </x:c>
      <x:c r="AF144" s="18" t="str">
        <x:v>B</x:v>
      </x:c>
      <x:c r="AG144" s="18" t="str">
        <x:v>B</x:v>
      </x:c>
      <x:c r="AH144" s="18" t="str">
        <x:v>Válida</x:v>
      </x:c>
      <x:c r="AI144" s="18" t="str">
        <x:v>01. Información oficial de la oposición\Exámenes oficiales anteriores\2025 Convocatoria 2023 - Examen extraordinario acceso libre.pdf</x:v>
      </x:c>
      <x:c r="AJ144" s="18" t="str">
        <x:v>https://www.seg-social.es/wps/portal/wss/internet/InformacionUtil/9950/88beb45d-ca83-4bab-8162-f94ef2894562</x:v>
      </x:c>
      <x:c r="AK144" s="18" t="str">
        <x:v>Texto PDF</x:v>
      </x:c>
      <x:c r="AL144" s="18" t="n">
        <x:v>100</x:v>
      </x:c>
      <x:c r="AM144" s="18" t="str">
        <x:v>Alta</x:v>
      </x:c>
      <x:c r="AN144" s="18" t="str">
        <x:v>Regla jurídica determinista</x:v>
      </x:c>
      <x:c r="AO144" s="18" t="str">
        <x:v>2025_conv2023_extraordinario-T52</x:v>
      </x:c>
      <x:c r="AP144" s="18" t="n">
        <x:v>1</x:v>
      </x:c>
    </x:row>
    <x:row r="145">
      <x:c r="A145" s="18" t="str">
        <x:v>2025_conv2023_extraordinario-T53</x:v>
      </x:c>
      <x:c r="B145" s="18" t="n">
        <x:v>2025</x:v>
      </x:c>
      <x:c r="C145" s="18" t="n">
        <x:v>2023</x:v>
      </x:c>
      <x:c r="D145" s="28" t="n">
        <x:v>45682</x:v>
      </x:c>
      <x:c r="E145" s="18" t="str">
        <x:v>Acceso libre</x:v>
      </x:c>
      <x:c r="F145" s="18" t="str">
        <x:v>Primera parte</x:v>
      </x:c>
      <x:c r="G145" s="18" t="str">
        <x:v>Extraordinario</x:v>
      </x:c>
      <x:c r="H145" s="18" t="str">
        <x:v>Único</x:v>
      </x:c>
      <x:c r="I145" s="18" t="str">
        <x:v>Sí</x:v>
      </x:c>
      <x:c r="J145" s="18" t="str">
        <x:v>Cuestionario extraordinario sin modelo paralelo.</x:v>
      </x:c>
      <x:c r="K145" s="18" t="n">
        <x:v>53</x:v>
      </x:c>
      <x:c r="L145" s="18" t="str">
        <x:v>No</x:v>
      </x:c>
      <x:c r="M145" s="18" t="str">
        <x:v>El Estado tiene competencia exclusiva sobre la Legislación básica y régimen económico de la Seguridad Social, sin perjuicio de la ejecución de sus servicios por las Comunidades Autónomas. Señale cuál es el artículo de la Constitución Española donde se establece este precepto:</x:v>
      </x:c>
      <x:c r="N145" s="18" t="str">
        <x:v>148.1. 17ª</x:v>
      </x:c>
      <x:c r="O145" s="18" t="str">
        <x:v>149.1 16ª</x:v>
      </x:c>
      <x:c r="P145" s="18" t="str">
        <x:v>148.1. 16ª</x:v>
      </x:c>
      <x:c r="Q145" s="18" t="str">
        <x:v>149.1. 17ª</x:v>
      </x:c>
      <x:c r="R145" s="18" t="str">
        <x:v>S01</x:v>
      </x:c>
      <x:c r="S145" s="18" t="n">
        <x:v>1</x:v>
      </x:c>
      <x:c r="T145" s="18" t="str">
        <x:v>Temario específico Seguridad Social</x:v>
      </x:c>
      <x:c r="U145" s="18" t="str">
        <x:v>La Seguridad Social en la Constitución española de 1978. El texto refundido de la Ley General de la Seguridad Social.</x:v>
      </x:c>
      <x:c r="V145" s="18" t="str">
        <x:v>S01</x:v>
      </x:c>
      <x:c r="W145" s="18" t="str">
        <x:v>Constitución Española</x:v>
      </x:c>
      <x:c r="X145" s="18" t="str"/>
      <x:c r="Y145" s="18" t="str">
        <x:v>Competencias</x:v>
      </x:c>
      <x:c r="Z145" s="18" t="str">
        <x:v>Media</x:v>
      </x:c>
      <x:c r="AA145" s="18" t="str">
        <x:v>S01</x:v>
      </x:c>
      <x:c r="AB145" s="18" t="str"/>
      <x:c r="AC145" s="18" t="str"/>
      <x:c r="AD145" s="18" t="str">
        <x:v>No</x:v>
      </x:c>
      <x:c r="AE145" s="18" t="str">
        <x:v>Teórico</x:v>
      </x:c>
      <x:c r="AF145" s="18" t="str">
        <x:v>D</x:v>
      </x:c>
      <x:c r="AG145" s="18" t="str">
        <x:v>D</x:v>
      </x:c>
      <x:c r="AH145" s="18" t="str">
        <x:v>Válida</x:v>
      </x:c>
      <x:c r="AI145" s="18" t="str">
        <x:v>01. Información oficial de la oposición\Exámenes oficiales anteriores\2025 Convocatoria 2023 - Examen extraordinario acceso libre.pdf</x:v>
      </x:c>
      <x:c r="AJ145" s="18" t="str">
        <x:v>https://www.seg-social.es/wps/portal/wss/internet/InformacionUtil/9950/88beb45d-ca83-4bab-8162-f94ef2894562</x:v>
      </x:c>
      <x:c r="AK145" s="18" t="str">
        <x:v>Texto PDF</x:v>
      </x:c>
      <x:c r="AL145" s="18" t="n">
        <x:v>100</x:v>
      </x:c>
      <x:c r="AM145" s="18" t="str">
        <x:v>Alta</x:v>
      </x:c>
      <x:c r="AN145" s="18" t="str">
        <x:v>Revisión jurídica individual</x:v>
      </x:c>
      <x:c r="AO145" s="18" t="str">
        <x:v>2025_conv2023_extraordinario-T53</x:v>
      </x:c>
      <x:c r="AP145" s="18" t="n">
        <x:v>1</x:v>
      </x:c>
    </x:row>
    <x:row r="146">
      <x:c r="A146" s="18" t="str">
        <x:v>2025_conv2023_extraordinario-T54</x:v>
      </x:c>
      <x:c r="B146" s="18" t="n">
        <x:v>2025</x:v>
      </x:c>
      <x:c r="C146" s="18" t="n">
        <x:v>2023</x:v>
      </x:c>
      <x:c r="D146" s="28" t="n">
        <x:v>45682</x:v>
      </x:c>
      <x:c r="E146" s="18" t="str">
        <x:v>Acceso libre</x:v>
      </x:c>
      <x:c r="F146" s="18" t="str">
        <x:v>Primera parte</x:v>
      </x:c>
      <x:c r="G146" s="18" t="str">
        <x:v>Extraordinario</x:v>
      </x:c>
      <x:c r="H146" s="18" t="str">
        <x:v>Único</x:v>
      </x:c>
      <x:c r="I146" s="18" t="str">
        <x:v>Sí</x:v>
      </x:c>
      <x:c r="J146" s="18" t="str">
        <x:v>Cuestionario extraordinario sin modelo paralelo.</x:v>
      </x:c>
      <x:c r="K146" s="18" t="n">
        <x:v>54</x:v>
      </x:c>
      <x:c r="L146" s="18" t="str">
        <x:v>No</x:v>
      </x:c>
      <x:c r="M146" s="18" t="str">
        <x:v>El tipo de cotización para contingencias comunes en el Régimen General de la Seguridad Social es:</x:v>
      </x:c>
      <x:c r="N146" s="18" t="str">
        <x:v>el 28,30 %, todo a cargo de la empresa.</x:v>
      </x:c>
      <x:c r="O146" s="18" t="str">
        <x:v>el 28,30 %: el 23,60 % a cargo de la empresa y el 4,70 % a cargo del trabajador.</x:v>
      </x:c>
      <x:c r="P146" s="18" t="str">
        <x:v>el 29,30 %, el 24,60 % a cargo de la empresa y el 4,70 % a cargo del trabajador.</x:v>
      </x:c>
      <x:c r="Q146" s="18" t="str">
        <x:v>el 28,80 %: el 24,00 % a cargo de la empresa y el 4,80 % a cargo del trabajador.</x:v>
      </x:c>
      <x:c r="R146" s="18" t="str">
        <x:v>S04</x:v>
      </x:c>
      <x:c r="S146" s="18" t="n">
        <x:v>4</x:v>
      </x:c>
      <x:c r="T146" s="18" t="str">
        <x:v>Temario específico Seguridad Social</x:v>
      </x:c>
      <x:c r="U146" s="18" t="str">
        <x:v>La cotización a la Seguridad Social: normas comunes del sistema. La liquidación de cuotas. El régimen general de la Seguridad Social. Supuestos especiales. Bases y tipos de cotización. Liquidación de otras deudas.</x:v>
      </x:c>
      <x:c r="V146" s="18" t="str">
        <x:v>S04</x:v>
      </x:c>
      <x:c r="W146" s="18" t="str"/>
      <x:c r="X146" s="18" t="str"/>
      <x:c r="Y146" s="18" t="str">
        <x:v>Cotización</x:v>
      </x:c>
      <x:c r="Z146" s="18" t="str">
        <x:v>Básica</x:v>
      </x:c>
      <x:c r="AA146" s="18" t="str">
        <x:v>S04</x:v>
      </x:c>
      <x:c r="AB146" s="18" t="str"/>
      <x:c r="AC146" s="18" t="str"/>
      <x:c r="AD146" s="18" t="str">
        <x:v>No</x:v>
      </x:c>
      <x:c r="AE146" s="18" t="str">
        <x:v>Teórico</x:v>
      </x:c>
      <x:c r="AF146" s="18" t="str">
        <x:v>B</x:v>
      </x:c>
      <x:c r="AG146" s="18" t="str">
        <x:v>B</x:v>
      </x:c>
      <x:c r="AH146" s="18" t="str">
        <x:v>Válida</x:v>
      </x:c>
      <x:c r="AI146" s="18" t="str">
        <x:v>01. Información oficial de la oposición\Exámenes oficiales anteriores\2025 Convocatoria 2023 - Examen extraordinario acceso libre.pdf</x:v>
      </x:c>
      <x:c r="AJ146" s="18" t="str">
        <x:v>https://www.seg-social.es/wps/portal/wss/internet/InformacionUtil/9950/88beb45d-ca83-4bab-8162-f94ef2894562</x:v>
      </x:c>
      <x:c r="AK146" s="18" t="str">
        <x:v>Texto PDF</x:v>
      </x:c>
      <x:c r="AL146" s="18" t="n">
        <x:v>100</x:v>
      </x:c>
      <x:c r="AM146" s="18" t="str">
        <x:v>Alta</x:v>
      </x:c>
      <x:c r="AN146" s="18" t="str">
        <x:v>Regla jurídica determinista</x:v>
      </x:c>
      <x:c r="AO146" s="18" t="str">
        <x:v>2025_conv2023_extraordinario-T54</x:v>
      </x:c>
      <x:c r="AP146" s="18" t="n">
        <x:v>1</x:v>
      </x:c>
    </x:row>
    <x:row r="147">
      <x:c r="A147" s="18" t="str">
        <x:v>2025_conv2023_extraordinario-T55</x:v>
      </x:c>
      <x:c r="B147" s="18" t="n">
        <x:v>2025</x:v>
      </x:c>
      <x:c r="C147" s="18" t="n">
        <x:v>2023</x:v>
      </x:c>
      <x:c r="D147" s="28" t="n">
        <x:v>45682</x:v>
      </x:c>
      <x:c r="E147" s="18" t="str">
        <x:v>Acceso libre</x:v>
      </x:c>
      <x:c r="F147" s="18" t="str">
        <x:v>Primera parte</x:v>
      </x:c>
      <x:c r="G147" s="18" t="str">
        <x:v>Extraordinario</x:v>
      </x:c>
      <x:c r="H147" s="18" t="str">
        <x:v>Único</x:v>
      </x:c>
      <x:c r="I147" s="18" t="str">
        <x:v>Sí</x:v>
      </x:c>
      <x:c r="J147" s="18" t="str">
        <x:v>Cuestionario extraordinario sin modelo paralelo.</x:v>
      </x:c>
      <x:c r="K147" s="18" t="n">
        <x:v>55</x:v>
      </x:c>
      <x:c r="L147" s="18" t="str">
        <x:v>No</x:v>
      </x:c>
      <x:c r="M147" s="18" t="str">
        <x:v>De acuerdo con el artículo 152 del Texto Refundido de la Ley General de la Seguridad Social durante la realización de un trabajo por cuenta ajena compatible con la pensión de jubilación:</x:v>
      </x:c>
      <x:c r="N147" s="18" t="str">
        <x:v>Las empresas y las personas trabajadoras quedarán exentas de cotizar por todas las contingencias.</x:v>
      </x:c>
      <x:c r="O147" s="18" t="str">
        <x:v>Las empresas y las personas trabajadoras quedarán exentas de cotizar por contingencias comunes, salvo por incapacidad temporal derivada de dichas contingencias.</x:v>
      </x:c>
      <x:c r="P147" s="18" t="str">
        <x:v>Las empresas y las personas trabajadoras cotizarán por todas las contingencias.</x:v>
      </x:c>
      <x:c r="Q147" s="18" t="str">
        <x:v>Las empresas y las personas trabajadoras quedarán exentas de cotizar por contingencias comunes, salvo por incapacidad temporal derivada de dichas contingencias. También estarán exentas de las aportaciones por desempleo, Fondo de Garantía Salarial y formación profesional.</x:v>
      </x:c>
      <x:c r="R147" s="18" t="str">
        <x:v>S04</x:v>
      </x:c>
      <x:c r="S147" s="18" t="n">
        <x:v>4</x:v>
      </x:c>
      <x:c r="T147" s="18" t="str">
        <x:v>Temario específico Seguridad Social</x:v>
      </x:c>
      <x:c r="U147" s="18" t="str">
        <x:v>La cotización a la Seguridad Social: normas comunes del sistema. La liquidación de cuotas. El régimen general de la Seguridad Social. Supuestos especiales. Bases y tipos de cotización. Liquidación de otras deudas.</x:v>
      </x:c>
      <x:c r="V147" s="18" t="str">
        <x:v>jubilación</x:v>
      </x:c>
      <x:c r="W147" s="18" t="str">
        <x:v>Texto Refundido de la Ley General de la Seguridad Social</x:v>
      </x:c>
      <x:c r="X147" s="18" t="str">
        <x:v>152</x:v>
      </x:c>
      <x:c r="Y147" s="18" t="str">
        <x:v>Cotización</x:v>
      </x:c>
      <x:c r="Z147" s="18" t="str">
        <x:v>Media</x:v>
      </x:c>
      <x:c r="AA147" s="18" t="str">
        <x:v>jubilación</x:v>
      </x:c>
      <x:c r="AB147" s="18" t="str"/>
      <x:c r="AC147" s="18" t="str"/>
      <x:c r="AD147" s="18" t="str">
        <x:v>No</x:v>
      </x:c>
      <x:c r="AE147" s="18" t="str">
        <x:v>Teórico</x:v>
      </x:c>
      <x:c r="AF147" s="18" t="str">
        <x:v>D</x:v>
      </x:c>
      <x:c r="AG147" s="18" t="str">
        <x:v>D</x:v>
      </x:c>
      <x:c r="AH147" s="18" t="str">
        <x:v>Válida</x:v>
      </x:c>
      <x:c r="AI147" s="18" t="str">
        <x:v>01. Información oficial de la oposición\Exámenes oficiales anteriores\2025 Convocatoria 2023 - Examen extraordinario acceso libre.pdf</x:v>
      </x:c>
      <x:c r="AJ147" s="18" t="str">
        <x:v>https://www.seg-social.es/wps/portal/wss/internet/InformacionUtil/9950/88beb45d-ca83-4bab-8162-f94ef2894562</x:v>
      </x:c>
      <x:c r="AK147" s="18" t="str">
        <x:v>Texto PDF</x:v>
      </x:c>
      <x:c r="AL147" s="18" t="n">
        <x:v>100</x:v>
      </x:c>
      <x:c r="AM147" s="18" t="str">
        <x:v>Alta</x:v>
      </x:c>
      <x:c r="AN147" s="18" t="str">
        <x:v>Revisión jurídica individual</x:v>
      </x:c>
      <x:c r="AO147" s="18" t="str">
        <x:v>2025_conv2023_extraordinario-T55</x:v>
      </x:c>
      <x:c r="AP147" s="18" t="n">
        <x:v>1</x:v>
      </x:c>
    </x:row>
    <x:row r="148">
      <x:c r="A148" s="18" t="str">
        <x:v>2025_conv2023_extraordinario-T56</x:v>
      </x:c>
      <x:c r="B148" s="18" t="n">
        <x:v>2025</x:v>
      </x:c>
      <x:c r="C148" s="18" t="n">
        <x:v>2023</x:v>
      </x:c>
      <x:c r="D148" s="28" t="n">
        <x:v>45682</x:v>
      </x:c>
      <x:c r="E148" s="18" t="str">
        <x:v>Acceso libre</x:v>
      </x:c>
      <x:c r="F148" s="18" t="str">
        <x:v>Primera parte</x:v>
      </x:c>
      <x:c r="G148" s="18" t="str">
        <x:v>Extraordinario</x:v>
      </x:c>
      <x:c r="H148" s="18" t="str">
        <x:v>Único</x:v>
      </x:c>
      <x:c r="I148" s="18" t="str">
        <x:v>Sí</x:v>
      </x:c>
      <x:c r="J148" s="18" t="str">
        <x:v>Cuestionario extraordinario sin modelo paralelo.</x:v>
      </x:c>
      <x:c r="K148" s="18" t="n">
        <x:v>56</x:v>
      </x:c>
      <x:c r="L148" s="18" t="str">
        <x:v>No</x:v>
      </x:c>
      <x:c r="M148" s="18" t="str">
        <x:v>¿En el sistema de liquidación directa, qué plazo tienen los sujetos responsables del cumplimiento de la obligación de cotizar para solicitar a la Tesorería General de la Seguridad Social el cálculo de la liquidación correspondiente a cada trabajador, y tra nsmitir por medios electrónicos los datos que permitan realizar dicho cálculo?</x:v>
      </x:c>
      <x:c r="N148" s="18" t="str">
        <x:v>hasta el último día natural del respectivo plazo reglamentario de ingreso.</x:v>
      </x:c>
      <x:c r="O148" s="18" t="str">
        <x:v>hasta el penúltimo día natural del respectivo plazo reglamentario de ingreso.</x:v>
      </x:c>
      <x:c r="P148" s="18" t="str">
        <x:v>hasta último día natural del mes siguiente a la finalización del plazo reglamentario de ingreso.</x:v>
      </x:c>
      <x:c r="Q148" s="18" t="str">
        <x:v>hasta el día 15 o hábil posterior del mes siguiente a la finalización del plazo reglamentario de ingreso.</x:v>
      </x:c>
      <x:c r="R148" s="18" t="str">
        <x:v>S04</x:v>
      </x:c>
      <x:c r="S148" s="18" t="n">
        <x:v>4</x:v>
      </x:c>
      <x:c r="T148" s="18" t="str">
        <x:v>Temario específico Seguridad Social</x:v>
      </x:c>
      <x:c r="U148" s="18" t="str">
        <x:v>La cotización a la Seguridad Social: normas comunes del sistema. La liquidación de cuotas. El régimen general de la Seguridad Social. Supuestos especiales. Bases y tipos de cotización. Liquidación de otras deudas.</x:v>
      </x:c>
      <x:c r="V148" s="18" t="str">
        <x:v>S04</x:v>
      </x:c>
      <x:c r="W148" s="18" t="str"/>
      <x:c r="X148" s="18" t="str"/>
      <x:c r="Y148" s="18" t="str">
        <x:v>Plazos</x:v>
      </x:c>
      <x:c r="Z148" s="18" t="str">
        <x:v>Alta</x:v>
      </x:c>
      <x:c r="AA148" s="18" t="str">
        <x:v>S04</x:v>
      </x:c>
      <x:c r="AB148" s="18" t="str">
        <x:v>Tesorería General de la Seguridad Social</x:v>
      </x:c>
      <x:c r="AC148" s="18" t="str"/>
      <x:c r="AD148" s="18" t="str">
        <x:v>No</x:v>
      </x:c>
      <x:c r="AE148" s="18" t="str">
        <x:v>Teórico</x:v>
      </x:c>
      <x:c r="AF148" s="18" t="str">
        <x:v>B</x:v>
      </x:c>
      <x:c r="AG148" s="18" t="str">
        <x:v>B</x:v>
      </x:c>
      <x:c r="AH148" s="18" t="str">
        <x:v>Válida</x:v>
      </x:c>
      <x:c r="AI148" s="18" t="str">
        <x:v>01. Información oficial de la oposición\Exámenes oficiales anteriores\2025 Convocatoria 2023 - Examen extraordinario acceso libre.pdf</x:v>
      </x:c>
      <x:c r="AJ148" s="18" t="str">
        <x:v>https://www.seg-social.es/wps/portal/wss/internet/InformacionUtil/9950/88beb45d-ca83-4bab-8162-f94ef2894562</x:v>
      </x:c>
      <x:c r="AK148" s="18" t="str">
        <x:v>Texto PDF</x:v>
      </x:c>
      <x:c r="AL148" s="18" t="n">
        <x:v>100</x:v>
      </x:c>
      <x:c r="AM148" s="18" t="str">
        <x:v>Alta</x:v>
      </x:c>
      <x:c r="AN148" s="18" t="str">
        <x:v>Revisión jurídica individual</x:v>
      </x:c>
      <x:c r="AO148" s="18" t="str">
        <x:v>2025_conv2023_extraordinario-T56</x:v>
      </x:c>
      <x:c r="AP148" s="18" t="n">
        <x:v>1</x:v>
      </x:c>
    </x:row>
    <x:row r="149">
      <x:c r="A149" s="18" t="str">
        <x:v>2025_conv2023_extraordinario-T57</x:v>
      </x:c>
      <x:c r="B149" s="18" t="n">
        <x:v>2025</x:v>
      </x:c>
      <x:c r="C149" s="18" t="n">
        <x:v>2023</x:v>
      </x:c>
      <x:c r="D149" s="28" t="n">
        <x:v>45682</x:v>
      </x:c>
      <x:c r="E149" s="18" t="str">
        <x:v>Acceso libre</x:v>
      </x:c>
      <x:c r="F149" s="18" t="str">
        <x:v>Primera parte</x:v>
      </x:c>
      <x:c r="G149" s="18" t="str">
        <x:v>Extraordinario</x:v>
      </x:c>
      <x:c r="H149" s="18" t="str">
        <x:v>Único</x:v>
      </x:c>
      <x:c r="I149" s="18" t="str">
        <x:v>Sí</x:v>
      </x:c>
      <x:c r="J149" s="18" t="str">
        <x:v>Cuestionario extraordinario sin modelo paralelo.</x:v>
      </x:c>
      <x:c r="K149" s="18" t="n">
        <x:v>57</x:v>
      </x:c>
      <x:c r="L149" s="18" t="str">
        <x:v>No</x:v>
      </x:c>
      <x:c r="M149" s="18" t="str">
        <x:v>Quienes no se hubieran deducido los beneficios en la cotización por causa no imputable a la Administración y se encuentren al corriente de pago, tienen derecho a su reintegro. ¿Qué plazo tienen para solicitarlo para que no se extingan ese derecho?</x:v>
      </x:c>
      <x:c r="N149" s="18" t="str">
        <x:v>3 meses, a contar desde la fecha de presentación de la liquidación en que el respectivo beneficio debió descontarse.</x:v>
      </x:c>
      <x:c r="O149" s="18" t="str">
        <x:v>6 meses, a contar desde la fecha de presentación de la liquidación en que el respectivo beneficio debió descontarse.</x:v>
      </x:c>
      <x:c r="P149" s="18" t="str">
        <x:v>4 años, a contar desde la fecha de presentación de la liquidación en que el respectivo beneficio debió descontarse.</x:v>
      </x:c>
      <x:c r="Q149" s="18" t="str">
        <x:v>Es un derecho que no prescribe.</x:v>
      </x:c>
      <x:c r="R149" s="18" t="str">
        <x:v>S04</x:v>
      </x:c>
      <x:c r="S149" s="18" t="n">
        <x:v>4</x:v>
      </x:c>
      <x:c r="T149" s="18" t="str">
        <x:v>Temario específico Seguridad Social</x:v>
      </x:c>
      <x:c r="U149" s="18" t="str">
        <x:v>La cotización a la Seguridad Social: normas comunes del sistema. La liquidación de cuotas. El régimen general de la Seguridad Social. Supuestos especiales. Bases y tipos de cotización. Liquidación de otras deudas.</x:v>
      </x:c>
      <x:c r="V149" s="18" t="str">
        <x:v>S04</x:v>
      </x:c>
      <x:c r="W149" s="18" t="str"/>
      <x:c r="X149" s="18" t="str"/>
      <x:c r="Y149" s="18" t="str">
        <x:v>Plazos</x:v>
      </x:c>
      <x:c r="Z149" s="18" t="str">
        <x:v>Media</x:v>
      </x:c>
      <x:c r="AA149" s="18" t="str">
        <x:v>S04</x:v>
      </x:c>
      <x:c r="AB149" s="18" t="str"/>
      <x:c r="AC149" s="18" t="str"/>
      <x:c r="AD149" s="18" t="str">
        <x:v>No</x:v>
      </x:c>
      <x:c r="AE149" s="18" t="str">
        <x:v>Teórico</x:v>
      </x:c>
      <x:c r="AF149" s="18" t="str">
        <x:v>A</x:v>
      </x:c>
      <x:c r="AG149" s="18" t="str">
        <x:v>A</x:v>
      </x:c>
      <x:c r="AH149" s="18" t="str">
        <x:v>Válida</x:v>
      </x:c>
      <x:c r="AI149" s="18" t="str">
        <x:v>01. Información oficial de la oposición\Exámenes oficiales anteriores\2025 Convocatoria 2023 - Examen extraordinario acceso libre.pdf</x:v>
      </x:c>
      <x:c r="AJ149" s="18" t="str">
        <x:v>https://www.seg-social.es/wps/portal/wss/internet/InformacionUtil/9950/88beb45d-ca83-4bab-8162-f94ef2894562</x:v>
      </x:c>
      <x:c r="AK149" s="18" t="str">
        <x:v>Texto PDF</x:v>
      </x:c>
      <x:c r="AL149" s="18" t="n">
        <x:v>100</x:v>
      </x:c>
      <x:c r="AM149" s="18" t="str">
        <x:v>Alta</x:v>
      </x:c>
      <x:c r="AN149" s="18" t="str">
        <x:v>Regla jurídica determinista</x:v>
      </x:c>
      <x:c r="AO149" s="18" t="str">
        <x:v>2025_conv2023_extraordinario-T57</x:v>
      </x:c>
      <x:c r="AP149" s="18" t="n">
        <x:v>1</x:v>
      </x:c>
    </x:row>
    <x:row r="150">
      <x:c r="A150" s="18" t="str">
        <x:v>2025_conv2023_extraordinario-T58</x:v>
      </x:c>
      <x:c r="B150" s="18" t="n">
        <x:v>2025</x:v>
      </x:c>
      <x:c r="C150" s="18" t="n">
        <x:v>2023</x:v>
      </x:c>
      <x:c r="D150" s="28" t="n">
        <x:v>45682</x:v>
      </x:c>
      <x:c r="E150" s="18" t="str">
        <x:v>Acceso libre</x:v>
      </x:c>
      <x:c r="F150" s="18" t="str">
        <x:v>Primera parte</x:v>
      </x:c>
      <x:c r="G150" s="18" t="str">
        <x:v>Extraordinario</x:v>
      </x:c>
      <x:c r="H150" s="18" t="str">
        <x:v>Único</x:v>
      </x:c>
      <x:c r="I150" s="18" t="str">
        <x:v>Sí</x:v>
      </x:c>
      <x:c r="J150" s="18" t="str">
        <x:v>Cuestionario extraordinario sin modelo paralelo.</x:v>
      </x:c>
      <x:c r="K150" s="18" t="n">
        <x:v>58</x:v>
      </x:c>
      <x:c r="L150" s="18" t="str">
        <x:v>No</x:v>
      </x:c>
      <x:c r="M150" s="18" t="str">
        <x:v>Según el artículo 8 del Real Decreto 1415/2004, por el que se aprueba el Reglamento General de Recaudación de la Seguridad, cuando los plazos reglamentarios para el pago de las deudas con la Seguridad Social se señalen por días naturales o se fijen por me ses o años, si el último día del plazo es inhábil, se entenderá que el plazo finaliza:</x:v>
      </x:c>
      <x:c r="N150" s="18" t="str">
        <x:v>El primer día hábil siguiente.</x:v>
      </x:c>
      <x:c r="O150" s="18" t="str">
        <x:v>El último día natural del mes siguiente del plazo de que se trate.</x:v>
      </x:c>
      <x:c r="P150" s="18" t="str">
        <x:v>El anterior día hábil del plazo de que se trate.</x:v>
      </x:c>
      <x:c r="Q150" s="18" t="str">
        <x:v>Siempre finaliza el último día independientemente de si es hábil o no.</x:v>
      </x:c>
      <x:c r="R150" s="18" t="str">
        <x:v>S05</x:v>
      </x:c>
      <x:c r="S150" s="18" t="n">
        <x:v>5</x:v>
      </x:c>
      <x:c r="T150" s="18" t="str">
        <x:v>Temario específico Seguridad Social</x:v>
      </x:c>
      <x:c r="U150" s="18" t="str">
        <x:v>La gestión recaudatoria: concepto, competencia y objeto. Responsables del pago. Requisitos para el pago. Medios de pago. Control de recaudación. Revisión de los actos de gestión recaudatoria. La recaudación en periodo voluntario. Efectos de la falta de cotización en período reglamentario. Recaudación de otros recursos. Aplazamientos. Devolución de ingresos indebidos. Capital coste de pensiones.</x:v>
      </x:c>
      <x:c r="V150" s="18" t="str">
        <x:v>S05</x:v>
      </x:c>
      <x:c r="W150" s="18" t="str">
        <x:v>Real Decreto 1415/2004</x:v>
      </x:c>
      <x:c r="X150" s="18" t="str">
        <x:v>8</x:v>
      </x:c>
      <x:c r="Y150" s="18" t="str">
        <x:v>Plazos</x:v>
      </x:c>
      <x:c r="Z150" s="18" t="str">
        <x:v>Alta</x:v>
      </x:c>
      <x:c r="AA150" s="18" t="str">
        <x:v>S05</x:v>
      </x:c>
      <x:c r="AB150" s="18" t="str"/>
      <x:c r="AC150" s="18" t="str"/>
      <x:c r="AD150" s="18" t="str">
        <x:v>No</x:v>
      </x:c>
      <x:c r="AE150" s="18" t="str">
        <x:v>Teórico</x:v>
      </x:c>
      <x:c r="AF150" s="18" t="str">
        <x:v>C</x:v>
      </x:c>
      <x:c r="AG150" s="18" t="str">
        <x:v>C</x:v>
      </x:c>
      <x:c r="AH150" s="18" t="str">
        <x:v>Válida</x:v>
      </x:c>
      <x:c r="AI150" s="18" t="str">
        <x:v>01. Información oficial de la oposición\Exámenes oficiales anteriores\2025 Convocatoria 2023 - Examen extraordinario acceso libre.pdf</x:v>
      </x:c>
      <x:c r="AJ150" s="18" t="str">
        <x:v>https://www.seg-social.es/wps/portal/wss/internet/InformacionUtil/9950/88beb45d-ca83-4bab-8162-f94ef2894562</x:v>
      </x:c>
      <x:c r="AK150" s="18" t="str">
        <x:v>Texto PDF</x:v>
      </x:c>
      <x:c r="AL150" s="18" t="n">
        <x:v>100</x:v>
      </x:c>
      <x:c r="AM150" s="18" t="str">
        <x:v>Alta</x:v>
      </x:c>
      <x:c r="AN150" s="18" t="str">
        <x:v>Regla jurídica determinista</x:v>
      </x:c>
      <x:c r="AO150" s="18" t="str">
        <x:v>2025_conv2023_extraordinario-T58</x:v>
      </x:c>
      <x:c r="AP150" s="18" t="n">
        <x:v>1</x:v>
      </x:c>
    </x:row>
    <x:row r="151">
      <x:c r="A151" s="18" t="str">
        <x:v>2025_conv2023_extraordinario-T59</x:v>
      </x:c>
      <x:c r="B151" s="18" t="n">
        <x:v>2025</x:v>
      </x:c>
      <x:c r="C151" s="18" t="n">
        <x:v>2023</x:v>
      </x:c>
      <x:c r="D151" s="28" t="n">
        <x:v>45682</x:v>
      </x:c>
      <x:c r="E151" s="18" t="str">
        <x:v>Acceso libre</x:v>
      </x:c>
      <x:c r="F151" s="18" t="str">
        <x:v>Primera parte</x:v>
      </x:c>
      <x:c r="G151" s="18" t="str">
        <x:v>Extraordinario</x:v>
      </x:c>
      <x:c r="H151" s="18" t="str">
        <x:v>Único</x:v>
      </x:c>
      <x:c r="I151" s="18" t="str">
        <x:v>Sí</x:v>
      </x:c>
      <x:c r="J151" s="18" t="str">
        <x:v>Cuestionario extraordinario sin modelo paralelo.</x:v>
      </x:c>
      <x:c r="K151" s="18" t="n">
        <x:v>59</x:v>
      </x:c>
      <x:c r="L151" s="18" t="str">
        <x:v>No</x:v>
      </x:c>
      <x:c r="M151" s="18" t="str">
        <x:v>¿Se pueden ingresar las cuotas correspondientes a las contingencias de accidentes de trabajo y enfermedades profesionales separadas de las cuotas por contingencias comunes y de los conceptos de recaudación conjunta de acuerdo a lo dispuesto en el artículo 19 del Real Decreto 1415/2004, por el que se aprueba el Reglamento General de Recaudación de la Seguridad?</x:v>
      </x:c>
      <x:c r="N151" s="18" t="str">
        <x:v>En ningún caso.</x:v>
      </x:c>
      <x:c r="O151" s="18" t="str">
        <x:v>Es opcional por parte del sujeto responsable de la obligación de cotizar.</x:v>
      </x:c>
      <x:c r="P151" s="18" t="str">
        <x:v>No, salvo a efectos de efectos del aplazamiento y fraccionamiento del pago y de la compensación.</x:v>
      </x:c>
      <x:c r="Q151" s="18" t="str">
        <x:v>Siempre han de ingresarse por separado pues está dirigidas a las Entidades Colaboradoras de la Seguridad Social.</x:v>
      </x:c>
      <x:c r="R151" s="18" t="str">
        <x:v>S05</x:v>
      </x:c>
      <x:c r="S151" s="18" t="n">
        <x:v>5</x:v>
      </x:c>
      <x:c r="T151" s="18" t="str">
        <x:v>Temario específico Seguridad Social</x:v>
      </x:c>
      <x:c r="U151" s="18" t="str">
        <x:v>La gestión recaudatoria: concepto, competencia y objeto. Responsables del pago. Requisitos para el pago. Medios de pago. Control de recaudación. Revisión de los actos de gestión recaudatoria. La recaudación en periodo voluntario. Efectos de la falta de cotización en período reglamentario. Recaudación de otros recursos. Aplazamientos. Devolución de ingresos indebidos. Capital coste de pensiones.</x:v>
      </x:c>
      <x:c r="V151" s="18" t="str">
        <x:v>S05</x:v>
      </x:c>
      <x:c r="W151" s="18" t="str">
        <x:v>Real Decreto 1415/2004</x:v>
      </x:c>
      <x:c r="X151" s="18" t="str">
        <x:v>19</x:v>
      </x:c>
      <x:c r="Y151" s="18" t="str">
        <x:v>Definiciones</x:v>
      </x:c>
      <x:c r="Z151" s="18" t="str">
        <x:v>Alta</x:v>
      </x:c>
      <x:c r="AA151" s="18" t="str">
        <x:v>S05</x:v>
      </x:c>
      <x:c r="AB151" s="18" t="str"/>
      <x:c r="AC151" s="18" t="str"/>
      <x:c r="AD151" s="18" t="str">
        <x:v>No</x:v>
      </x:c>
      <x:c r="AE151" s="18" t="str">
        <x:v>Teórico</x:v>
      </x:c>
      <x:c r="AF151" s="18" t="str">
        <x:v>C</x:v>
      </x:c>
      <x:c r="AG151" s="18" t="str">
        <x:v>C</x:v>
      </x:c>
      <x:c r="AH151" s="18" t="str">
        <x:v>Válida</x:v>
      </x:c>
      <x:c r="AI151" s="18" t="str">
        <x:v>01. Información oficial de la oposición\Exámenes oficiales anteriores\2025 Convocatoria 2023 - Examen extraordinario acceso libre.pdf</x:v>
      </x:c>
      <x:c r="AJ151" s="18" t="str">
        <x:v>https://www.seg-social.es/wps/portal/wss/internet/InformacionUtil/9950/88beb45d-ca83-4bab-8162-f94ef2894562</x:v>
      </x:c>
      <x:c r="AK151" s="18" t="str">
        <x:v>Texto PDF</x:v>
      </x:c>
      <x:c r="AL151" s="18" t="n">
        <x:v>100</x:v>
      </x:c>
      <x:c r="AM151" s="18" t="str">
        <x:v>Alta</x:v>
      </x:c>
      <x:c r="AN151" s="18" t="str">
        <x:v>Regla jurídica determinista</x:v>
      </x:c>
      <x:c r="AO151" s="18" t="str">
        <x:v>2025_conv2023_extraordinario-T59</x:v>
      </x:c>
      <x:c r="AP151" s="18" t="n">
        <x:v>1</x:v>
      </x:c>
    </x:row>
    <x:row r="152">
      <x:c r="A152" s="18" t="str">
        <x:v>2025_conv2023_extraordinario-T60</x:v>
      </x:c>
      <x:c r="B152" s="18" t="n">
        <x:v>2025</x:v>
      </x:c>
      <x:c r="C152" s="18" t="n">
        <x:v>2023</x:v>
      </x:c>
      <x:c r="D152" s="28" t="n">
        <x:v>45682</x:v>
      </x:c>
      <x:c r="E152" s="18" t="str">
        <x:v>Acceso libre</x:v>
      </x:c>
      <x:c r="F152" s="18" t="str">
        <x:v>Primera parte</x:v>
      </x:c>
      <x:c r="G152" s="18" t="str">
        <x:v>Extraordinario</x:v>
      </x:c>
      <x:c r="H152" s="18" t="str">
        <x:v>Único</x:v>
      </x:c>
      <x:c r="I152" s="18" t="str">
        <x:v>Sí</x:v>
      </x:c>
      <x:c r="J152" s="18" t="str">
        <x:v>Cuestionario extraordinario sin modelo paralelo.</x:v>
      </x:c>
      <x:c r="K152" s="18" t="n">
        <x:v>60</x:v>
      </x:c>
      <x:c r="L152" s="18" t="str">
        <x:v>No</x:v>
      </x:c>
      <x:c r="M152" s="18" t="str">
        <x:v>Cuando se devenguen intereses de demora, ¿cuál es el tipo aplicable al principal de las deudas con la Seguridad Social según el artículo 31 del Texto Refundido de la Ley General de la Seguridad Social?</x:v>
      </x:c>
      <x:c r="N152" s="18" t="str">
        <x:v>El mismo que esté establecido para el interés legal del dinero en cada momento del periodo de devengo.</x:v>
      </x:c>
      <x:c r="O152" s="18" t="str">
        <x:v>El interés legal del dinero vigente en cada momento del período devengo, incrementado en un 25 %, salvo que la Ley de Presupuestos Generales del Estado establezca uno diferente.</x:v>
      </x:c>
      <x:c r="P152" s="18" t="str">
        <x:v>5 % de la deuda, si se abonasen dentro del 1º mes natural siguiente al del vencimiento del plazo para su ingreso.</x:v>
      </x:c>
      <x:c r="Q152" s="18" t="str">
        <x:v>10 % de la deuda, si se abonasen dentro del 1º mes natural siguiente al del vencimiento del plazo para su ingreso.</x:v>
      </x:c>
      <x:c r="R152" s="18" t="str">
        <x:v>S05</x:v>
      </x:c>
      <x:c r="S152" s="18" t="n">
        <x:v>5</x:v>
      </x:c>
      <x:c r="T152" s="18" t="str">
        <x:v>Temario específico Seguridad Social</x:v>
      </x:c>
      <x:c r="U152" s="18" t="str">
        <x:v>La gestión recaudatoria: concepto, competencia y objeto. Responsables del pago. Requisitos para el pago. Medios de pago. Control de recaudación. Revisión de los actos de gestión recaudatoria. La recaudación en periodo voluntario. Efectos de la falta de cotización en período reglamentario. Recaudación de otros recursos. Aplazamientos. Devolución de ingresos indebidos. Capital coste de pensiones.</x:v>
      </x:c>
      <x:c r="V152" s="18" t="str">
        <x:v>S05</x:v>
      </x:c>
      <x:c r="W152" s="18" t="str">
        <x:v>Texto Refundido de la Ley General de la Seguridad Social</x:v>
      </x:c>
      <x:c r="X152" s="18" t="str">
        <x:v>31</x:v>
      </x:c>
      <x:c r="Y152" s="18" t="str">
        <x:v>Recaudación</x:v>
      </x:c>
      <x:c r="Z152" s="18" t="str">
        <x:v>Media</x:v>
      </x:c>
      <x:c r="AA152" s="18" t="str">
        <x:v>S05</x:v>
      </x:c>
      <x:c r="AB152" s="18" t="str"/>
      <x:c r="AC152" s="18" t="str"/>
      <x:c r="AD152" s="18" t="str">
        <x:v>No</x:v>
      </x:c>
      <x:c r="AE152" s="18" t="str">
        <x:v>Teórico</x:v>
      </x:c>
      <x:c r="AF152" s="18" t="str">
        <x:v>B</x:v>
      </x:c>
      <x:c r="AG152" s="18" t="str">
        <x:v>B</x:v>
      </x:c>
      <x:c r="AH152" s="18" t="str">
        <x:v>Válida</x:v>
      </x:c>
      <x:c r="AI152" s="18" t="str">
        <x:v>01. Información oficial de la oposición\Exámenes oficiales anteriores\2025 Convocatoria 2023 - Examen extraordinario acceso libre.pdf</x:v>
      </x:c>
      <x:c r="AJ152" s="18" t="str">
        <x:v>https://www.seg-social.es/wps/portal/wss/internet/InformacionUtil/9950/88beb45d-ca83-4bab-8162-f94ef2894562</x:v>
      </x:c>
      <x:c r="AK152" s="18" t="str">
        <x:v>Texto PDF</x:v>
      </x:c>
      <x:c r="AL152" s="18" t="n">
        <x:v>100</x:v>
      </x:c>
      <x:c r="AM152" s="18" t="str">
        <x:v>Alta</x:v>
      </x:c>
      <x:c r="AN152" s="18" t="str">
        <x:v>Regla jurídica determinista</x:v>
      </x:c>
      <x:c r="AO152" s="18" t="str">
        <x:v>2025_conv2023_extraordinario-T60</x:v>
      </x:c>
      <x:c r="AP152" s="18" t="n">
        <x:v>1</x:v>
      </x:c>
    </x:row>
    <x:row r="153">
      <x:c r="A153" s="18" t="str">
        <x:v>2025_conv2023_extraordinario-T61</x:v>
      </x:c>
      <x:c r="B153" s="18" t="n">
        <x:v>2025</x:v>
      </x:c>
      <x:c r="C153" s="18" t="n">
        <x:v>2023</x:v>
      </x:c>
      <x:c r="D153" s="28" t="n">
        <x:v>45682</x:v>
      </x:c>
      <x:c r="E153" s="18" t="str">
        <x:v>Acceso libre</x:v>
      </x:c>
      <x:c r="F153" s="18" t="str">
        <x:v>Primera parte</x:v>
      </x:c>
      <x:c r="G153" s="18" t="str">
        <x:v>Extraordinario</x:v>
      </x:c>
      <x:c r="H153" s="18" t="str">
        <x:v>Único</x:v>
      </x:c>
      <x:c r="I153" s="18" t="str">
        <x:v>Sí</x:v>
      </x:c>
      <x:c r="J153" s="18" t="str">
        <x:v>Cuestionario extraordinario sin modelo paralelo.</x:v>
      </x:c>
      <x:c r="K153" s="18" t="n">
        <x:v>61</x:v>
      </x:c>
      <x:c r="L153" s="18" t="str">
        <x:v>No</x:v>
      </x:c>
      <x:c r="M153" s="18" t="str">
        <x:v>Según el artículo 84 del Reglamento General de Recaudación de la Seguridad Social, aprobado por el Real Decreto 1415/2004, la providencia de apremio tiene la misma fuerza ejecutiva para proceder contra bienes y derechos de los responsables de pago de la deuda que:</x:v>
      </x:c>
      <x:c r="N153" s="18" t="str">
        <x:v>Las sentencias judiciales.</x:v>
      </x:c>
      <x:c r="O153" s="18" t="str">
        <x:v>Las resoluciones administrativas de la Agencia Estatal de Administración Tributaria.</x:v>
      </x:c>
      <x:c r="P153" s="18" t="str">
        <x:v>Los autos judiciales.</x:v>
      </x:c>
      <x:c r="Q153" s="18" t="str">
        <x:v>Las resoluciones administrativas firmes en vía administrativa.</x:v>
      </x:c>
      <x:c r="R153" s="18" t="str">
        <x:v>S06</x:v>
      </x:c>
      <x:c r="S153" s="18" t="n">
        <x:v>6</x:v>
      </x:c>
      <x:c r="T153" s="18" t="str">
        <x:v>Temario específico Seguridad Social</x:v>
      </x:c>
      <x:c r="U153" s="18" t="str">
        <x:v>La recaudación en vía ejecutiva. Normas generales. Iniciación y título ejecutivo. La providencia de apremio. Oposición y efectos. El embargo de bienes. Enajenación de bienes: modalidades. Créditos incobrables. Tercerías.</x:v>
      </x:c>
      <x:c r="V153" s="18" t="str">
        <x:v>providencia de apremio</x:v>
      </x:c>
      <x:c r="W153" s="18" t="str">
        <x:v>Real Decreto 1415/2004</x:v>
      </x:c>
      <x:c r="X153" s="18" t="str">
        <x:v>84</x:v>
      </x:c>
      <x:c r="Y153" s="18" t="str">
        <x:v>Recaudación ejecutiva</x:v>
      </x:c>
      <x:c r="Z153" s="18" t="str">
        <x:v>Media</x:v>
      </x:c>
      <x:c r="AA153" s="18" t="str">
        <x:v>providencia de apremio</x:v>
      </x:c>
      <x:c r="AB153" s="18" t="str">
        <x:v>ISM</x:v>
      </x:c>
      <x:c r="AC153" s="18" t="str"/>
      <x:c r="AD153" s="18" t="str">
        <x:v>No</x:v>
      </x:c>
      <x:c r="AE153" s="18" t="str">
        <x:v>Teórico</x:v>
      </x:c>
      <x:c r="AF153" s="18" t="str">
        <x:v>A</x:v>
      </x:c>
      <x:c r="AG153" s="18" t="str">
        <x:v>A</x:v>
      </x:c>
      <x:c r="AH153" s="18" t="str">
        <x:v>Válida</x:v>
      </x:c>
      <x:c r="AI153" s="18" t="str">
        <x:v>01. Información oficial de la oposición\Exámenes oficiales anteriores\2025 Convocatoria 2023 - Examen extraordinario acceso libre.pdf</x:v>
      </x:c>
      <x:c r="AJ153" s="18" t="str">
        <x:v>https://www.seg-social.es/wps/portal/wss/internet/InformacionUtil/9950/88beb45d-ca83-4bab-8162-f94ef2894562</x:v>
      </x:c>
      <x:c r="AK153" s="18" t="str">
        <x:v>Texto PDF</x:v>
      </x:c>
      <x:c r="AL153" s="18" t="n">
        <x:v>100</x:v>
      </x:c>
      <x:c r="AM153" s="18" t="str">
        <x:v>Alta</x:v>
      </x:c>
      <x:c r="AN153" s="18" t="str">
        <x:v>Regla jurídica determinista</x:v>
      </x:c>
      <x:c r="AO153" s="18" t="str">
        <x:v>2025_conv2023_extraordinario-T61</x:v>
      </x:c>
      <x:c r="AP153" s="18" t="n">
        <x:v>1</x:v>
      </x:c>
    </x:row>
    <x:row r="154">
      <x:c r="A154" s="18" t="str">
        <x:v>2025_conv2023_extraordinario-T62</x:v>
      </x:c>
      <x:c r="B154" s="18" t="n">
        <x:v>2025</x:v>
      </x:c>
      <x:c r="C154" s="18" t="n">
        <x:v>2023</x:v>
      </x:c>
      <x:c r="D154" s="28" t="n">
        <x:v>45682</x:v>
      </x:c>
      <x:c r="E154" s="18" t="str">
        <x:v>Acceso libre</x:v>
      </x:c>
      <x:c r="F154" s="18" t="str">
        <x:v>Primera parte</x:v>
      </x:c>
      <x:c r="G154" s="18" t="str">
        <x:v>Extraordinario</x:v>
      </x:c>
      <x:c r="H154" s="18" t="str">
        <x:v>Único</x:v>
      </x:c>
      <x:c r="I154" s="18" t="str">
        <x:v>Sí</x:v>
      </x:c>
      <x:c r="J154" s="18" t="str">
        <x:v>Cuestionario extraordinario sin modelo paralelo.</x:v>
      </x:c>
      <x:c r="K154" s="18" t="n">
        <x:v>62</x:v>
      </x:c>
      <x:c r="L154" s="18" t="str">
        <x:v>No</x:v>
      </x:c>
      <x:c r="M154" s="18" t="str">
        <x:v>Según el artículo 86 del Reglamento General de Recaudación de la Seguridad Social, aprobado por el Real Decreto 1415/2004, contra la providencia de apremio solamente será admisible:</x:v>
      </x:c>
      <x:c r="N154" s="18" t="str">
        <x:v>Recurso de alzada y reposición basado en los motivos debidamente justificados que se especifican en el mismo artículo.</x:v>
      </x:c>
      <x:c r="O154" s="18" t="str">
        <x:v>Recurso de reposición basado en los motivos debidamente justificado que se especifican en el mismo artículo.</x:v>
      </x:c>
      <x:c r="P154" s="18" t="str">
        <x:v>Recurso de alzada basado en los motivos debidamente justificado que se especifican en el mismo artículo.</x:v>
      </x:c>
      <x:c r="Q154" s="18" t="str">
        <x:v>Recurso de alzada por cualquier motivo.</x:v>
      </x:c>
      <x:c r="R154" s="18" t="str">
        <x:v>S06</x:v>
      </x:c>
      <x:c r="S154" s="18" t="n">
        <x:v>6</x:v>
      </x:c>
      <x:c r="T154" s="18" t="str">
        <x:v>Temario específico Seguridad Social</x:v>
      </x:c>
      <x:c r="U154" s="18" t="str">
        <x:v>La recaudación en vía ejecutiva. Normas generales. Iniciación y título ejecutivo. La providencia de apremio. Oposición y efectos. El embargo de bienes. Enajenación de bienes: modalidades. Créditos incobrables. Tercerías.</x:v>
      </x:c>
      <x:c r="V154" s="18" t="str">
        <x:v>providencia de apremio</x:v>
      </x:c>
      <x:c r="W154" s="18" t="str">
        <x:v>Real Decreto 1415/2004</x:v>
      </x:c>
      <x:c r="X154" s="18" t="str">
        <x:v>86</x:v>
      </x:c>
      <x:c r="Y154" s="18" t="str">
        <x:v>Recaudación ejecutiva</x:v>
      </x:c>
      <x:c r="Z154" s="18" t="str">
        <x:v>Media</x:v>
      </x:c>
      <x:c r="AA154" s="18" t="str">
        <x:v>providencia de apremio</x:v>
      </x:c>
      <x:c r="AB154" s="18" t="str"/>
      <x:c r="AC154" s="18" t="str"/>
      <x:c r="AD154" s="18" t="str">
        <x:v>No</x:v>
      </x:c>
      <x:c r="AE154" s="18" t="str">
        <x:v>Teórico</x:v>
      </x:c>
      <x:c r="AF154" s="18" t="str">
        <x:v>C</x:v>
      </x:c>
      <x:c r="AG154" s="18" t="str">
        <x:v>C</x:v>
      </x:c>
      <x:c r="AH154" s="18" t="str">
        <x:v>Válida</x:v>
      </x:c>
      <x:c r="AI154" s="18" t="str">
        <x:v>01. Información oficial de la oposición\Exámenes oficiales anteriores\2025 Convocatoria 2023 - Examen extraordinario acceso libre.pdf</x:v>
      </x:c>
      <x:c r="AJ154" s="18" t="str">
        <x:v>https://www.seg-social.es/wps/portal/wss/internet/InformacionUtil/9950/88beb45d-ca83-4bab-8162-f94ef2894562</x:v>
      </x:c>
      <x:c r="AK154" s="18" t="str">
        <x:v>Texto PDF</x:v>
      </x:c>
      <x:c r="AL154" s="18" t="n">
        <x:v>100</x:v>
      </x:c>
      <x:c r="AM154" s="18" t="str">
        <x:v>Alta</x:v>
      </x:c>
      <x:c r="AN154" s="18" t="str">
        <x:v>Regla jurídica determinista</x:v>
      </x:c>
      <x:c r="AO154" s="18" t="str">
        <x:v>2025_conv2023_extraordinario-T62</x:v>
      </x:c>
      <x:c r="AP154" s="18" t="n">
        <x:v>1</x:v>
      </x:c>
    </x:row>
    <x:row r="155">
      <x:c r="A155" s="18" t="str">
        <x:v>2025_conv2023_extraordinario-T63</x:v>
      </x:c>
      <x:c r="B155" s="18" t="n">
        <x:v>2025</x:v>
      </x:c>
      <x:c r="C155" s="18" t="n">
        <x:v>2023</x:v>
      </x:c>
      <x:c r="D155" s="28" t="n">
        <x:v>45682</x:v>
      </x:c>
      <x:c r="E155" s="18" t="str">
        <x:v>Acceso libre</x:v>
      </x:c>
      <x:c r="F155" s="18" t="str">
        <x:v>Primera parte</x:v>
      </x:c>
      <x:c r="G155" s="18" t="str">
        <x:v>Extraordinario</x:v>
      </x:c>
      <x:c r="H155" s="18" t="str">
        <x:v>Único</x:v>
      </x:c>
      <x:c r="I155" s="18" t="str">
        <x:v>Sí</x:v>
      </x:c>
      <x:c r="J155" s="18" t="str">
        <x:v>Cuestionario extraordinario sin modelo paralelo.</x:v>
      </x:c>
      <x:c r="K155" s="18" t="n">
        <x:v>63</x:v>
      </x:c>
      <x:c r="L155" s="18" t="str">
        <x:v>No</x:v>
      </x:c>
      <x:c r="M155" s="18" t="str">
        <x:v>El artículo 88 del Reglamento General de Recaudación Seguridad Social, aprobado por el Real Decreto 1415/2004, de 11 de junio, establece que si la deuda estuviera garantizada mediante aval, se instará al garante:</x:v>
      </x:c>
      <x:c r="N155" s="18" t="str">
        <x:v>El pago del 50% de la deuda hasta el límite del 50% del importe garantizado.</x:v>
      </x:c>
      <x:c r="O155" s="18" t="str">
        <x:v>El pago del 50% de la deuda hasta el límite del importe garantizado.</x:v>
      </x:c>
      <x:c r="P155" s="18" t="str">
        <x:v>El pago de la deuda hasta el límite del 50% del importe garantizado.</x:v>
      </x:c>
      <x:c r="Q155" s="18" t="str">
        <x:v>El pago de la deuda hasta el límite del importe garantizado.</x:v>
      </x:c>
      <x:c r="R155" s="18" t="str">
        <x:v>S06</x:v>
      </x:c>
      <x:c r="S155" s="18" t="n">
        <x:v>6</x:v>
      </x:c>
      <x:c r="T155" s="18" t="str">
        <x:v>Temario específico Seguridad Social</x:v>
      </x:c>
      <x:c r="U155" s="18" t="str">
        <x:v>La recaudación en vía ejecutiva. Normas generales. Iniciación y título ejecutivo. La providencia de apremio. Oposición y efectos. El embargo de bienes. Enajenación de bienes: modalidades. Créditos incobrables. Tercerías.</x:v>
      </x:c>
      <x:c r="V155" s="18" t="str">
        <x:v>S06</x:v>
      </x:c>
      <x:c r="W155" s="18" t="str">
        <x:v>Real Decreto 1415/2004</x:v>
      </x:c>
      <x:c r="X155" s="18" t="str">
        <x:v>88</x:v>
      </x:c>
      <x:c r="Y155" s="18" t="str">
        <x:v>Recaudación ejecutiva</x:v>
      </x:c>
      <x:c r="Z155" s="18" t="str">
        <x:v>Media</x:v>
      </x:c>
      <x:c r="AA155" s="18" t="str">
        <x:v>S06</x:v>
      </x:c>
      <x:c r="AB155" s="18" t="str"/>
      <x:c r="AC155" s="18" t="str"/>
      <x:c r="AD155" s="18" t="str">
        <x:v>No</x:v>
      </x:c>
      <x:c r="AE155" s="18" t="str">
        <x:v>Teórico</x:v>
      </x:c>
      <x:c r="AF155" s="18" t="str">
        <x:v>D</x:v>
      </x:c>
      <x:c r="AG155" s="18" t="str">
        <x:v>D</x:v>
      </x:c>
      <x:c r="AH155" s="18" t="str">
        <x:v>Válida</x:v>
      </x:c>
      <x:c r="AI155" s="18" t="str">
        <x:v>01. Información oficial de la oposición\Exámenes oficiales anteriores\2025 Convocatoria 2023 - Examen extraordinario acceso libre.pdf</x:v>
      </x:c>
      <x:c r="AJ155" s="18" t="str">
        <x:v>https://www.seg-social.es/wps/portal/wss/internet/InformacionUtil/9950/88beb45d-ca83-4bab-8162-f94ef2894562</x:v>
      </x:c>
      <x:c r="AK155" s="18" t="str">
        <x:v>Texto PDF</x:v>
      </x:c>
      <x:c r="AL155" s="18" t="n">
        <x:v>100</x:v>
      </x:c>
      <x:c r="AM155" s="18" t="str">
        <x:v>Alta</x:v>
      </x:c>
      <x:c r="AN155" s="18" t="str">
        <x:v>Regla jurídica determinista</x:v>
      </x:c>
      <x:c r="AO155" s="18" t="str">
        <x:v>2025_conv2023_extraordinario-T63</x:v>
      </x:c>
      <x:c r="AP155" s="18" t="n">
        <x:v>1</x:v>
      </x:c>
    </x:row>
    <x:row r="156">
      <x:c r="A156" s="18" t="str">
        <x:v>2025_conv2023_extraordinario-T64</x:v>
      </x:c>
      <x:c r="B156" s="18" t="n">
        <x:v>2025</x:v>
      </x:c>
      <x:c r="C156" s="18" t="n">
        <x:v>2023</x:v>
      </x:c>
      <x:c r="D156" s="28" t="n">
        <x:v>45682</x:v>
      </x:c>
      <x:c r="E156" s="18" t="str">
        <x:v>Acceso libre</x:v>
      </x:c>
      <x:c r="F156" s="18" t="str">
        <x:v>Primera parte</x:v>
      </x:c>
      <x:c r="G156" s="18" t="str">
        <x:v>Extraordinario</x:v>
      </x:c>
      <x:c r="H156" s="18" t="str">
        <x:v>Único</x:v>
      </x:c>
      <x:c r="I156" s="18" t="str">
        <x:v>Sí</x:v>
      </x:c>
      <x:c r="J156" s="18" t="str">
        <x:v>Cuestionario extraordinario sin modelo paralelo.</x:v>
      </x:c>
      <x:c r="K156" s="18" t="n">
        <x:v>64</x:v>
      </x:c>
      <x:c r="L156" s="18" t="str">
        <x:v>No</x:v>
      </x:c>
      <x:c r="M156" s="18" t="str">
        <x:v>Cuando se embarguen participaciones en sociedades civiles, colectivas, comanditarias, en sociedades de responsabilidad limitada o acciones que no coticen en mercados secundarios oficiales, el artículo 94 del Reglamento General de Recaudación de la Segurida d Social, aprobado por el Real Decreto 1415/2004, establece que se comunicará el embargo a:</x:v>
      </x:c>
      <x:c r="N156" s="18" t="str">
        <x:v>Al autorizado RED de la sociedad.</x:v>
      </x:c>
      <x:c r="O156" s="18" t="str">
        <x:v>A los socios o participes de la sociedad.</x:v>
      </x:c>
      <x:c r="P156" s="18" t="str">
        <x:v>A los administradores de la sociedad.</x:v>
      </x:c>
      <x:c r="Q156" s="18" t="str">
        <x:v>Al autorizado RED y los socios o participes de la sociedad.</x:v>
      </x:c>
      <x:c r="R156" s="18" t="str">
        <x:v>S06</x:v>
      </x:c>
      <x:c r="S156" s="18" t="n">
        <x:v>6</x:v>
      </x:c>
      <x:c r="T156" s="18" t="str">
        <x:v>Temario específico Seguridad Social</x:v>
      </x:c>
      <x:c r="U156" s="18" t="str">
        <x:v>La recaudación en vía ejecutiva. Normas generales. Iniciación y título ejecutivo. La providencia de apremio. Oposición y efectos. El embargo de bienes. Enajenación de bienes: modalidades. Créditos incobrables. Tercerías.</x:v>
      </x:c>
      <x:c r="V156" s="18" t="str">
        <x:v>embargo</x:v>
      </x:c>
      <x:c r="W156" s="18" t="str">
        <x:v>Real Decreto 1415/2004</x:v>
      </x:c>
      <x:c r="X156" s="18" t="str">
        <x:v>94</x:v>
      </x:c>
      <x:c r="Y156" s="18" t="str">
        <x:v>Recaudación ejecutiva</x:v>
      </x:c>
      <x:c r="Z156" s="18" t="str">
        <x:v>Alta</x:v>
      </x:c>
      <x:c r="AA156" s="18" t="str">
        <x:v>embargo</x:v>
      </x:c>
      <x:c r="AB156" s="18" t="str"/>
      <x:c r="AC156" s="18" t="str"/>
      <x:c r="AD156" s="18" t="str">
        <x:v>No</x:v>
      </x:c>
      <x:c r="AE156" s="18" t="str">
        <x:v>Teórico</x:v>
      </x:c>
      <x:c r="AF156" s="18" t="str">
        <x:v>C</x:v>
      </x:c>
      <x:c r="AG156" s="18" t="str">
        <x:v>C</x:v>
      </x:c>
      <x:c r="AH156" s="18" t="str">
        <x:v>Válida</x:v>
      </x:c>
      <x:c r="AI156" s="18" t="str">
        <x:v>01. Información oficial de la oposición\Exámenes oficiales anteriores\2025 Convocatoria 2023 - Examen extraordinario acceso libre.pdf</x:v>
      </x:c>
      <x:c r="AJ156" s="18" t="str">
        <x:v>https://www.seg-social.es/wps/portal/wss/internet/InformacionUtil/9950/88beb45d-ca83-4bab-8162-f94ef2894562</x:v>
      </x:c>
      <x:c r="AK156" s="18" t="str">
        <x:v>Texto PDF</x:v>
      </x:c>
      <x:c r="AL156" s="18" t="n">
        <x:v>100</x:v>
      </x:c>
      <x:c r="AM156" s="18" t="str">
        <x:v>Alta</x:v>
      </x:c>
      <x:c r="AN156" s="18" t="str">
        <x:v>Regla jurídica determinista</x:v>
      </x:c>
      <x:c r="AO156" s="18" t="str">
        <x:v>2025_conv2023_extraordinario-T64</x:v>
      </x:c>
      <x:c r="AP156" s="18" t="n">
        <x:v>1</x:v>
      </x:c>
    </x:row>
    <x:row r="157">
      <x:c r="A157" s="18" t="str">
        <x:v>2025_conv2023_extraordinario-T65</x:v>
      </x:c>
      <x:c r="B157" s="18" t="n">
        <x:v>2025</x:v>
      </x:c>
      <x:c r="C157" s="18" t="n">
        <x:v>2023</x:v>
      </x:c>
      <x:c r="D157" s="28" t="n">
        <x:v>45682</x:v>
      </x:c>
      <x:c r="E157" s="18" t="str">
        <x:v>Acceso libre</x:v>
      </x:c>
      <x:c r="F157" s="18" t="str">
        <x:v>Primera parte</x:v>
      </x:c>
      <x:c r="G157" s="18" t="str">
        <x:v>Extraordinario</x:v>
      </x:c>
      <x:c r="H157" s="18" t="str">
        <x:v>Único</x:v>
      </x:c>
      <x:c r="I157" s="18" t="str">
        <x:v>Sí</x:v>
      </x:c>
      <x:c r="J157" s="18" t="str">
        <x:v>Cuestionario extraordinario sin modelo paralelo.</x:v>
      </x:c>
      <x:c r="K157" s="18" t="n">
        <x:v>65</x:v>
      </x:c>
      <x:c r="L157" s="18" t="str">
        <x:v>No</x:v>
      </x:c>
      <x:c r="M157" s="18" t="str">
        <x:v>Según lo establecido en el artículo 51 del Texto Refundido de la Ley General de la Seguridad Social, a efectos de prestaciones y de complementos a mínimos para cuya percepción se exija la residencia en territorio español, ¿en qué casos se entenderá que el beneficiario tiene su residencia habitual en España aun cuando haya tenido estancias en el extranjero? Señale la respuesta CORRECTA.</x:v>
      </x:c>
      <x:c r="N157" s="18" t="str">
        <x:v>Siempre que estas no superen los noventa días naturales a lo largo de cada año natural, o cuando la ausencia del territorio español esté motivada por causas de enfermedad debidamente justificadas.</x:v>
      </x:c>
      <x:c r="O157" s="18" t="str">
        <x:v>Siempre que estas no superen los ciento veinte días naturales a lo largo de cada año natural, o cuando la ausencia del territorio español esté motivada por causas de enfermedad debidamente justificadas.</x:v>
      </x:c>
      <x:c r="P157" s="18" t="str">
        <x:v>Siempre que estas no superen los noventa días hábiles a lo largo de cada año natural, o cuando la ausencia del territorio español esté motivada por causas de enfermedad debidamente justificadas.</x:v>
      </x:c>
      <x:c r="Q157" s="18" t="str">
        <x:v>Siempre que estas no superen los ciento veinte días hábiles a lo largo de cada año natural, o cuando la ausencia del territorio español esté motivada por causas de enfermedad debidamente justificadas.</x:v>
      </x:c>
      <x:c r="R157" s="18" t="str">
        <x:v>S07</x:v>
      </x:c>
      <x:c r="S157" s="18" t="n">
        <x:v>7</x:v>
      </x:c>
      <x:c r="T157" s="18" t="str">
        <x:v>Temario específico Seguridad Social</x:v>
      </x:c>
      <x:c r="U157" s="18" t="str">
        <x:v>Acción protectora. Contenido y clasificación de las prestaciones. Caracteres de las prestaciones. Incompatibilidades. Reintegro de las prestaciones indebidas. Requisitos generales del derecho a las prestaciones. Responsabilidades en orden a las prestaciones por incumplimiento de las obligaciones de afiliación, altas, bajas y cotización. Automaticidad y anticipo de prestaciones. Riesgo protegido: contingencias comunes y profesionales.</x:v>
      </x:c>
      <x:c r="V157" s="18" t="str">
        <x:v>S07</x:v>
      </x:c>
      <x:c r="W157" s="18" t="str">
        <x:v>Texto Refundido de la Ley General de la Seguridad Social</x:v>
      </x:c>
      <x:c r="X157" s="18" t="str">
        <x:v>51</x:v>
      </x:c>
      <x:c r="Y157" s="18" t="str">
        <x:v>Personas beneficiarias</x:v>
      </x:c>
      <x:c r="Z157" s="18" t="str">
        <x:v>Alta</x:v>
      </x:c>
      <x:c r="AA157" s="18" t="str">
        <x:v>S07</x:v>
      </x:c>
      <x:c r="AB157" s="18" t="str"/>
      <x:c r="AC157" s="18" t="str"/>
      <x:c r="AD157" s="18" t="str">
        <x:v>No</x:v>
      </x:c>
      <x:c r="AE157" s="18" t="str">
        <x:v>Teórico</x:v>
      </x:c>
      <x:c r="AF157" s="18" t="str">
        <x:v>A</x:v>
      </x:c>
      <x:c r="AG157" s="18" t="str">
        <x:v>A</x:v>
      </x:c>
      <x:c r="AH157" s="18" t="str">
        <x:v>Válida</x:v>
      </x:c>
      <x:c r="AI157" s="18" t="str">
        <x:v>01. Información oficial de la oposición\Exámenes oficiales anteriores\2025 Convocatoria 2023 - Examen extraordinario acceso libre.pdf</x:v>
      </x:c>
      <x:c r="AJ157" s="18" t="str">
        <x:v>https://www.seg-social.es/wps/portal/wss/internet/InformacionUtil/9950/88beb45d-ca83-4bab-8162-f94ef2894562</x:v>
      </x:c>
      <x:c r="AK157" s="18" t="str">
        <x:v>Texto PDF</x:v>
      </x:c>
      <x:c r="AL157" s="18" t="n">
        <x:v>100</x:v>
      </x:c>
      <x:c r="AM157" s="18" t="str">
        <x:v>Alta</x:v>
      </x:c>
      <x:c r="AN157" s="18" t="str">
        <x:v>Regla jurídica determinista</x:v>
      </x:c>
      <x:c r="AO157" s="18" t="str">
        <x:v>2025_conv2023_extraordinario-T65</x:v>
      </x:c>
      <x:c r="AP157" s="18" t="n">
        <x:v>1</x:v>
      </x:c>
    </x:row>
    <x:row r="158">
      <x:c r="A158" s="18" t="str">
        <x:v>2025_conv2023_extraordinario-T66</x:v>
      </x:c>
      <x:c r="B158" s="18" t="n">
        <x:v>2025</x:v>
      </x:c>
      <x:c r="C158" s="18" t="n">
        <x:v>2023</x:v>
      </x:c>
      <x:c r="D158" s="28" t="n">
        <x:v>45682</x:v>
      </x:c>
      <x:c r="E158" s="18" t="str">
        <x:v>Acceso libre</x:v>
      </x:c>
      <x:c r="F158" s="18" t="str">
        <x:v>Primera parte</x:v>
      </x:c>
      <x:c r="G158" s="18" t="str">
        <x:v>Extraordinario</x:v>
      </x:c>
      <x:c r="H158" s="18" t="str">
        <x:v>Único</x:v>
      </x:c>
      <x:c r="I158" s="18" t="str">
        <x:v>Sí</x:v>
      </x:c>
      <x:c r="J158" s="18" t="str">
        <x:v>Cuestionario extraordinario sin modelo paralelo.</x:v>
      </x:c>
      <x:c r="K158" s="18" t="n">
        <x:v>66</x:v>
      </x:c>
      <x:c r="L158" s="18" t="str">
        <x:v>No</x:v>
      </x:c>
      <x:c r="M158" s="18" t="str">
        <x:v>Según lo establecido en el artículo 164 del Texto Refundido de la Ley General de la Seguridad Social, con relación al recargo de las prestaciones económicas cuando la lesión se produzca por los motivos listados en el mencionado artículo, señale la respuesta CORRECTA:</x:v>
      </x:c>
      <x:c r="N158" s="18" t="str">
        <x:v>Todas las prestaciones económicas que tengan su causa en accidente de trabajo o enfermedad profesional se aumentarán, según la gravedad de la falta, de un 30 a un 50 por ciento.</x:v>
      </x:c>
      <x:c r="O158" s="18" t="str">
        <x:v>Exclusivamente las prestaciones de incapacidad temporal e incapacidad permanente que tengan su causa en accidente de trabajo o enfermedad profesional se aumentarán, según la gravedad de las secuelas, de un 30 a un 50 por ciento.</x:v>
      </x:c>
      <x:c r="P158" s="18" t="str">
        <x:v>Todas las prestaciones económicas que tengan su causa en accidente de trabajo o enfermedad profesional se aumentarán, según la gravedad de la falta, de un 40 a un 60 por ciento.</x:v>
      </x:c>
      <x:c r="Q158" s="18" t="str">
        <x:v>Todas las prestaciones económicas que tengan su causa en accidente o enfermedad se aumentarán, según la gravedad de la falta, de un 33 a un 65 por ciento.</x:v>
      </x:c>
      <x:c r="R158" s="18" t="str">
        <x:v>S07</x:v>
      </x:c>
      <x:c r="S158" s="18" t="n">
        <x:v>7</x:v>
      </x:c>
      <x:c r="T158" s="18" t="str">
        <x:v>Temario específico Seguridad Social</x:v>
      </x:c>
      <x:c r="U158" s="18" t="str">
        <x:v>Acción protectora. Contenido y clasificación de las prestaciones. Caracteres de las prestaciones. Incompatibilidades. Reintegro de las prestaciones indebidas. Requisitos generales del derecho a las prestaciones. Responsabilidades en orden a las prestaciones por incumplimiento de las obligaciones de afiliación, altas, bajas y cotización. Automaticidad y anticipo de prestaciones. Riesgo protegido: contingencias comunes y profesionales.</x:v>
      </x:c>
      <x:c r="V158" s="18" t="str">
        <x:v>S07</x:v>
      </x:c>
      <x:c r="W158" s="18" t="str">
        <x:v>Texto Refundido de la Ley General de la Seguridad Social</x:v>
      </x:c>
      <x:c r="X158" s="18" t="str">
        <x:v>164</x:v>
      </x:c>
      <x:c r="Y158" s="18" t="str">
        <x:v>Artículos literales</x:v>
      </x:c>
      <x:c r="Z158" s="18" t="str">
        <x:v>Media</x:v>
      </x:c>
      <x:c r="AA158" s="18" t="str">
        <x:v>S07</x:v>
      </x:c>
      <x:c r="AB158" s="18" t="str"/>
      <x:c r="AC158" s="18" t="str"/>
      <x:c r="AD158" s="18" t="str">
        <x:v>No</x:v>
      </x:c>
      <x:c r="AE158" s="18" t="str">
        <x:v>Teórico</x:v>
      </x:c>
      <x:c r="AF158" s="18" t="str">
        <x:v>A</x:v>
      </x:c>
      <x:c r="AG158" s="18" t="str">
        <x:v>A</x:v>
      </x:c>
      <x:c r="AH158" s="18" t="str">
        <x:v>Válida</x:v>
      </x:c>
      <x:c r="AI158" s="18" t="str">
        <x:v>01. Información oficial de la oposición\Exámenes oficiales anteriores\2025 Convocatoria 2023 - Examen extraordinario acceso libre.pdf</x:v>
      </x:c>
      <x:c r="AJ158" s="18" t="str">
        <x:v>https://www.seg-social.es/wps/portal/wss/internet/InformacionUtil/9950/88beb45d-ca83-4bab-8162-f94ef2894562</x:v>
      </x:c>
      <x:c r="AK158" s="18" t="str">
        <x:v>Texto PDF</x:v>
      </x:c>
      <x:c r="AL158" s="18" t="n">
        <x:v>100</x:v>
      </x:c>
      <x:c r="AM158" s="18" t="str">
        <x:v>Alta</x:v>
      </x:c>
      <x:c r="AN158" s="18" t="str">
        <x:v>Regla jurídica determinista</x:v>
      </x:c>
      <x:c r="AO158" s="18" t="str">
        <x:v>2025_conv2023_extraordinario-T66</x:v>
      </x:c>
      <x:c r="AP158" s="18" t="n">
        <x:v>1</x:v>
      </x:c>
    </x:row>
    <x:row r="159">
      <x:c r="A159" s="18" t="str">
        <x:v>2025_conv2023_extraordinario-T67</x:v>
      </x:c>
      <x:c r="B159" s="18" t="n">
        <x:v>2025</x:v>
      </x:c>
      <x:c r="C159" s="18" t="n">
        <x:v>2023</x:v>
      </x:c>
      <x:c r="D159" s="28" t="n">
        <x:v>45682</x:v>
      </x:c>
      <x:c r="E159" s="18" t="str">
        <x:v>Acceso libre</x:v>
      </x:c>
      <x:c r="F159" s="18" t="str">
        <x:v>Primera parte</x:v>
      </x:c>
      <x:c r="G159" s="18" t="str">
        <x:v>Extraordinario</x:v>
      </x:c>
      <x:c r="H159" s="18" t="str">
        <x:v>Único</x:v>
      </x:c>
      <x:c r="I159" s="18" t="str">
        <x:v>Sí</x:v>
      </x:c>
      <x:c r="J159" s="18" t="str">
        <x:v>Cuestionario extraordinario sin modelo paralelo.</x:v>
      </x:c>
      <x:c r="K159" s="18" t="n">
        <x:v>67</x:v>
      </x:c>
      <x:c r="L159" s="18" t="str">
        <x:v>No</x:v>
      </x:c>
      <x:c r="M159" s="18" t="str">
        <x:v>Con relación a lo establecido en el artículo 60 del Texto Refundido de la Ley General de la Seguridad Social sobre el complemento de pensiones contributivas para la reducción de la brecha de género, indique la afirmación INCORRECTA:</x:v>
      </x:c>
      <x:c r="N159" s="18" t="str">
        <x:v>El complemento será satisfecho en catorce pagas, junto con la pensión que determine el derecho al mismo.</x:v>
      </x:c>
      <x:c r="O159" s="18" t="str">
        <x:v>Se tendrá derecho a este complemento en los supuestos de jubilación parcial.</x:v>
      </x:c>
      <x:c r="P159" s="18" t="str">
        <x:v>El importe del complemento no será tenido en cuenta en la aplicación del límite máximo de pensiones previsto en los artículos 57 y 58.7 del TRLGSS.</x:v>
      </x:c>
      <x:c r="Q159" s="18" t="str">
        <x:v>Los complementos que pudieran ser reconocidos en cualquiera de los regímenes de Seguridad Social serán incompatibles entre sí, siendo abonado en el régimen en el que el causante de la pensión tenga más periodos de alta.</x:v>
      </x:c>
      <x:c r="R159" s="18" t="str">
        <x:v>S07</x:v>
      </x:c>
      <x:c r="S159" s="18" t="n">
        <x:v>7</x:v>
      </x:c>
      <x:c r="T159" s="18" t="str">
        <x:v>Temario específico Seguridad Social</x:v>
      </x:c>
      <x:c r="U159" s="18" t="str">
        <x:v>Acción protectora. Contenido y clasificación de las prestaciones. Caracteres de las prestaciones. Incompatibilidades. Reintegro de las prestaciones indebidas. Requisitos generales del derecho a las prestaciones. Responsabilidades en orden a las prestaciones por incumplimiento de las obligaciones de afiliación, altas, bajas y cotización. Automaticidad y anticipo de prestaciones. Riesgo protegido: contingencias comunes y profesionales.</x:v>
      </x:c>
      <x:c r="V159" s="18" t="str">
        <x:v>S07</x:v>
      </x:c>
      <x:c r="W159" s="18" t="str">
        <x:v>Texto Refundido de la Ley General de la Seguridad Social</x:v>
      </x:c>
      <x:c r="X159" s="18" t="str">
        <x:v>60</x:v>
      </x:c>
      <x:c r="Y159" s="18" t="str">
        <x:v>Artículos literales</x:v>
      </x:c>
      <x:c r="Z159" s="18" t="str">
        <x:v>Alta</x:v>
      </x:c>
      <x:c r="AA159" s="18" t="str">
        <x:v>S07</x:v>
      </x:c>
      <x:c r="AB159" s="18" t="str"/>
      <x:c r="AC159" s="18" t="str"/>
      <x:c r="AD159" s="18" t="str">
        <x:v>Sí</x:v>
      </x:c>
      <x:c r="AE159" s="18" t="str">
        <x:v>Teórico</x:v>
      </x:c>
      <x:c r="AF159" s="18" t="str">
        <x:v>B</x:v>
      </x:c>
      <x:c r="AG159" s="18" t="str">
        <x:v>B</x:v>
      </x:c>
      <x:c r="AH159" s="18" t="str">
        <x:v>Válida</x:v>
      </x:c>
      <x:c r="AI159" s="18" t="str">
        <x:v>01. Información oficial de la oposición\Exámenes oficiales anteriores\2025 Convocatoria 2023 - Examen extraordinario acceso libre.pdf</x:v>
      </x:c>
      <x:c r="AJ159" s="18" t="str">
        <x:v>https://www.seg-social.es/wps/portal/wss/internet/InformacionUtil/9950/88beb45d-ca83-4bab-8162-f94ef2894562</x:v>
      </x:c>
      <x:c r="AK159" s="18" t="str">
        <x:v>Texto PDF</x:v>
      </x:c>
      <x:c r="AL159" s="18" t="n">
        <x:v>100</x:v>
      </x:c>
      <x:c r="AM159" s="18" t="str">
        <x:v>Alta</x:v>
      </x:c>
      <x:c r="AN159" s="18" t="str">
        <x:v>Regla jurídica determinista</x:v>
      </x:c>
      <x:c r="AO159" s="18" t="str">
        <x:v>2025_conv2023_extraordinario-T67</x:v>
      </x:c>
      <x:c r="AP159" s="18" t="n">
        <x:v>1</x:v>
      </x:c>
    </x:row>
    <x:row r="160">
      <x:c r="A160" s="18" t="str">
        <x:v>2025_conv2023_extraordinario-T68</x:v>
      </x:c>
      <x:c r="B160" s="18" t="n">
        <x:v>2025</x:v>
      </x:c>
      <x:c r="C160" s="18" t="n">
        <x:v>2023</x:v>
      </x:c>
      <x:c r="D160" s="28" t="n">
        <x:v>45682</x:v>
      </x:c>
      <x:c r="E160" s="18" t="str">
        <x:v>Acceso libre</x:v>
      </x:c>
      <x:c r="F160" s="18" t="str">
        <x:v>Primera parte</x:v>
      </x:c>
      <x:c r="G160" s="18" t="str">
        <x:v>Extraordinario</x:v>
      </x:c>
      <x:c r="H160" s="18" t="str">
        <x:v>Único</x:v>
      </x:c>
      <x:c r="I160" s="18" t="str">
        <x:v>Sí</x:v>
      </x:c>
      <x:c r="J160" s="18" t="str">
        <x:v>Cuestionario extraordinario sin modelo paralelo.</x:v>
      </x:c>
      <x:c r="K160" s="18" t="n">
        <x:v>68</x:v>
      </x:c>
      <x:c r="L160" s="18" t="str">
        <x:v>No</x:v>
      </x:c>
      <x:c r="M160" s="18" t="str">
        <x:v>En virtud de lo dispuesto en el artículo 61 del Texto Refundido de la Ley General de la Seguridad Social, relativo a las pensiones extraordinarias originadas por actos de terrorismo:</x:v>
      </x:c>
      <x:c r="N160" s="18" t="str">
        <x:v>El importe máximo mensual de las pensiones extraordinarias por actos de terrorismo que se reconozcan y abonen por la Seguridad Social será el equivalente al triple del indicador público de renta de efectos múltiples (IPREM) vigente en cada momento.</x:v>
      </x:c>
      <x:c r="O160" s="18" t="str">
        <x:v>El importe mínimo mensual de las pensiones extraordinarias por actos de terrorismo que se reconozcan y abonen por la Seguridad Social será el equivalente al triple del indicador público de renta de efectos múltiples (IPREM) vigente en cada momento.</x:v>
      </x:c>
      <x:c r="P160" s="18" t="str">
        <x:v>El importe máximo mensual de las pensiones extraordinarias por actos de terrorismo que se reconozcan y abonen por la Seguridad Social será el equivalente al triple del salario mínimo interprofesional (SMI) vigente en cada momento.</x:v>
      </x:c>
      <x:c r="Q160" s="18" t="str">
        <x:v>El importe mínimo mensual de las pensiones extraordinarias por actos de terrorismo que se reconozcan y abonen por la Seguridad Social será el equivalente al doble del salario mínimo interprofesional (SMI) vigente en cada momento.</x:v>
      </x:c>
      <x:c r="R160" s="18" t="str">
        <x:v>S07</x:v>
      </x:c>
      <x:c r="S160" s="18" t="n">
        <x:v>7</x:v>
      </x:c>
      <x:c r="T160" s="18" t="str">
        <x:v>Temario específico Seguridad Social</x:v>
      </x:c>
      <x:c r="U160" s="18" t="str">
        <x:v>Acción protectora. Contenido y clasificación de las prestaciones. Caracteres de las prestaciones. Incompatibilidades. Reintegro de las prestaciones indebidas. Requisitos generales del derecho a las prestaciones. Responsabilidades en orden a las prestaciones por incumplimiento de las obligaciones de afiliación, altas, bajas y cotización. Automaticidad y anticipo de prestaciones. Riesgo protegido: contingencias comunes y profesionales.</x:v>
      </x:c>
      <x:c r="V160" s="18" t="str">
        <x:v>S07</x:v>
      </x:c>
      <x:c r="W160" s="18" t="str">
        <x:v>Texto Refundido de la Ley General de la Seguridad Social</x:v>
      </x:c>
      <x:c r="X160" s="18" t="str">
        <x:v>61</x:v>
      </x:c>
      <x:c r="Y160" s="18" t="str">
        <x:v>Artículos literales</x:v>
      </x:c>
      <x:c r="Z160" s="18" t="str">
        <x:v>Media</x:v>
      </x:c>
      <x:c r="AA160" s="18" t="str">
        <x:v>S07</x:v>
      </x:c>
      <x:c r="AB160" s="18" t="str">
        <x:v>ISM</x:v>
      </x:c>
      <x:c r="AC160" s="18" t="str"/>
      <x:c r="AD160" s="18" t="str">
        <x:v>No</x:v>
      </x:c>
      <x:c r="AE160" s="18" t="str">
        <x:v>Teórico</x:v>
      </x:c>
      <x:c r="AF160" s="18" t="str">
        <x:v>B</x:v>
      </x:c>
      <x:c r="AG160" s="18" t="str">
        <x:v>B</x:v>
      </x:c>
      <x:c r="AH160" s="18" t="str">
        <x:v>Válida</x:v>
      </x:c>
      <x:c r="AI160" s="18" t="str">
        <x:v>01. Información oficial de la oposición\Exámenes oficiales anteriores\2025 Convocatoria 2023 - Examen extraordinario acceso libre.pdf</x:v>
      </x:c>
      <x:c r="AJ160" s="18" t="str">
        <x:v>https://www.seg-social.es/wps/portal/wss/internet/InformacionUtil/9950/88beb45d-ca83-4bab-8162-f94ef2894562</x:v>
      </x:c>
      <x:c r="AK160" s="18" t="str">
        <x:v>Texto PDF</x:v>
      </x:c>
      <x:c r="AL160" s="18" t="n">
        <x:v>100</x:v>
      </x:c>
      <x:c r="AM160" s="18" t="str">
        <x:v>Alta</x:v>
      </x:c>
      <x:c r="AN160" s="18" t="str">
        <x:v>Regla jurídica determinista</x:v>
      </x:c>
      <x:c r="AO160" s="18" t="str">
        <x:v>2025_conv2023_extraordinario-T68</x:v>
      </x:c>
      <x:c r="AP160" s="18" t="n">
        <x:v>1</x:v>
      </x:c>
    </x:row>
    <x:row r="161">
      <x:c r="A161" s="18" t="str">
        <x:v>2025_conv2023_extraordinario-T69</x:v>
      </x:c>
      <x:c r="B161" s="18" t="n">
        <x:v>2025</x:v>
      </x:c>
      <x:c r="C161" s="18" t="n">
        <x:v>2023</x:v>
      </x:c>
      <x:c r="D161" s="28" t="n">
        <x:v>45682</x:v>
      </x:c>
      <x:c r="E161" s="18" t="str">
        <x:v>Acceso libre</x:v>
      </x:c>
      <x:c r="F161" s="18" t="str">
        <x:v>Primera parte</x:v>
      </x:c>
      <x:c r="G161" s="18" t="str">
        <x:v>Extraordinario</x:v>
      </x:c>
      <x:c r="H161" s="18" t="str">
        <x:v>Único</x:v>
      </x:c>
      <x:c r="I161" s="18" t="str">
        <x:v>Sí</x:v>
      </x:c>
      <x:c r="J161" s="18" t="str">
        <x:v>Cuestionario extraordinario sin modelo paralelo.</x:v>
      </x:c>
      <x:c r="K161" s="18" t="n">
        <x:v>69</x:v>
      </x:c>
      <x:c r="L161" s="18" t="str">
        <x:v>No</x:v>
      </x:c>
      <x:c r="M161" s="18" t="str">
        <x:v>Según el artículo 205.1.a del Texto Refundido de la Ley General de la Seguridad Social, ¿qué edad deberán tener cumplida las personas incluidas en el régimen general para acceder a la jubilación ordinaria?</x:v>
      </x:c>
      <x:c r="N161" s="18" t="str">
        <x:v>Haber cumplido sesenta y ocho años de edad, o sesenta y cinco años cuando se acrediten treinta y ocho años y seis meses de cotización, sin que se tenga en cuenta la parte proporcional correspondiente a las pagas extraordinarias.</x:v>
      </x:c>
      <x:c r="O161" s="18" t="str">
        <x:v>Haber cumplido sesenta y siete años de edad, o sesenta y cinco años cuando se acrediten treinta y siete años y seis meses de cotización, sin que se tenga en cuenta la parte proporcional correspondiente a las pagas extraordinarias.</x:v>
      </x:c>
      <x:c r="P161" s="18" t="str">
        <x:v>Haber cumplido sesenta y ocho años de edad, o sesenta y cinco años cuando se acrediten treinta y seis años y seis meses de cotización, sin que se tenga en cuenta la parte proporcional correspondiente a las pagas extraordinarias.</x:v>
      </x:c>
      <x:c r="Q161" s="18" t="str">
        <x:v>Haber cumplido sesenta y siete años de edad, o sesenta y cinco años cuando se acrediten treinta y ocho años y seis meses de cotización, sin que se tenga en cuenta la parte proporcional correspondiente a las pagas extraordinarias.</x:v>
      </x:c>
      <x:c r="R161" s="18" t="str">
        <x:v>S10</x:v>
      </x:c>
      <x:c r="S161" s="18" t="n">
        <x:v>10</x:v>
      </x:c>
      <x:c r="T161" s="18" t="str">
        <x:v>Temario específico Seguridad Social</x:v>
      </x:c>
      <x:c r="U161" s="18" t="str">
        <x:v>Jubilación en la modalidad contributiva: concepto. Jubilación ordinaria: requisitos: especial referencia a la edad de jubilación. Determinación de la cuantía de la prestación: base reguladora y porcentaje. Jubilación anticipada, jubilación parcial y jubilación flexible. Compatibilidad de la pensión de jubilación y el trabajo. Suspensión y extinción de la prestación. Especial referencia a la aplicación de la normativa anterior a la Ley 27/2011.</x:v>
      </x:c>
      <x:c r="V161" s="18" t="str">
        <x:v>jubilación</x:v>
      </x:c>
      <x:c r="W161" s="18" t="str">
        <x:v>Texto Refundido de la Ley General de la Seguridad Social</x:v>
      </x:c>
      <x:c r="X161" s="18" t="str">
        <x:v>205.1</x:v>
      </x:c>
      <x:c r="Y161" s="18" t="str">
        <x:v>Jubilación</x:v>
      </x:c>
      <x:c r="Z161" s="18" t="str">
        <x:v>Media</x:v>
      </x:c>
      <x:c r="AA161" s="18" t="str">
        <x:v>jubilación</x:v>
      </x:c>
      <x:c r="AB161" s="18" t="str"/>
      <x:c r="AC161" s="18" t="str"/>
      <x:c r="AD161" s="18" t="str">
        <x:v>No</x:v>
      </x:c>
      <x:c r="AE161" s="18" t="str">
        <x:v>Teórico</x:v>
      </x:c>
      <x:c r="AF161" s="18" t="str">
        <x:v>D</x:v>
      </x:c>
      <x:c r="AG161" s="18" t="str">
        <x:v>D</x:v>
      </x:c>
      <x:c r="AH161" s="18" t="str">
        <x:v>Válida</x:v>
      </x:c>
      <x:c r="AI161" s="18" t="str">
        <x:v>01. Información oficial de la oposición\Exámenes oficiales anteriores\2025 Convocatoria 2023 - Examen extraordinario acceso libre.pdf</x:v>
      </x:c>
      <x:c r="AJ161" s="18" t="str">
        <x:v>https://www.seg-social.es/wps/portal/wss/internet/InformacionUtil/9950/88beb45d-ca83-4bab-8162-f94ef2894562</x:v>
      </x:c>
      <x:c r="AK161" s="18" t="str">
        <x:v>Texto PDF</x:v>
      </x:c>
      <x:c r="AL161" s="18" t="n">
        <x:v>100</x:v>
      </x:c>
      <x:c r="AM161" s="18" t="str">
        <x:v>Alta</x:v>
      </x:c>
      <x:c r="AN161" s="18" t="str">
        <x:v>Regla jurídica determinista</x:v>
      </x:c>
      <x:c r="AO161" s="18" t="str">
        <x:v>2025_conv2023_extraordinario-T69</x:v>
      </x:c>
      <x:c r="AP161" s="18" t="n">
        <x:v>1</x:v>
      </x:c>
    </x:row>
    <x:row r="162">
      <x:c r="A162" s="18" t="str">
        <x:v>2025_conv2023_extraordinario-T70</x:v>
      </x:c>
      <x:c r="B162" s="18" t="n">
        <x:v>2025</x:v>
      </x:c>
      <x:c r="C162" s="18" t="n">
        <x:v>2023</x:v>
      </x:c>
      <x:c r="D162" s="28" t="n">
        <x:v>45682</x:v>
      </x:c>
      <x:c r="E162" s="18" t="str">
        <x:v>Acceso libre</x:v>
      </x:c>
      <x:c r="F162" s="18" t="str">
        <x:v>Primera parte</x:v>
      </x:c>
      <x:c r="G162" s="18" t="str">
        <x:v>Extraordinario</x:v>
      </x:c>
      <x:c r="H162" s="18" t="str">
        <x:v>Único</x:v>
      </x:c>
      <x:c r="I162" s="18" t="str">
        <x:v>Sí</x:v>
      </x:c>
      <x:c r="J162" s="18" t="str">
        <x:v>Cuestionario extraordinario sin modelo paralelo.</x:v>
      </x:c>
      <x:c r="K162" s="18" t="n">
        <x:v>70</x:v>
      </x:c>
      <x:c r="L162" s="18" t="str">
        <x:v>No</x:v>
      </x:c>
      <x:c r="M162" s="18" t="str">
        <x:v>A tenor de lo dispuesto en el punto 2 del artículo 206 bis del Texto Refundido de la Ley General de la Seguridad Social sobre jubilación anticipada en caso de discapacidad, ¿qué edad se fija como límite mínimo por debajo de la cual no se podrá acceder a la jubilación una vez aplicados los coeficientes reductores de la edad que correspondan?</x:v>
      </x:c>
      <x:c r="N162" s="18" t="str">
        <x:v>45 años</x:v>
      </x:c>
      <x:c r="O162" s="18" t="str">
        <x:v>52 años.</x:v>
      </x:c>
      <x:c r="P162" s="18" t="str">
        <x:v>54 años.</x:v>
      </x:c>
      <x:c r="Q162" s="18" t="str">
        <x:v>56 años.</x:v>
      </x:c>
      <x:c r="R162" s="18" t="str">
        <x:v>S10</x:v>
      </x:c>
      <x:c r="S162" s="18" t="n">
        <x:v>10</x:v>
      </x:c>
      <x:c r="T162" s="18" t="str">
        <x:v>Temario específico Seguridad Social</x:v>
      </x:c>
      <x:c r="U162" s="18" t="str">
        <x:v>Jubilación en la modalidad contributiva: concepto. Jubilación ordinaria: requisitos: especial referencia a la edad de jubilación. Determinación de la cuantía de la prestación: base reguladora y porcentaje. Jubilación anticipada, jubilación parcial y jubilación flexible. Compatibilidad de la pensión de jubilación y el trabajo. Suspensión y extinción de la prestación. Especial referencia a la aplicación de la normativa anterior a la Ley 27/2011.</x:v>
      </x:c>
      <x:c r="V162" s="18" t="str">
        <x:v>jubilación anticipada</x:v>
      </x:c>
      <x:c r="W162" s="18" t="str">
        <x:v>Texto Refundido de la Ley General de la Seguridad Social</x:v>
      </x:c>
      <x:c r="X162" s="18" t="str">
        <x:v>206</x:v>
      </x:c>
      <x:c r="Y162" s="18" t="str">
        <x:v>Jubilación</x:v>
      </x:c>
      <x:c r="Z162" s="18" t="str">
        <x:v>Alta</x:v>
      </x:c>
      <x:c r="AA162" s="18" t="str">
        <x:v>jubilación anticipada</x:v>
      </x:c>
      <x:c r="AB162" s="18" t="str"/>
      <x:c r="AC162" s="18" t="str"/>
      <x:c r="AD162" s="18" t="str">
        <x:v>No</x:v>
      </x:c>
      <x:c r="AE162" s="18" t="str">
        <x:v>Teórico</x:v>
      </x:c>
      <x:c r="AF162" s="18" t="str">
        <x:v>B</x:v>
      </x:c>
      <x:c r="AG162" s="18" t="str">
        <x:v>B</x:v>
      </x:c>
      <x:c r="AH162" s="18" t="str">
        <x:v>Válida</x:v>
      </x:c>
      <x:c r="AI162" s="18" t="str">
        <x:v>01. Información oficial de la oposición\Exámenes oficiales anteriores\2025 Convocatoria 2023 - Examen extraordinario acceso libre.pdf</x:v>
      </x:c>
      <x:c r="AJ162" s="18" t="str">
        <x:v>https://www.seg-social.es/wps/portal/wss/internet/InformacionUtil/9950/88beb45d-ca83-4bab-8162-f94ef2894562</x:v>
      </x:c>
      <x:c r="AK162" s="18" t="str">
        <x:v>Texto PDF</x:v>
      </x:c>
      <x:c r="AL162" s="18" t="n">
        <x:v>100</x:v>
      </x:c>
      <x:c r="AM162" s="18" t="str">
        <x:v>Alta</x:v>
      </x:c>
      <x:c r="AN162" s="18" t="str">
        <x:v>Regla jurídica determinista</x:v>
      </x:c>
      <x:c r="AO162" s="18" t="str">
        <x:v>2025_conv2023_extraordinario-T70</x:v>
      </x:c>
      <x:c r="AP162" s="18" t="n">
        <x:v>1</x:v>
      </x:c>
    </x:row>
    <x:row r="163">
      <x:c r="A163" s="18" t="str">
        <x:v>2025_conv2023_extraordinario-T71</x:v>
      </x:c>
      <x:c r="B163" s="18" t="n">
        <x:v>2025</x:v>
      </x:c>
      <x:c r="C163" s="18" t="n">
        <x:v>2023</x:v>
      </x:c>
      <x:c r="D163" s="28" t="n">
        <x:v>45682</x:v>
      </x:c>
      <x:c r="E163" s="18" t="str">
        <x:v>Acceso libre</x:v>
      </x:c>
      <x:c r="F163" s="18" t="str">
        <x:v>Primera parte</x:v>
      </x:c>
      <x:c r="G163" s="18" t="str">
        <x:v>Extraordinario</x:v>
      </x:c>
      <x:c r="H163" s="18" t="str">
        <x:v>Único</x:v>
      </x:c>
      <x:c r="I163" s="18" t="str">
        <x:v>Sí</x:v>
      </x:c>
      <x:c r="J163" s="18" t="str">
        <x:v>Cuestionario extraordinario sin modelo paralelo.</x:v>
      </x:c>
      <x:c r="K163" s="18" t="n">
        <x:v>71</x:v>
      </x:c>
      <x:c r="L163" s="18" t="str">
        <x:v>Sí</x:v>
      </x:c>
      <x:c r="M163" s="18" t="str">
        <x:v>A tenor de lo dispuesto en el punto 2 del artículo 215 del Texto Refundido de la Ley General de la Seguridad Social sobre jubilación parcial y en el artículo 14 del RD 1131/2002, de 31 de octubre, por el que se regula la Seguridad Social de los trabajadores contratados a tiempo parcial, así como la jubilación parcial, indique la respuesta INCORRECTA respecto al régimen de compatibilidad e incompatibilidad de la pensión de jubilación parcial:</x:v>
      </x:c>
      <x:c r="N163" s="18" t="str">
        <x:v>La pensión de jubilación parcial es compatible con el trabajo a tiempo parcial en la empresa y, en su caso, con otros trabajos a tiempo parcial anteriores a la situación de jubilación parcial, siempre que no se aumente la duración de su jornada.</x:v>
      </x:c>
      <x:c r="O163" s="18" t="str">
        <x:v>La pensión de jubilación parcial es compatible con la pensión de viudedad.</x:v>
      </x:c>
      <x:c r="P163" s="18" t="str">
        <x:v>La pensión de jubilación parcial es compatible con la pensión de incapacidad permanente absoluta.</x:v>
      </x:c>
      <x:c r="Q163" s="18" t="str">
        <x:v>La pensión de jubilación parcial es incompatible con la pensión de incapacidad permanente total para el trabajo que se preste en virtud del contrato que dio lugar a la jubilación parcial.</x:v>
      </x:c>
      <x:c r="R163" s="18" t="str">
        <x:v>S10</x:v>
      </x:c>
      <x:c r="S163" s="18" t="n">
        <x:v>10</x:v>
      </x:c>
      <x:c r="T163" s="18" t="str">
        <x:v>Temario específico Seguridad Social</x:v>
      </x:c>
      <x:c r="U163" s="18" t="str">
        <x:v>Jubilación en la modalidad contributiva: concepto. Jubilación ordinaria: requisitos: especial referencia a la edad de jubilación. Determinación de la cuantía de la prestación: base reguladora y porcentaje. Jubilación anticipada, jubilación parcial y jubilación flexible. Compatibilidad de la pensión de jubilación y el trabajo. Suspensión y extinción de la prestación. Especial referencia a la aplicación de la normativa anterior a la Ley 27/2011.</x:v>
      </x:c>
      <x:c r="V163" s="18" t="str">
        <x:v>jubilación</x:v>
      </x:c>
      <x:c r="W163" s="18" t="str">
        <x:v>Texto Refundido de la Ley General de la Seguridad Social</x:v>
      </x:c>
      <x:c r="X163" s="18" t="str">
        <x:v>215; 14</x:v>
      </x:c>
      <x:c r="Y163" s="18" t="str">
        <x:v>Jubilación</x:v>
      </x:c>
      <x:c r="Z163" s="18" t="str">
        <x:v>Alta</x:v>
      </x:c>
      <x:c r="AA163" s="18" t="str">
        <x:v>jubilación</x:v>
      </x:c>
      <x:c r="AB163" s="18" t="str"/>
      <x:c r="AC163" s="18" t="str"/>
      <x:c r="AD163" s="18" t="str">
        <x:v>Sí</x:v>
      </x:c>
      <x:c r="AE163" s="18" t="str">
        <x:v>Teórico</x:v>
      </x:c>
      <x:c r="AF163" s="18" t="str">
        <x:v>C</x:v>
      </x:c>
      <x:c r="AG163" s="18" t="str">
        <x:v>C</x:v>
      </x:c>
      <x:c r="AH163" s="18" t="str">
        <x:v>Válida</x:v>
      </x:c>
      <x:c r="AI163" s="18" t="str">
        <x:v>01. Información oficial de la oposición\Exámenes oficiales anteriores\2025 Convocatoria 2023 - Examen extraordinario acceso libre.pdf</x:v>
      </x:c>
      <x:c r="AJ163" s="18" t="str">
        <x:v>https://www.seg-social.es/wps/portal/wss/internet/InformacionUtil/9950/88beb45d-ca83-4bab-8162-f94ef2894562</x:v>
      </x:c>
      <x:c r="AK163" s="18" t="str">
        <x:v>Texto PDF</x:v>
      </x:c>
      <x:c r="AL163" s="18" t="n">
        <x:v>100</x:v>
      </x:c>
      <x:c r="AM163" s="18" t="str">
        <x:v>Alta</x:v>
      </x:c>
      <x:c r="AN163" s="18" t="str">
        <x:v>Regla jurídica determinista</x:v>
      </x:c>
      <x:c r="AO163" s="18" t="str">
        <x:v>2025_conv2023_extraordinario-T71</x:v>
      </x:c>
      <x:c r="AP163" s="18" t="n">
        <x:v>1</x:v>
      </x:c>
    </x:row>
    <x:row r="164">
      <x:c r="A164" s="18" t="str">
        <x:v>2025_conv2023_extraordinario-T72</x:v>
      </x:c>
      <x:c r="B164" s="18" t="n">
        <x:v>2025</x:v>
      </x:c>
      <x:c r="C164" s="18" t="n">
        <x:v>2023</x:v>
      </x:c>
      <x:c r="D164" s="28" t="n">
        <x:v>45682</x:v>
      </x:c>
      <x:c r="E164" s="18" t="str">
        <x:v>Acceso libre</x:v>
      </x:c>
      <x:c r="F164" s="18" t="str">
        <x:v>Primera parte</x:v>
      </x:c>
      <x:c r="G164" s="18" t="str">
        <x:v>Extraordinario</x:v>
      </x:c>
      <x:c r="H164" s="18" t="str">
        <x:v>Único</x:v>
      </x:c>
      <x:c r="I164" s="18" t="str">
        <x:v>Sí</x:v>
      </x:c>
      <x:c r="J164" s="18" t="str">
        <x:v>Cuestionario extraordinario sin modelo paralelo.</x:v>
      </x:c>
      <x:c r="K164" s="18" t="n">
        <x:v>72</x:v>
      </x:c>
      <x:c r="L164" s="18" t="str">
        <x:v>Sí</x:v>
      </x:c>
      <x:c r="M164" s="18" t="str">
        <x:v>Según lo establecido el artículo 207 del Texto Refundido de la Ley General de la Seguridad Social para acceder a la jubilación anticipada por causa no imputable al trabajador, uno de los requisitos es que el cese se haya producido por alguna de las causas recogidas en el mencionado artículo. Indique cuál de las siguientes opciones NO es una causa para cumplir con este requisito:</x:v>
      </x:c>
      <x:c r="N164" s="18" t="str">
        <x:v>El despido colectivo por causas económicas, técnicas, organizativas o de producción, conforme al artículo 51 del Estatuto de los Trabajadores.</x:v>
      </x:c>
      <x:c r="O164" s="18" t="str">
        <x:v>El despido por causas objetivas conforme al artículo 52 del Estatuto de los Trabajadores.</x:v>
      </x:c>
      <x:c r="P164" s="18" t="str">
        <x:v>El despido disciplinario conforme al artículo 54 del Estatuto de los Trabajadores.</x:v>
      </x:c>
      <x:c r="Q164" s="18" t="str">
        <x:v>La extinción del contrato de trabajo motivada por la existencia de fuerza mayor constatada por la autoridad laboral conforme a lo establecido en el artículo 51.7 del texto refundido de la Ley del Estatuto de los Trabajadores.</x:v>
      </x:c>
      <x:c r="R164" s="18" t="str">
        <x:v>S10</x:v>
      </x:c>
      <x:c r="S164" s="18" t="n">
        <x:v>10</x:v>
      </x:c>
      <x:c r="T164" s="18" t="str">
        <x:v>Temario específico Seguridad Social</x:v>
      </x:c>
      <x:c r="U164" s="18" t="str">
        <x:v>Jubilación en la modalidad contributiva: concepto. Jubilación ordinaria: requisitos: especial referencia a la edad de jubilación. Determinación de la cuantía de la prestación: base reguladora y porcentaje. Jubilación anticipada, jubilación parcial y jubilación flexible. Compatibilidad de la pensión de jubilación y el trabajo. Suspensión y extinción de la prestación. Especial referencia a la aplicación de la normativa anterior a la Ley 27/2011.</x:v>
      </x:c>
      <x:c r="V164" s="18" t="str">
        <x:v>jubilación anticipada</x:v>
      </x:c>
      <x:c r="W164" s="18" t="str">
        <x:v>Texto Refundido de la Ley General de la Seguridad Social</x:v>
      </x:c>
      <x:c r="X164" s="18" t="str">
        <x:v>207</x:v>
      </x:c>
      <x:c r="Y164" s="18" t="str">
        <x:v>Requisitos</x:v>
      </x:c>
      <x:c r="Z164" s="18" t="str">
        <x:v>Alta</x:v>
      </x:c>
      <x:c r="AA164" s="18" t="str">
        <x:v>jubilación anticipada</x:v>
      </x:c>
      <x:c r="AB164" s="18" t="str"/>
      <x:c r="AC164" s="18" t="str"/>
      <x:c r="AD164" s="18" t="str">
        <x:v>Sí</x:v>
      </x:c>
      <x:c r="AE164" s="18" t="str">
        <x:v>Teórico</x:v>
      </x:c>
      <x:c r="AF164" s="18" t="str">
        <x:v>C</x:v>
      </x:c>
      <x:c r="AG164" s="18" t="str">
        <x:v>C</x:v>
      </x:c>
      <x:c r="AH164" s="18" t="str">
        <x:v>Válida</x:v>
      </x:c>
      <x:c r="AI164" s="18" t="str">
        <x:v>01. Información oficial de la oposición\Exámenes oficiales anteriores\2025 Convocatoria 2023 - Examen extraordinario acceso libre.pdf</x:v>
      </x:c>
      <x:c r="AJ164" s="18" t="str">
        <x:v>https://www.seg-social.es/wps/portal/wss/internet/InformacionUtil/9950/88beb45d-ca83-4bab-8162-f94ef2894562</x:v>
      </x:c>
      <x:c r="AK164" s="18" t="str">
        <x:v>Texto PDF</x:v>
      </x:c>
      <x:c r="AL164" s="18" t="n">
        <x:v>100</x:v>
      </x:c>
      <x:c r="AM164" s="18" t="str">
        <x:v>Alta</x:v>
      </x:c>
      <x:c r="AN164" s="18" t="str">
        <x:v>Regla jurídica determinista</x:v>
      </x:c>
      <x:c r="AO164" s="18" t="str">
        <x:v>2025_conv2023_extraordinario-T72</x:v>
      </x:c>
      <x:c r="AP164" s="18" t="n">
        <x:v>1</x:v>
      </x:c>
    </x:row>
    <x:row r="165">
      <x:c r="A165" s="18" t="str">
        <x:v>2025_conv2023_extraordinario-T73</x:v>
      </x:c>
      <x:c r="B165" s="18" t="n">
        <x:v>2025</x:v>
      </x:c>
      <x:c r="C165" s="18" t="n">
        <x:v>2023</x:v>
      </x:c>
      <x:c r="D165" s="28" t="n">
        <x:v>45682</x:v>
      </x:c>
      <x:c r="E165" s="18" t="str">
        <x:v>Acceso libre</x:v>
      </x:c>
      <x:c r="F165" s="18" t="str">
        <x:v>Primera parte</x:v>
      </x:c>
      <x:c r="G165" s="18" t="str">
        <x:v>Extraordinario</x:v>
      </x:c>
      <x:c r="H165" s="18" t="str">
        <x:v>Único</x:v>
      </x:c>
      <x:c r="I165" s="18" t="str">
        <x:v>Sí</x:v>
      </x:c>
      <x:c r="J165" s="18" t="str">
        <x:v>Cuestionario extraordinario sin modelo paralelo.</x:v>
      </x:c>
      <x:c r="K165" s="18" t="n">
        <x:v>73</x:v>
      </x:c>
      <x:c r="L165" s="18" t="str">
        <x:v>Sí</x:v>
      </x:c>
      <x:c r="M165" s="18" t="str">
        <x:v>De acuerdo con el artículo 10.2 del Texto Refundido de la Ley General de la Seguridad Social, se considerarán Regímenes Especiales los que encuadren a los grupos siguientes:</x:v>
      </x:c>
      <x:c r="N165" s="18" t="str">
        <x:v>Los trabajadores por cuenta propia o autónomos, los trabajadores del mar, los funcionarios públicos, civiles y militares, estudiantes y demás grupos que determine el ministerio competente en materia de seguridad social.</x:v>
      </x:c>
      <x:c r="O165" s="18" t="str">
        <x:v>Los trabajadores por cuenta ajena, los trabajadores del mar, los funcionarios públicos, civiles y militares, estudiantes y demás grupos que determine el ministerio competente en materia de seguridad social.</x:v>
      </x:c>
      <x:c r="P165" s="18" t="str">
        <x:v>Los trabajadores por cuenta ajena, los trabajadores del mar, los funcionarios públicos, civiles y militares y demás grupos que determine el ministerio competente en materia de seguridad social.</x:v>
      </x:c>
      <x:c r="Q165" s="18" t="str">
        <x:v>Los trabajadores por cuenta propia o autónomos, los funcionarios públicos, civiles y militares, estudiantes y demás grupos que determine el ministerio competente en materia de seguridad social.</x:v>
      </x:c>
      <x:c r="R165" s="18" t="str">
        <x:v>S02</x:v>
      </x:c>
      <x:c r="S165" s="18" t="n">
        <x:v>2</x:v>
      </x:c>
      <x:c r="T165" s="18" t="str">
        <x:v>Temario específico Seguridad Social</x:v>
      </x:c>
      <x:c r="U165" s="18" t="str">
        <x:v>Campo de aplicación y composición del sistema de la Seguridad Social. Régimen general: ámbito subjetivo de aplicación, inclusiones y exclusiones. Regímenes especiales: enumeración, características generales, altas, bajas y cotización. Particularidades de la acción protectora. Sistemas especiales: enumeración y características generales. Altas, bajas y cotización. Particularidades de la acción protectora.</x:v>
      </x:c>
      <x:c r="V165" s="18" t="str">
        <x:v>S02</x:v>
      </x:c>
      <x:c r="W165" s="18" t="str">
        <x:v>Texto Refundido de la Ley General de la Seguridad Social</x:v>
      </x:c>
      <x:c r="X165" s="18" t="str">
        <x:v>10.2</x:v>
      </x:c>
      <x:c r="Y165" s="18" t="str">
        <x:v>Artículos literales</x:v>
      </x:c>
      <x:c r="Z165" s="18" t="str">
        <x:v>Media</x:v>
      </x:c>
      <x:c r="AA165" s="18" t="str">
        <x:v>S02</x:v>
      </x:c>
      <x:c r="AB165" s="18" t="str"/>
      <x:c r="AC165" s="18" t="str"/>
      <x:c r="AD165" s="18" t="str">
        <x:v>No</x:v>
      </x:c>
      <x:c r="AE165" s="18" t="str">
        <x:v>Teórico</x:v>
      </x:c>
      <x:c r="AF165" s="18" t="str">
        <x:v>A</x:v>
      </x:c>
      <x:c r="AG165" s="18" t="str">
        <x:v>A</x:v>
      </x:c>
      <x:c r="AH165" s="18" t="str">
        <x:v>Válida</x:v>
      </x:c>
      <x:c r="AI165" s="18" t="str">
        <x:v>01. Información oficial de la oposición\Exámenes oficiales anteriores\2025 Convocatoria 2023 - Examen extraordinario acceso libre.pdf</x:v>
      </x:c>
      <x:c r="AJ165" s="18" t="str">
        <x:v>https://www.seg-social.es/wps/portal/wss/internet/InformacionUtil/9950/88beb45d-ca83-4bab-8162-f94ef2894562</x:v>
      </x:c>
      <x:c r="AK165" s="18" t="str">
        <x:v>Texto PDF</x:v>
      </x:c>
      <x:c r="AL165" s="18" t="n">
        <x:v>100</x:v>
      </x:c>
      <x:c r="AM165" s="18" t="str">
        <x:v>Alta</x:v>
      </x:c>
      <x:c r="AN165" s="18" t="str">
        <x:v>Regla jurídica determinista</x:v>
      </x:c>
      <x:c r="AO165" s="18" t="str">
        <x:v>2025_conv2023_extraordinario-T73</x:v>
      </x:c>
      <x:c r="AP165" s="18" t="n">
        <x:v>1</x:v>
      </x:c>
    </x:row>
    <x:row r="166">
      <x:c r="A166" s="18" t="str">
        <x:v>2025_conv2023_extraordinario-P01</x:v>
      </x:c>
      <x:c r="B166" s="18" t="n">
        <x:v>2025</x:v>
      </x:c>
      <x:c r="C166" s="18" t="n">
        <x:v>2023</x:v>
      </x:c>
      <x:c r="D166" s="28" t="n">
        <x:v>45682</x:v>
      </x:c>
      <x:c r="E166" s="18" t="str">
        <x:v>Acceso libre</x:v>
      </x:c>
      <x:c r="F166" s="18" t="str">
        <x:v>Segunda parte</x:v>
      </x:c>
      <x:c r="G166" s="18" t="str">
        <x:v>Extraordinario</x:v>
      </x:c>
      <x:c r="H166" s="18" t="str">
        <x:v>Único</x:v>
      </x:c>
      <x:c r="I166" s="18" t="str">
        <x:v>Sí</x:v>
      </x:c>
      <x:c r="J166" s="18" t="str">
        <x:v>Cuestionario extraordinario sin modelo paralelo.</x:v>
      </x:c>
      <x:c r="K166" s="18" t="n">
        <x:v>1</x:v>
      </x:c>
      <x:c r="L166" s="18" t="str">
        <x:v>No</x:v>
      </x:c>
      <x:c r="M166" s="18" t="str">
        <x:v>Indique en qué situación se encuentra en la Seguridad Social D. TOMAS RODAJA, a efectos del accidente de trabajo que sufrió el día 4 de marzo de 2024:</x:v>
      </x:c>
      <x:c r="N166" s="18" t="str">
        <x:v>Situación de alta condicionada.</x:v>
      </x:c>
      <x:c r="O166" s="18" t="str">
        <x:v>En alta de pleno derecho.</x:v>
      </x:c>
      <x:c r="P166" s="18" t="str">
        <x:v>En situación asimilada al alta.</x:v>
      </x:c>
      <x:c r="Q166" s="18" t="str">
        <x:v>En ninguna situación, por no haberse tramitado el alta en el Régimen General.</x:v>
      </x:c>
      <x:c r="R166" s="18" t="str">
        <x:v>S03</x:v>
      </x:c>
      <x:c r="S166" s="18" t="n">
        <x:v>3</x:v>
      </x:c>
      <x:c r="T166" s="18" t="str">
        <x:v>Temario específico Seguridad Social</x:v>
      </x:c>
      <x:c r="U166" s="18" t="str">
        <x:v>Normas sobre afiliación. Altas y bajas en el régimen general. Procedimiento y efectos. El convenio especial y otras situaciones asimiladas a la del alta. Encuadramiento e inscripción.</x:v>
      </x:c>
      <x:c r="V166" s="18" t="str">
        <x:v>S03</x:v>
      </x:c>
      <x:c r="W166" s="18" t="str"/>
      <x:c r="X166" s="18" t="str"/>
      <x:c r="Y166" s="18" t="str">
        <x:v>Afiliación, altas y bajas</x:v>
      </x:c>
      <x:c r="Z166" s="18" t="str">
        <x:v>Alta</x:v>
      </x:c>
      <x:c r="AA166" s="18" t="str">
        <x:v>S03</x:v>
      </x:c>
      <x:c r="AB166" s="18" t="str"/>
      <x:c r="AC166" s="18" t="str"/>
      <x:c r="AD166" s="18" t="str">
        <x:v>No</x:v>
      </x:c>
      <x:c r="AE166" s="18" t="str">
        <x:v>Práctico</x:v>
      </x:c>
      <x:c r="AF166" s="18" t="str">
        <x:v>B</x:v>
      </x:c>
      <x:c r="AG166" s="18" t="str">
        <x:v>B</x:v>
      </x:c>
      <x:c r="AH166" s="18" t="str">
        <x:v>Válida</x:v>
      </x:c>
      <x:c r="AI166" s="18" t="str">
        <x:v>01. Información oficial de la oposición\Exámenes oficiales anteriores\2025 Convocatoria 2023 - Examen extraordinario acceso libre.pdf</x:v>
      </x:c>
      <x:c r="AJ166" s="18" t="str">
        <x:v>https://www.seg-social.es/wps/portal/wss/internet/InformacionUtil/9950/88beb45d-ca83-4bab-8162-f94ef2894562</x:v>
      </x:c>
      <x:c r="AK166" s="18" t="str">
        <x:v>Texto PDF</x:v>
      </x:c>
      <x:c r="AL166" s="18" t="n">
        <x:v>100</x:v>
      </x:c>
      <x:c r="AM166" s="18" t="str">
        <x:v>Alta</x:v>
      </x:c>
      <x:c r="AN166" s="18" t="str">
        <x:v>Revisión jurídica individual</x:v>
      </x:c>
      <x:c r="AO166" s="18" t="str">
        <x:v>2025_conv2023_extraordinario-P01</x:v>
      </x:c>
      <x:c r="AP166" s="18" t="n">
        <x:v>1</x:v>
      </x:c>
    </x:row>
    <x:row r="167">
      <x:c r="A167" s="18" t="str">
        <x:v>2025_conv2023_extraordinario-P02</x:v>
      </x:c>
      <x:c r="B167" s="18" t="n">
        <x:v>2025</x:v>
      </x:c>
      <x:c r="C167" s="18" t="n">
        <x:v>2023</x:v>
      </x:c>
      <x:c r="D167" s="28" t="n">
        <x:v>45682</x:v>
      </x:c>
      <x:c r="E167" s="18" t="str">
        <x:v>Acceso libre</x:v>
      </x:c>
      <x:c r="F167" s="18" t="str">
        <x:v>Segunda parte</x:v>
      </x:c>
      <x:c r="G167" s="18" t="str">
        <x:v>Extraordinario</x:v>
      </x:c>
      <x:c r="H167" s="18" t="str">
        <x:v>Único</x:v>
      </x:c>
      <x:c r="I167" s="18" t="str">
        <x:v>Sí</x:v>
      </x:c>
      <x:c r="J167" s="18" t="str">
        <x:v>Cuestionario extraordinario sin modelo paralelo.</x:v>
      </x:c>
      <x:c r="K167" s="18" t="n">
        <x:v>2</x:v>
      </x:c>
      <x:c r="L167" s="18" t="str">
        <x:v>No</x:v>
      </x:c>
      <x:c r="M167" s="18" t="str">
        <x:v>Indique hasta qu é día tiene la empresa “El Licenciado Vidriera, S.L.” para comunicar la baja de Dña. CORNELIA BENTIBOLLI, si el día 12 de septiembre de 2024 fue jueves:</x:v>
      </x:c>
      <x:c r="N167" s="18" t="str">
        <x:v>Hasta el día 13 de septiembre de 2024.</x:v>
      </x:c>
      <x:c r="O167" s="18" t="str">
        <x:v>Hasta el día 16 de septiembre de 2024.</x:v>
      </x:c>
      <x:c r="P167" s="18" t="str">
        <x:v>Hasta el día 17 de septiembre de 2024.</x:v>
      </x:c>
      <x:c r="Q167" s="18" t="str">
        <x:v>Hasta el día 15 de septiembre de 2024.</x:v>
      </x:c>
      <x:c r="R167" s="18" t="str">
        <x:v>S03</x:v>
      </x:c>
      <x:c r="S167" s="18" t="n">
        <x:v>3</x:v>
      </x:c>
      <x:c r="T167" s="18" t="str">
        <x:v>Temario específico Seguridad Social</x:v>
      </x:c>
      <x:c r="U167" s="18" t="str">
        <x:v>Normas sobre afiliación. Altas y bajas en el régimen general. Procedimiento y efectos. El convenio especial y otras situaciones asimiladas a la del alta. Encuadramiento e inscripción.</x:v>
      </x:c>
      <x:c r="V167" s="18" t="str">
        <x:v>baja</x:v>
      </x:c>
      <x:c r="W167" s="18" t="str"/>
      <x:c r="X167" s="18" t="str"/>
      <x:c r="Y167" s="18" t="str">
        <x:v>Afiliación, altas y bajas</x:v>
      </x:c>
      <x:c r="Z167" s="18" t="str">
        <x:v>Alta</x:v>
      </x:c>
      <x:c r="AA167" s="18" t="str">
        <x:v>baja</x:v>
      </x:c>
      <x:c r="AB167" s="18" t="str"/>
      <x:c r="AC167" s="18" t="str"/>
      <x:c r="AD167" s="18" t="str">
        <x:v>No</x:v>
      </x:c>
      <x:c r="AE167" s="18" t="str">
        <x:v>Práctico</x:v>
      </x:c>
      <x:c r="AF167" s="18" t="str">
        <x:v>D</x:v>
      </x:c>
      <x:c r="AG167" s="18" t="str">
        <x:v>D</x:v>
      </x:c>
      <x:c r="AH167" s="18" t="str">
        <x:v>Válida</x:v>
      </x:c>
      <x:c r="AI167" s="18" t="str">
        <x:v>01. Información oficial de la oposición\Exámenes oficiales anteriores\2025 Convocatoria 2023 - Examen extraordinario acceso libre.pdf</x:v>
      </x:c>
      <x:c r="AJ167" s="18" t="str">
        <x:v>https://www.seg-social.es/wps/portal/wss/internet/InformacionUtil/9950/88beb45d-ca83-4bab-8162-f94ef2894562</x:v>
      </x:c>
      <x:c r="AK167" s="18" t="str">
        <x:v>Texto PDF</x:v>
      </x:c>
      <x:c r="AL167" s="18" t="n">
        <x:v>7</x:v>
      </x:c>
      <x:c r="AM167" s="18" t="str">
        <x:v>Media</x:v>
      </x:c>
      <x:c r="AN167" s="18" t="str">
        <x:v>Ponderación de palabras clave</x:v>
      </x:c>
      <x:c r="AO167" s="18" t="str">
        <x:v>2025_conv2023_extraordinario-P02</x:v>
      </x:c>
      <x:c r="AP167" s="18" t="n">
        <x:v>1</x:v>
      </x:c>
    </x:row>
    <x:row r="168">
      <x:c r="A168" s="18" t="str">
        <x:v>2025_conv2023_extraordinario-P03</x:v>
      </x:c>
      <x:c r="B168" s="18" t="n">
        <x:v>2025</x:v>
      </x:c>
      <x:c r="C168" s="18" t="n">
        <x:v>2023</x:v>
      </x:c>
      <x:c r="D168" s="28" t="n">
        <x:v>45682</x:v>
      </x:c>
      <x:c r="E168" s="18" t="str">
        <x:v>Acceso libre</x:v>
      </x:c>
      <x:c r="F168" s="18" t="str">
        <x:v>Segunda parte</x:v>
      </x:c>
      <x:c r="G168" s="18" t="str">
        <x:v>Extraordinario</x:v>
      </x:c>
      <x:c r="H168" s="18" t="str">
        <x:v>Único</x:v>
      </x:c>
      <x:c r="I168" s="18" t="str">
        <x:v>Sí</x:v>
      </x:c>
      <x:c r="J168" s="18" t="str">
        <x:v>Cuestionario extraordinario sin modelo paralelo.</x:v>
      </x:c>
      <x:c r="K168" s="18" t="n">
        <x:v>3</x:v>
      </x:c>
      <x:c r="L168" s="18" t="str">
        <x:v>No</x:v>
      </x:c>
      <x:c r="M168" s="18" t="str">
        <x:v>Las cuotas a la Seguridad Social y demás conceptos de Seguridad Social del mes de febrero de 2024 correspondiente a D. TOMAS RODAJA se reclamarán mediante:</x:v>
      </x:c>
      <x:c r="N168" s="18" t="str">
        <x:v>Reclamación de deuda.</x:v>
      </x:c>
      <x:c r="O168" s="18" t="str">
        <x:v>Acta de liquidación.</x:v>
      </x:c>
      <x:c r="P168" s="18" t="str">
        <x:v>No se reclaman porque el trabajador no está de alta.</x:v>
      </x:c>
      <x:c r="Q168" s="18" t="str">
        <x:v>Se reclaman por la Jurisdicción Social.</x:v>
      </x:c>
      <x:c r="R168" s="18" t="str">
        <x:v>S05</x:v>
      </x:c>
      <x:c r="S168" s="18" t="n">
        <x:v>5</x:v>
      </x:c>
      <x:c r="T168" s="18" t="str">
        <x:v>Temario específico Seguridad Social</x:v>
      </x:c>
      <x:c r="U168" s="18" t="str">
        <x:v>La gestión recaudatoria: concepto, competencia y objeto. Responsables del pago. Requisitos para el pago. Medios de pago. Control de recaudación. Revisión de los actos de gestión recaudatoria. La recaudación en periodo voluntario. Efectos de la falta de cotización en período reglamentario. Recaudación de otros recursos. Aplazamientos. Devolución de ingresos indebidos. Capital coste de pensiones.</x:v>
      </x:c>
      <x:c r="V168" s="18" t="str">
        <x:v>S05</x:v>
      </x:c>
      <x:c r="W168" s="18" t="str"/>
      <x:c r="X168" s="18" t="str"/>
      <x:c r="Y168" s="18" t="str">
        <x:v>Definiciones</x:v>
      </x:c>
      <x:c r="Z168" s="18" t="str">
        <x:v>Alta</x:v>
      </x:c>
      <x:c r="AA168" s="18" t="str">
        <x:v>S05</x:v>
      </x:c>
      <x:c r="AB168" s="18" t="str"/>
      <x:c r="AC168" s="18" t="str"/>
      <x:c r="AD168" s="18" t="str">
        <x:v>No</x:v>
      </x:c>
      <x:c r="AE168" s="18" t="str">
        <x:v>Práctico</x:v>
      </x:c>
      <x:c r="AF168" s="18" t="str">
        <x:v>B</x:v>
      </x:c>
      <x:c r="AG168" s="18" t="str">
        <x:v>B</x:v>
      </x:c>
      <x:c r="AH168" s="18" t="str">
        <x:v>Válida</x:v>
      </x:c>
      <x:c r="AI168" s="18" t="str">
        <x:v>01. Información oficial de la oposición\Exámenes oficiales anteriores\2025 Convocatoria 2023 - Examen extraordinario acceso libre.pdf</x:v>
      </x:c>
      <x:c r="AJ168" s="18" t="str">
        <x:v>https://www.seg-social.es/wps/portal/wss/internet/InformacionUtil/9950/88beb45d-ca83-4bab-8162-f94ef2894562</x:v>
      </x:c>
      <x:c r="AK168" s="18" t="str">
        <x:v>Texto PDF</x:v>
      </x:c>
      <x:c r="AL168" s="18" t="n">
        <x:v>100</x:v>
      </x:c>
      <x:c r="AM168" s="18" t="str">
        <x:v>Alta</x:v>
      </x:c>
      <x:c r="AN168" s="18" t="str">
        <x:v>Revisión jurídica individual</x:v>
      </x:c>
      <x:c r="AO168" s="18" t="str">
        <x:v>2025_conv2023_extraordinario-P03</x:v>
      </x:c>
      <x:c r="AP168" s="18" t="n">
        <x:v>1</x:v>
      </x:c>
    </x:row>
    <x:row r="169">
      <x:c r="A169" s="18" t="str">
        <x:v>2025_conv2023_extraordinario-P04</x:v>
      </x:c>
      <x:c r="B169" s="18" t="n">
        <x:v>2025</x:v>
      </x:c>
      <x:c r="C169" s="18" t="n">
        <x:v>2023</x:v>
      </x:c>
      <x:c r="D169" s="28" t="n">
        <x:v>45682</x:v>
      </x:c>
      <x:c r="E169" s="18" t="str">
        <x:v>Acceso libre</x:v>
      </x:c>
      <x:c r="F169" s="18" t="str">
        <x:v>Segunda parte</x:v>
      </x:c>
      <x:c r="G169" s="18" t="str">
        <x:v>Extraordinario</x:v>
      </x:c>
      <x:c r="H169" s="18" t="str">
        <x:v>Único</x:v>
      </x:c>
      <x:c r="I169" s="18" t="str">
        <x:v>Sí</x:v>
      </x:c>
      <x:c r="J169" s="18" t="str">
        <x:v>Cuestionario extraordinario sin modelo paralelo.</x:v>
      </x:c>
      <x:c r="K169" s="18" t="n">
        <x:v>4</x:v>
      </x:c>
      <x:c r="L169" s="18" t="str">
        <x:v>No</x:v>
      </x:c>
      <x:c r="M169" s="18" t="str">
        <x:v>Señale qué día se considera liquidada o pagada la deuda que la empresa “El Licenciado Vidriera, S.L.” mantenía con la Seguridad Social:</x:v>
      </x:c>
      <x:c r="N169" s="18" t="str">
        <x:v>El día 2 de octubre de 2024.</x:v>
      </x:c>
      <x:c r="O169" s="18" t="str">
        <x:v>El día 31 de octubre de 2024.</x:v>
      </x:c>
      <x:c r="P169" s="18" t="str">
        <x:v>El día 3 de octubre de 2024.</x:v>
      </x:c>
      <x:c r="Q169" s="18" t="str">
        <x:v>El día 1 de octubre de 2024.</x:v>
      </x:c>
      <x:c r="R169" s="18" t="str">
        <x:v>S05</x:v>
      </x:c>
      <x:c r="S169" s="18" t="n">
        <x:v>5</x:v>
      </x:c>
      <x:c r="T169" s="18" t="str">
        <x:v>Temario específico Seguridad Social</x:v>
      </x:c>
      <x:c r="U169" s="18" t="str">
        <x:v>La gestión recaudatoria: concepto, competencia y objeto. Responsables del pago. Requisitos para el pago. Medios de pago. Control de recaudación. Revisión de los actos de gestión recaudatoria. La recaudación en periodo voluntario. Efectos de la falta de cotización en período reglamentario. Recaudación de otros recursos. Aplazamientos. Devolución de ingresos indebidos. Capital coste de pensiones.</x:v>
      </x:c>
      <x:c r="V169" s="18" t="str">
        <x:v>S05</x:v>
      </x:c>
      <x:c r="W169" s="18" t="str"/>
      <x:c r="X169" s="18" t="str"/>
      <x:c r="Y169" s="18" t="str">
        <x:v>Recaudación</x:v>
      </x:c>
      <x:c r="Z169" s="18" t="str">
        <x:v>Media</x:v>
      </x:c>
      <x:c r="AA169" s="18" t="str">
        <x:v>S05</x:v>
      </x:c>
      <x:c r="AB169" s="18" t="str"/>
      <x:c r="AC169" s="18" t="str"/>
      <x:c r="AD169" s="18" t="str">
        <x:v>No</x:v>
      </x:c>
      <x:c r="AE169" s="18" t="str">
        <x:v>Práctico</x:v>
      </x:c>
      <x:c r="AF169" s="18" t="str">
        <x:v>C</x:v>
      </x:c>
      <x:c r="AG169" s="18" t="str">
        <x:v>C</x:v>
      </x:c>
      <x:c r="AH169" s="18" t="str">
        <x:v>Válida</x:v>
      </x:c>
      <x:c r="AI169" s="18" t="str">
        <x:v>01. Información oficial de la oposición\Exámenes oficiales anteriores\2025 Convocatoria 2023 - Examen extraordinario acceso libre.pdf</x:v>
      </x:c>
      <x:c r="AJ169" s="18" t="str">
        <x:v>https://www.seg-social.es/wps/portal/wss/internet/InformacionUtil/9950/88beb45d-ca83-4bab-8162-f94ef2894562</x:v>
      </x:c>
      <x:c r="AK169" s="18" t="str">
        <x:v>Texto PDF</x:v>
      </x:c>
      <x:c r="AL169" s="18" t="n">
        <x:v>100</x:v>
      </x:c>
      <x:c r="AM169" s="18" t="str">
        <x:v>Alta</x:v>
      </x:c>
      <x:c r="AN169" s="18" t="str">
        <x:v>Revisión jurídica individual</x:v>
      </x:c>
      <x:c r="AO169" s="18" t="str">
        <x:v>2025_conv2023_extraordinario-P04</x:v>
      </x:c>
      <x:c r="AP169" s="18" t="n">
        <x:v>1</x:v>
      </x:c>
    </x:row>
    <x:row r="170">
      <x:c r="A170" s="18" t="str">
        <x:v>2025_conv2023_extraordinario-P05</x:v>
      </x:c>
      <x:c r="B170" s="18" t="n">
        <x:v>2025</x:v>
      </x:c>
      <x:c r="C170" s="18" t="n">
        <x:v>2023</x:v>
      </x:c>
      <x:c r="D170" s="28" t="n">
        <x:v>45682</x:v>
      </x:c>
      <x:c r="E170" s="18" t="str">
        <x:v>Acceso libre</x:v>
      </x:c>
      <x:c r="F170" s="18" t="str">
        <x:v>Segunda parte</x:v>
      </x:c>
      <x:c r="G170" s="18" t="str">
        <x:v>Extraordinario</x:v>
      </x:c>
      <x:c r="H170" s="18" t="str">
        <x:v>Único</x:v>
      </x:c>
      <x:c r="I170" s="18" t="str">
        <x:v>Sí</x:v>
      </x:c>
      <x:c r="J170" s="18" t="str">
        <x:v>Cuestionario extraordinario sin modelo paralelo.</x:v>
      </x:c>
      <x:c r="K170" s="18" t="n">
        <x:v>5</x:v>
      </x:c>
      <x:c r="L170" s="18" t="str">
        <x:v>No</x:v>
      </x:c>
      <x:c r="M170" s="18" t="str">
        <x:v>Con respecto al alta de Dña. CORNELIA BENTIBOLLI en la empresa “El Licenciado Vidriera, S.L.” determine si a efectos de accidente de trabajo y enfermedad profesionales tiene que quedar encuadrada en la actividad económica de la empresa o en la ocupación de sempeñada, según la Tarifa de primas para la cotización a la Seguridad Social por accidentes de trabajo y enfermedades profesionales de la Disposición Adicional cuarta de la Ley 42/2006, de 28 de diciembre, Presupuestos Generales del Estado para el año 2007:</x:v>
      </x:c>
      <x:c r="N170" s="18" t="str">
        <x:v>Tiene que quedar encuadrada en la ocupación “A, Trabajos exclusivos de oficina”.</x:v>
      </x:c>
      <x:c r="O170" s="18" t="str">
        <x:v>Queda encuadrada en la actividad económica de la empresa, CNAE “41 Construcción de edificios”.</x:v>
      </x:c>
      <x:c r="P170" s="18" t="str">
        <x:v>Se encuadra en la actividad económica de la empresa, CNAE “411 Promoción inmobiliaria”.</x:v>
      </x:c>
      <x:c r="Q170" s="18" t="str">
        <x:v>Se encuadra en la ocupación “D Personal de oficios en instalaciones y reparaciones en edificios, obras y trabajos de construcción en general”.</x:v>
      </x:c>
      <x:c r="R170" s="18" t="str">
        <x:v>S04</x:v>
      </x:c>
      <x:c r="S170" s="18" t="n">
        <x:v>4</x:v>
      </x:c>
      <x:c r="T170" s="18" t="str">
        <x:v>Temario específico Seguridad Social</x:v>
      </x:c>
      <x:c r="U170" s="18" t="str">
        <x:v>La cotización a la Seguridad Social: normas comunes del sistema. La liquidación de cuotas. El régimen general de la Seguridad Social. Supuestos especiales. Bases y tipos de cotización. Liquidación de otras deudas.</x:v>
      </x:c>
      <x:c r="V170" s="18" t="str">
        <x:v>alta</x:v>
      </x:c>
      <x:c r="W170" s="18" t="str">
        <x:v>Ley 42/2006</x:v>
      </x:c>
      <x:c r="X170" s="18" t="str"/>
      <x:c r="Y170" s="18" t="str">
        <x:v>Cotización</x:v>
      </x:c>
      <x:c r="Z170" s="18" t="str">
        <x:v>Alta</x:v>
      </x:c>
      <x:c r="AA170" s="18" t="str">
        <x:v>alta</x:v>
      </x:c>
      <x:c r="AB170" s="18" t="str"/>
      <x:c r="AC170" s="18" t="str"/>
      <x:c r="AD170" s="18" t="str">
        <x:v>No</x:v>
      </x:c>
      <x:c r="AE170" s="18" t="str">
        <x:v>Práctico</x:v>
      </x:c>
      <x:c r="AF170" s="18" t="str">
        <x:v>A</x:v>
      </x:c>
      <x:c r="AG170" s="18" t="str">
        <x:v>A</x:v>
      </x:c>
      <x:c r="AH170" s="18" t="str">
        <x:v>Válida</x:v>
      </x:c>
      <x:c r="AI170" s="18" t="str">
        <x:v>01. Información oficial de la oposición\Exámenes oficiales anteriores\2025 Convocatoria 2023 - Examen extraordinario acceso libre.pdf</x:v>
      </x:c>
      <x:c r="AJ170" s="18" t="str">
        <x:v>https://www.seg-social.es/wps/portal/wss/internet/InformacionUtil/9950/88beb45d-ca83-4bab-8162-f94ef2894562</x:v>
      </x:c>
      <x:c r="AK170" s="18" t="str">
        <x:v>Texto PDF</x:v>
      </x:c>
      <x:c r="AL170" s="18" t="n">
        <x:v>100</x:v>
      </x:c>
      <x:c r="AM170" s="18" t="str">
        <x:v>Alta</x:v>
      </x:c>
      <x:c r="AN170" s="18" t="str">
        <x:v>Revisión jurídica individual</x:v>
      </x:c>
      <x:c r="AO170" s="18" t="str">
        <x:v>2025_conv2023_extraordinario-P05</x:v>
      </x:c>
      <x:c r="AP170" s="18" t="n">
        <x:v>1</x:v>
      </x:c>
    </x:row>
    <x:row r="171">
      <x:c r="A171" s="18" t="str">
        <x:v>2025_conv2023_extraordinario-P06</x:v>
      </x:c>
      <x:c r="B171" s="18" t="n">
        <x:v>2025</x:v>
      </x:c>
      <x:c r="C171" s="18" t="n">
        <x:v>2023</x:v>
      </x:c>
      <x:c r="D171" s="28" t="n">
        <x:v>45682</x:v>
      </x:c>
      <x:c r="E171" s="18" t="str">
        <x:v>Acceso libre</x:v>
      </x:c>
      <x:c r="F171" s="18" t="str">
        <x:v>Segunda parte</x:v>
      </x:c>
      <x:c r="G171" s="18" t="str">
        <x:v>Extraordinario</x:v>
      </x:c>
      <x:c r="H171" s="18" t="str">
        <x:v>Único</x:v>
      </x:c>
      <x:c r="I171" s="18" t="str">
        <x:v>Sí</x:v>
      </x:c>
      <x:c r="J171" s="18" t="str">
        <x:v>Cuestionario extraordinario sin modelo paralelo.</x:v>
      </x:c>
      <x:c r="K171" s="18" t="n">
        <x:v>6</x:v>
      </x:c>
      <x:c r="L171" s="18" t="str">
        <x:v>No</x:v>
      </x:c>
      <x:c r="M171" s="18" t="str">
        <x:v>Indique cuándo finaliza el plazo reglamentario de ingreso de la reclamación de deuda del importe del subsidio de la incapacidad temporal, consecuencia de la declaración de responsabilidad empresarial a la empresa “El Licenciado Vidriera, S.L.”:</x:v>
      </x:c>
      <x:c r="N171" s="18" t="str">
        <x:v>Hasta el día 1 de julio de 2024, porque el día 30 de junio de 2024 es domingo.</x:v>
      </x:c>
      <x:c r="O171" s="18" t="str">
        <x:v>Hasta el día 5 de julio de 2024.</x:v>
      </x:c>
      <x:c r="P171" s="18" t="str">
        <x:v>Hasta el 30 de junio de 2024.</x:v>
      </x:c>
      <x:c r="Q171" s="18" t="str">
        <x:v>Hasta 31 de julio de 2024. FÁTIMA ESPINOSA de 39 años de edad, es trabajadora por cuenta propia dada de alta en el Régimen Especial de trabajadores Autónomos (RETA) desde 25/08/2020. Ha dado a luz a una hija el 15/09/2024. Fátima ha permanecido ingresada en el hospital tras el parto, hasta el 25/09/2024, fecha en la que le han dado el alta. CARLOS BERMEJO, de 37 años de edad, está casado con FÁTIMA. CARLOS ha trabajado exclusivamente por cuenta ajena en dos empresas a lo largo de su vida laboral, en la “Aluminios Sánchez” de 15/11/2007 a 15/09/2008 y en “El Licenciado Vidriera, S.L” desde 01/05/2024 a la actualidad puesto que sigue de alta.</x:v>
      </x:c>
      <x:c r="R171" s="18" t="str">
        <x:v>S05</x:v>
      </x:c>
      <x:c r="S171" s="18" t="n">
        <x:v>5</x:v>
      </x:c>
      <x:c r="T171" s="18" t="str">
        <x:v>Temario específico Seguridad Social</x:v>
      </x:c>
      <x:c r="U171" s="18" t="str">
        <x:v>La gestión recaudatoria: concepto, competencia y objeto. Responsables del pago. Requisitos para el pago. Medios de pago. Control de recaudación. Revisión de los actos de gestión recaudatoria. La recaudación en periodo voluntario. Efectos de la falta de cotización en período reglamentario. Recaudación de otros recursos. Aplazamientos. Devolución de ingresos indebidos. Capital coste de pensiones.</x:v>
      </x:c>
      <x:c r="V171" s="18" t="str">
        <x:v>incapacidad temporal</x:v>
      </x:c>
      <x:c r="W171" s="18" t="str"/>
      <x:c r="X171" s="18" t="str"/>
      <x:c r="Y171" s="18" t="str">
        <x:v>Cálculos</x:v>
      </x:c>
      <x:c r="Z171" s="18" t="str">
        <x:v>Media</x:v>
      </x:c>
      <x:c r="AA171" s="18" t="str">
        <x:v>incapacidad temporal</x:v>
      </x:c>
      <x:c r="AB171" s="18" t="str"/>
      <x:c r="AC171" s="18" t="str"/>
      <x:c r="AD171" s="18" t="str">
        <x:v>No</x:v>
      </x:c>
      <x:c r="AE171" s="18" t="str">
        <x:v>Práctico</x:v>
      </x:c>
      <x:c r="AF171" s="18" t="str">
        <x:v>D</x:v>
      </x:c>
      <x:c r="AG171" s="18" t="str">
        <x:v>D</x:v>
      </x:c>
      <x:c r="AH171" s="18" t="str">
        <x:v>Válida</x:v>
      </x:c>
      <x:c r="AI171" s="18" t="str">
        <x:v>01. Información oficial de la oposición\Exámenes oficiales anteriores\2025 Convocatoria 2023 - Examen extraordinario acceso libre.pdf</x:v>
      </x:c>
      <x:c r="AJ171" s="18" t="str">
        <x:v>https://www.seg-social.es/wps/portal/wss/internet/InformacionUtil/9950/88beb45d-ca83-4bab-8162-f94ef2894562</x:v>
      </x:c>
      <x:c r="AK171" s="18" t="str">
        <x:v>Texto PDF</x:v>
      </x:c>
      <x:c r="AL171" s="18" t="n">
        <x:v>100</x:v>
      </x:c>
      <x:c r="AM171" s="18" t="str">
        <x:v>Alta</x:v>
      </x:c>
      <x:c r="AN171" s="18" t="str">
        <x:v>Regla jurídica determinista</x:v>
      </x:c>
      <x:c r="AO171" s="18" t="str">
        <x:v>2025_conv2023_extraordinario-P06</x:v>
      </x:c>
      <x:c r="AP171" s="18" t="n">
        <x:v>1</x:v>
      </x:c>
    </x:row>
    <x:row r="172">
      <x:c r="A172" s="18" t="str">
        <x:v>2025_conv2023_extraordinario-P07</x:v>
      </x:c>
      <x:c r="B172" s="18" t="n">
        <x:v>2025</x:v>
      </x:c>
      <x:c r="C172" s="18" t="n">
        <x:v>2023</x:v>
      </x:c>
      <x:c r="D172" s="28" t="n">
        <x:v>45682</x:v>
      </x:c>
      <x:c r="E172" s="18" t="str">
        <x:v>Acceso libre</x:v>
      </x:c>
      <x:c r="F172" s="18" t="str">
        <x:v>Segunda parte</x:v>
      </x:c>
      <x:c r="G172" s="18" t="str">
        <x:v>Extraordinario</x:v>
      </x:c>
      <x:c r="H172" s="18" t="str">
        <x:v>Único</x:v>
      </x:c>
      <x:c r="I172" s="18" t="str">
        <x:v>Sí</x:v>
      </x:c>
      <x:c r="J172" s="18" t="str">
        <x:v>Cuestionario extraordinario sin modelo paralelo.</x:v>
      </x:c>
      <x:c r="K172" s="18" t="n">
        <x:v>7</x:v>
      </x:c>
      <x:c r="L172" s="18" t="str">
        <x:v>No</x:v>
      </x:c>
      <x:c r="M172" s="18" t="str">
        <x:v>A efectos de reconocer el derecho al subsidio por nacimiento y cuidado de menor de Dña . FÁTIMA ESPINOSA, al ser responsable del ingreso de las cuotas del RETA ¿se presumen ingresadas sus cotizaciones a la seguridad Social?</x:v>
      </x:c>
      <x:c r="N172" s="18" t="str">
        <x:v>No, las cotizaciones a la Seguridad Social de los trabajadores autónomos nunca se presumen ingresadas, al ser los responsables del ingreso de las cuotas.</x:v>
      </x:c>
      <x:c r="O172" s="18" t="str">
        <x:v>Sí, se presumen ingresadas las cotizaciones correspondientes a agosto, julio y junio siempre que su ingreso aún no conste en los sistemas de información de la Seguridad Social.</x:v>
      </x:c>
      <x:c r="P172" s="18" t="str">
        <x:v>Sí, se presumen ingresadas las cotizaciones correspondientes al mes de septiembre, agosto y julio siempre que su ingreso aún no conste en los sistemas de información de la Seguridad Social.</x:v>
      </x:c>
      <x:c r="Q172" s="18" t="str">
        <x:v>Sí, se presume ingresada únicamente la cotización del mes de septiembre.</x:v>
      </x:c>
      <x:c r="R172" s="18" t="str">
        <x:v>S09</x:v>
      </x:c>
      <x:c r="S172" s="18" t="n">
        <x:v>9</x:v>
      </x:c>
      <x:c r="T172" s="18" t="str">
        <x:v>Temario específico Seguridad Social</x:v>
      </x:c>
      <x:c r="U172" s="18" t="str">
        <x:v>Nacimiento y cuidado de menor. Ejercicio corresponsable del cuidado del lactante. Prestación por riesgo durante el embarazo. Prestación por riesgo durante la lactancia natural. Asignación económica por hijo o menor acogido a cargo. Prestación económica por nacimiento o adopción de hijo en supuestos de familias numerosas o monoparentales y en los casos de madres o padres con discapacidad. Prestación por parto o adopción Subsidio por cuidado de menores afectados por cáncer u otra enfermedad grave.</x:v>
      </x:c>
      <x:c r="V172" s="18" t="str">
        <x:v>nacimiento y cuidado de menor</x:v>
      </x:c>
      <x:c r="W172" s="18" t="str"/>
      <x:c r="X172" s="18" t="str"/>
      <x:c r="Y172" s="18" t="str">
        <x:v>Prestaciones familiares</x:v>
      </x:c>
      <x:c r="Z172" s="18" t="str">
        <x:v>Media</x:v>
      </x:c>
      <x:c r="AA172" s="18" t="str">
        <x:v>nacimiento y cuidado de menor</x:v>
      </x:c>
      <x:c r="AB172" s="18" t="str"/>
      <x:c r="AC172" s="18" t="str"/>
      <x:c r="AD172" s="18" t="str">
        <x:v>No</x:v>
      </x:c>
      <x:c r="AE172" s="18" t="str">
        <x:v>Práctico</x:v>
      </x:c>
      <x:c r="AF172" s="18" t="str">
        <x:v>C</x:v>
      </x:c>
      <x:c r="AG172" s="18" t="str">
        <x:v>C</x:v>
      </x:c>
      <x:c r="AH172" s="18" t="str">
        <x:v>Válida</x:v>
      </x:c>
      <x:c r="AI172" s="18" t="str">
        <x:v>01. Información oficial de la oposición\Exámenes oficiales anteriores\2025 Convocatoria 2023 - Examen extraordinario acceso libre.pdf</x:v>
      </x:c>
      <x:c r="AJ172" s="18" t="str">
        <x:v>https://www.seg-social.es/wps/portal/wss/internet/InformacionUtil/9950/88beb45d-ca83-4bab-8162-f94ef2894562</x:v>
      </x:c>
      <x:c r="AK172" s="18" t="str">
        <x:v>Texto PDF</x:v>
      </x:c>
      <x:c r="AL172" s="18" t="n">
        <x:v>100</x:v>
      </x:c>
      <x:c r="AM172" s="18" t="str">
        <x:v>Alta</x:v>
      </x:c>
      <x:c r="AN172" s="18" t="str">
        <x:v>Regla jurídica determinista</x:v>
      </x:c>
      <x:c r="AO172" s="18" t="str">
        <x:v>2025_conv2023_extraordinario-P07</x:v>
      </x:c>
      <x:c r="AP172" s="18" t="n">
        <x:v>1</x:v>
      </x:c>
    </x:row>
    <x:row r="173">
      <x:c r="A173" s="18" t="str">
        <x:v>2025_conv2023_extraordinario-P08</x:v>
      </x:c>
      <x:c r="B173" s="18" t="n">
        <x:v>2025</x:v>
      </x:c>
      <x:c r="C173" s="18" t="n">
        <x:v>2023</x:v>
      </x:c>
      <x:c r="D173" s="28" t="n">
        <x:v>45682</x:v>
      </x:c>
      <x:c r="E173" s="18" t="str">
        <x:v>Acceso libre</x:v>
      </x:c>
      <x:c r="F173" s="18" t="str">
        <x:v>Segunda parte</x:v>
      </x:c>
      <x:c r="G173" s="18" t="str">
        <x:v>Extraordinario</x:v>
      </x:c>
      <x:c r="H173" s="18" t="str">
        <x:v>Único</x:v>
      </x:c>
      <x:c r="I173" s="18" t="str">
        <x:v>Sí</x:v>
      </x:c>
      <x:c r="J173" s="18" t="str">
        <x:v>Cuestionario extraordinario sin modelo paralelo.</x:v>
      </x:c>
      <x:c r="K173" s="18" t="n">
        <x:v>8</x:v>
      </x:c>
      <x:c r="L173" s="18" t="str">
        <x:v>No</x:v>
      </x:c>
      <x:c r="M173" s="18" t="str">
        <x:v>¿Tienen Dña. FÁTIMA y D. CARLOS derecho a la ampliación de la prestación por nacimiento y cuidado de menor por ingreso hospitalario?</x:v>
      </x:c>
      <x:c r="N173" s="18" t="str">
        <x:v>Sí, ambos progenitores tienen derecho a una semana de ampliación de la prestación por nacimiento y cuidado de menor.</x:v>
      </x:c>
      <x:c r="O173" s="18" t="str">
        <x:v>Sí, Dña. FÁTIMA tiene derecho a una semana de ampliación de la prestación por nacimiento y cuidado de menor al haber estado ingresada tras el parto.</x:v>
      </x:c>
      <x:c r="P173" s="18" t="str">
        <x:v>Sí, ambos progenitores tienen derecho a una ampliación de 10 días pues es el tiempo que ha permanecido ingresada Dña. FÁTIMA tras el parto.</x:v>
      </x:c>
      <x:c r="Q173" s="18" t="str">
        <x:v>No, ninguno de los progenitores tiene derecho a la ampliación de la prestación puesto que el ingreso hospitalario no ha sido del menor recién nacido, sino de la madre.</x:v>
      </x:c>
      <x:c r="R173" s="18" t="str">
        <x:v>S09</x:v>
      </x:c>
      <x:c r="S173" s="18" t="n">
        <x:v>9</x:v>
      </x:c>
      <x:c r="T173" s="18" t="str">
        <x:v>Temario específico Seguridad Social</x:v>
      </x:c>
      <x:c r="U173" s="18" t="str">
        <x:v>Nacimiento y cuidado de menor. Ejercicio corresponsable del cuidado del lactante. Prestación por riesgo durante el embarazo. Prestación por riesgo durante la lactancia natural. Asignación económica por hijo o menor acogido a cargo. Prestación económica por nacimiento o adopción de hijo en supuestos de familias numerosas o monoparentales y en los casos de madres o padres con discapacidad. Prestación por parto o adopción Subsidio por cuidado de menores afectados por cáncer u otra enfermedad grave.</x:v>
      </x:c>
      <x:c r="V173" s="18" t="str">
        <x:v>nacimiento y cuidado de menor</x:v>
      </x:c>
      <x:c r="W173" s="18" t="str"/>
      <x:c r="X173" s="18" t="str"/>
      <x:c r="Y173" s="18" t="str">
        <x:v>Prestaciones familiares</x:v>
      </x:c>
      <x:c r="Z173" s="18" t="str">
        <x:v>Media</x:v>
      </x:c>
      <x:c r="AA173" s="18" t="str">
        <x:v>nacimiento y cuidado de menor</x:v>
      </x:c>
      <x:c r="AB173" s="18" t="str"/>
      <x:c r="AC173" s="18" t="str"/>
      <x:c r="AD173" s="18" t="str">
        <x:v>No</x:v>
      </x:c>
      <x:c r="AE173" s="18" t="str">
        <x:v>Práctico</x:v>
      </x:c>
      <x:c r="AF173" s="18" t="str">
        <x:v>D</x:v>
      </x:c>
      <x:c r="AG173" s="18" t="str">
        <x:v>D</x:v>
      </x:c>
      <x:c r="AH173" s="18" t="str">
        <x:v>Válida</x:v>
      </x:c>
      <x:c r="AI173" s="18" t="str">
        <x:v>01. Información oficial de la oposición\Exámenes oficiales anteriores\2025 Convocatoria 2023 - Examen extraordinario acceso libre.pdf</x:v>
      </x:c>
      <x:c r="AJ173" s="18" t="str">
        <x:v>https://www.seg-social.es/wps/portal/wss/internet/InformacionUtil/9950/88beb45d-ca83-4bab-8162-f94ef2894562</x:v>
      </x:c>
      <x:c r="AK173" s="18" t="str">
        <x:v>Texto PDF</x:v>
      </x:c>
      <x:c r="AL173" s="18" t="n">
        <x:v>100</x:v>
      </x:c>
      <x:c r="AM173" s="18" t="str">
        <x:v>Alta</x:v>
      </x:c>
      <x:c r="AN173" s="18" t="str">
        <x:v>Regla jurídica determinista</x:v>
      </x:c>
      <x:c r="AO173" s="18" t="str">
        <x:v>2025_conv2023_extraordinario-P08</x:v>
      </x:c>
      <x:c r="AP173" s="18" t="n">
        <x:v>1</x:v>
      </x:c>
    </x:row>
    <x:row r="174">
      <x:c r="A174" s="18" t="str">
        <x:v>2025_conv2023_extraordinario-P09</x:v>
      </x:c>
      <x:c r="B174" s="18" t="n">
        <x:v>2025</x:v>
      </x:c>
      <x:c r="C174" s="18" t="n">
        <x:v>2023</x:v>
      </x:c>
      <x:c r="D174" s="28" t="n">
        <x:v>45682</x:v>
      </x:c>
      <x:c r="E174" s="18" t="str">
        <x:v>Acceso libre</x:v>
      </x:c>
      <x:c r="F174" s="18" t="str">
        <x:v>Segunda parte</x:v>
      </x:c>
      <x:c r="G174" s="18" t="str">
        <x:v>Extraordinario</x:v>
      </x:c>
      <x:c r="H174" s="18" t="str">
        <x:v>Único</x:v>
      </x:c>
      <x:c r="I174" s="18" t="str">
        <x:v>Sí</x:v>
      </x:c>
      <x:c r="J174" s="18" t="str">
        <x:v>Cuestionario extraordinario sin modelo paralelo.</x:v>
      </x:c>
      <x:c r="K174" s="18" t="n">
        <x:v>9</x:v>
      </x:c>
      <x:c r="L174" s="18" t="str">
        <x:v>No</x:v>
      </x:c>
      <x:c r="M174" s="18" t="str">
        <x:v>¿Tiene carencia suficiente D. CARLOS BERMEJO para acceder a la prestación por nacimiento y cuidado de menor?</x:v>
      </x:c>
      <x:c r="N174" s="18" t="str">
        <x:v>No, puesto que no tiene cotizados 180 días en los siete años inmediatamente anteriores al inicio del descanso.</x:v>
      </x:c>
      <x:c r="O174" s="18" t="str">
        <x:v>No, debido a que no cuenta con al menos 360 días cotizados a lo largo de su vida laboral.</x:v>
      </x:c>
      <x:c r="P174" s="18" t="str">
        <x:v>Para la prestación por nacimiento y cuidado de menor, no es necesario contar con un periodo mínimo de cotización en ningún caso.</x:v>
      </x:c>
      <x:c r="Q174" s="18" t="str">
        <x:v>Sí, ya que acredita, en el momento del inicio del descanso, más de 360 días cotizados a lo largo de su vida laboral. CAROLINA PÉREZ nació el 20/07/1980 y trabaja actualmente en la empresa “El Licenciado Vidriera, S.L ”. En 1999, con 18 años se casó con PEDRO RAMÍREZ, de 40 años, con el que tuvo un hijo: LUIS (30/11/1999). En 2006, se divorciaron. PEDRO se jubiló el 15 de enero de 2024 cuando cumplía los 65 años, reconociéndosele una pensión por el régimen general con un importe bruto de 2.500 €, para cuyo cálculo se tuvo en cuenta una base reguladora de 2.800 €. PEDRO falleció pocos días después, concretamente, el 31 de enero de 2024. LUIS, hijo de CAROLINA Y PEDRO, está cursando el último año de una ingeniería y trabaja ocasionalmente en una escuela de esquí durante la temporada. Por esos trabajos ingresa 5.000 euros al año. CAROLINA PÉREZ posteriormente tras su divorcio formó una pareja de hecho con ALBERTO SANTOS, inscribiéndose como tal y formalizando su situación como pareja de hecho el 12/1/2007. De esa relación nacieron: MARINA (15/12/2007) y JUAN (20/11/2024), hijo del que estaba embarazada cuando ALBERTO falleció a causa de una enfermedad común el 15 de julio de 2024. ALBERTO percibía una pensión de jubilación del régimen general desde 1 de marzo de 2024 por importe bruto de 1.700 euros y Carolina tenía unos ingresos brutos mensuales de 3.000 euros por el desempeño de su trabajo en la empresa “El Licenciado Vidriera, S.L”, ninguno de los dos tenía otros ingresos adicionales. MARINA, hija de CAROLINA Y ALBERTO, tiene reconocida una discapacidad del 65% desde el 15/12/2005, y trabaja desde el 1 de enero de 2024, trabajos por los que recibe unos ingresos brutos anuales de 18.000 euros.</x:v>
      </x:c>
      <x:c r="R174" s="18" t="str">
        <x:v>S09</x:v>
      </x:c>
      <x:c r="S174" s="18" t="n">
        <x:v>9</x:v>
      </x:c>
      <x:c r="T174" s="18" t="str">
        <x:v>Temario específico Seguridad Social</x:v>
      </x:c>
      <x:c r="U174" s="18" t="str">
        <x:v>Nacimiento y cuidado de menor. Ejercicio corresponsable del cuidado del lactante. Prestación por riesgo durante el embarazo. Prestación por riesgo durante la lactancia natural. Asignación económica por hijo o menor acogido a cargo. Prestación económica por nacimiento o adopción de hijo en supuestos de familias numerosas o monoparentales y en los casos de madres o padres con discapacidad. Prestación por parto o adopción Subsidio por cuidado de menores afectados por cáncer u otra enfermedad grave.</x:v>
      </x:c>
      <x:c r="V174" s="18" t="str">
        <x:v>nacimiento y cuidado de menor</x:v>
      </x:c>
      <x:c r="W174" s="18" t="str"/>
      <x:c r="X174" s="18" t="str"/>
      <x:c r="Y174" s="18" t="str">
        <x:v>Requisitos</x:v>
      </x:c>
      <x:c r="Z174" s="18" t="str">
        <x:v>Media</x:v>
      </x:c>
      <x:c r="AA174" s="18" t="str">
        <x:v>nacimiento y cuidado de menor</x:v>
      </x:c>
      <x:c r="AB174" s="18" t="str"/>
      <x:c r="AC174" s="18" t="str"/>
      <x:c r="AD174" s="18" t="str">
        <x:v>No</x:v>
      </x:c>
      <x:c r="AE174" s="18" t="str">
        <x:v>Práctico</x:v>
      </x:c>
      <x:c r="AF174" s="18" t="str">
        <x:v>D</x:v>
      </x:c>
      <x:c r="AG174" s="18" t="str">
        <x:v>D</x:v>
      </x:c>
      <x:c r="AH174" s="18" t="str">
        <x:v>Válida</x:v>
      </x:c>
      <x:c r="AI174" s="18" t="str">
        <x:v>01. Información oficial de la oposición\Exámenes oficiales anteriores\2025 Convocatoria 2023 - Examen extraordinario acceso libre.pdf</x:v>
      </x:c>
      <x:c r="AJ174" s="18" t="str">
        <x:v>https://www.seg-social.es/wps/portal/wss/internet/InformacionUtil/9950/88beb45d-ca83-4bab-8162-f94ef2894562</x:v>
      </x:c>
      <x:c r="AK174" s="18" t="str">
        <x:v>Texto PDF</x:v>
      </x:c>
      <x:c r="AL174" s="18" t="n">
        <x:v>100</x:v>
      </x:c>
      <x:c r="AM174" s="18" t="str">
        <x:v>Alta</x:v>
      </x:c>
      <x:c r="AN174" s="18" t="str">
        <x:v>Regla jurídica determinista</x:v>
      </x:c>
      <x:c r="AO174" s="18" t="str">
        <x:v>2025_conv2023_extraordinario-P09</x:v>
      </x:c>
      <x:c r="AP174" s="18" t="n">
        <x:v>1</x:v>
      </x:c>
    </x:row>
    <x:row r="175">
      <x:c r="A175" s="18" t="str">
        <x:v>2025_conv2023_extraordinario-P10</x:v>
      </x:c>
      <x:c r="B175" s="18" t="n">
        <x:v>2025</x:v>
      </x:c>
      <x:c r="C175" s="18" t="n">
        <x:v>2023</x:v>
      </x:c>
      <x:c r="D175" s="28" t="n">
        <x:v>45682</x:v>
      </x:c>
      <x:c r="E175" s="18" t="str">
        <x:v>Acceso libre</x:v>
      </x:c>
      <x:c r="F175" s="18" t="str">
        <x:v>Segunda parte</x:v>
      </x:c>
      <x:c r="G175" s="18" t="str">
        <x:v>Extraordinario</x:v>
      </x:c>
      <x:c r="H175" s="18" t="str">
        <x:v>Único</x:v>
      </x:c>
      <x:c r="I175" s="18" t="str">
        <x:v>Sí</x:v>
      </x:c>
      <x:c r="J175" s="18" t="str">
        <x:v>Cuestionario extraordinario sin modelo paralelo.</x:v>
      </x:c>
      <x:c r="K175" s="18" t="n">
        <x:v>10</x:v>
      </x:c>
      <x:c r="L175" s="18" t="str">
        <x:v>No</x:v>
      </x:c>
      <x:c r="M175" s="18" t="str">
        <x:v>¿Cuál sería el importe inicial de la pensión mensual de orfandad de LUIS, hijo de D. PEDRO RAMÍREZ?</x:v>
      </x:c>
      <x:c r="N175" s="18" t="str">
        <x:v>Luis no tiene derecho a pensión de orfandad.</x:v>
      </x:c>
      <x:c r="O175" s="18" t="str">
        <x:v>280 euros / mes</x:v>
      </x:c>
      <x:c r="P175" s="18" t="str">
        <x:v>500 euros / mes</x:v>
      </x:c>
      <x:c r="Q175" s="18" t="str">
        <x:v>560 euros / mes</x:v>
      </x:c>
      <x:c r="R175" s="18" t="str">
        <x:v>S11</x:v>
      </x:c>
      <x:c r="S175" s="18" t="n">
        <x:v>11</x:v>
      </x:c>
      <x:c r="T175" s="18" t="str">
        <x:v>Temario específico Seguridad Social</x:v>
      </x:c>
      <x:c r="U175" s="18" t="str">
        <x:v>La protección por muerte y supervivencia. Hecho causante. Requisitos para las prestaciones de viudedad, orfandad y en favor de familiares. Cuantía de las prestaciones. Compatibilidad. Suspensión y Extinción. Normas específicas en caso de muerte derivada de accidente de trabajo o enfermedad profesional. Efectividad económica de las prestaciones. El auxilio por defunción.</x:v>
      </x:c>
      <x:c r="V175" s="18" t="str">
        <x:v>orfandad</x:v>
      </x:c>
      <x:c r="W175" s="18" t="str"/>
      <x:c r="X175" s="18" t="str"/>
      <x:c r="Y175" s="18" t="str">
        <x:v>Cálculos</x:v>
      </x:c>
      <x:c r="Z175" s="18" t="str">
        <x:v>Media</x:v>
      </x:c>
      <x:c r="AA175" s="18" t="str">
        <x:v>orfandad</x:v>
      </x:c>
      <x:c r="AB175" s="18" t="str"/>
      <x:c r="AC175" s="18" t="str"/>
      <x:c r="AD175" s="18" t="str">
        <x:v>No</x:v>
      </x:c>
      <x:c r="AE175" s="18" t="str">
        <x:v>Práctico</x:v>
      </x:c>
      <x:c r="AF175" s="18" t="str">
        <x:v>D</x:v>
      </x:c>
      <x:c r="AG175" s="18" t="str">
        <x:v>D</x:v>
      </x:c>
      <x:c r="AH175" s="18" t="str">
        <x:v>Válida</x:v>
      </x:c>
      <x:c r="AI175" s="18" t="str">
        <x:v>01. Información oficial de la oposición\Exámenes oficiales anteriores\2025 Convocatoria 2023 - Examen extraordinario acceso libre.pdf</x:v>
      </x:c>
      <x:c r="AJ175" s="18" t="str">
        <x:v>https://www.seg-social.es/wps/portal/wss/internet/InformacionUtil/9950/88beb45d-ca83-4bab-8162-f94ef2894562</x:v>
      </x:c>
      <x:c r="AK175" s="18" t="str">
        <x:v>Texto PDF</x:v>
      </x:c>
      <x:c r="AL175" s="18" t="n">
        <x:v>100</x:v>
      </x:c>
      <x:c r="AM175" s="18" t="str">
        <x:v>Alta</x:v>
      </x:c>
      <x:c r="AN175" s="18" t="str">
        <x:v>Regla jurídica determinista</x:v>
      </x:c>
      <x:c r="AO175" s="18" t="str">
        <x:v>2025_conv2023_extraordinario-P10</x:v>
      </x:c>
      <x:c r="AP175" s="18" t="n">
        <x:v>1</x:v>
      </x:c>
    </x:row>
    <x:row r="176">
      <x:c r="A176" s="18" t="str">
        <x:v>2025_conv2023_extraordinario-P11</x:v>
      </x:c>
      <x:c r="B176" s="18" t="n">
        <x:v>2025</x:v>
      </x:c>
      <x:c r="C176" s="18" t="n">
        <x:v>2023</x:v>
      </x:c>
      <x:c r="D176" s="28" t="n">
        <x:v>45682</x:v>
      </x:c>
      <x:c r="E176" s="18" t="str">
        <x:v>Acceso libre</x:v>
      </x:c>
      <x:c r="F176" s="18" t="str">
        <x:v>Segunda parte</x:v>
      </x:c>
      <x:c r="G176" s="18" t="str">
        <x:v>Extraordinario</x:v>
      </x:c>
      <x:c r="H176" s="18" t="str">
        <x:v>Único</x:v>
      </x:c>
      <x:c r="I176" s="18" t="str">
        <x:v>Sí</x:v>
      </x:c>
      <x:c r="J176" s="18" t="str">
        <x:v>Cuestionario extraordinario sin modelo paralelo.</x:v>
      </x:c>
      <x:c r="K176" s="18" t="n">
        <x:v>11</x:v>
      </x:c>
      <x:c r="L176" s="18" t="str">
        <x:v>No</x:v>
      </x:c>
      <x:c r="M176" s="18" t="str">
        <x:v>¿A partir de qu é fecha nacerían los efectos económicos de la pensión de viudedad solicitada por Dña. CAROLINA PÉREZ el 1 de octubre de 2024 por el fallecimiento de D. ALBERTO SANTOS?</x:v>
      </x:c>
      <x:c r="N176" s="18" t="str">
        <x:v>Desde el 1 de agosto de 2024</x:v>
      </x:c>
      <x:c r="O176" s="18" t="str">
        <x:v>Desde el 1 de septiembre de 2024</x:v>
      </x:c>
      <x:c r="P176" s="18" t="str">
        <x:v>Desde el 1 de octubre de 2024</x:v>
      </x:c>
      <x:c r="Q176" s="18" t="str">
        <x:v>CAROLINA no tiene derecho a pensión de viudedad derivada del fallecimiento de ALBERTO</x:v>
      </x:c>
      <x:c r="R176" s="18" t="str">
        <x:v>S11</x:v>
      </x:c>
      <x:c r="S176" s="18" t="n">
        <x:v>11</x:v>
      </x:c>
      <x:c r="T176" s="18" t="str">
        <x:v>Temario específico Seguridad Social</x:v>
      </x:c>
      <x:c r="U176" s="18" t="str">
        <x:v>La protección por muerte y supervivencia. Hecho causante. Requisitos para las prestaciones de viudedad, orfandad y en favor de familiares. Cuantía de las prestaciones. Compatibilidad. Suspensión y Extinción. Normas específicas en caso de muerte derivada de accidente de trabajo o enfermedad profesional. Efectividad económica de las prestaciones. El auxilio por defunción.</x:v>
      </x:c>
      <x:c r="V176" s="18" t="str">
        <x:v>viudedad</x:v>
      </x:c>
      <x:c r="W176" s="18" t="str"/>
      <x:c r="X176" s="18" t="str"/>
      <x:c r="Y176" s="18" t="str">
        <x:v>Muerte y supervivencia</x:v>
      </x:c>
      <x:c r="Z176" s="18" t="str">
        <x:v>Alta</x:v>
      </x:c>
      <x:c r="AA176" s="18" t="str">
        <x:v>viudedad</x:v>
      </x:c>
      <x:c r="AB176" s="18" t="str"/>
      <x:c r="AC176" s="18" t="str"/>
      <x:c r="AD176" s="18" t="str">
        <x:v>No</x:v>
      </x:c>
      <x:c r="AE176" s="18" t="str">
        <x:v>Práctico</x:v>
      </x:c>
      <x:c r="AF176" s="18" t="str">
        <x:v>A</x:v>
      </x:c>
      <x:c r="AG176" s="18" t="str">
        <x:v>A</x:v>
      </x:c>
      <x:c r="AH176" s="18" t="str">
        <x:v>Válida</x:v>
      </x:c>
      <x:c r="AI176" s="18" t="str">
        <x:v>01. Información oficial de la oposición\Exámenes oficiales anteriores\2025 Convocatoria 2023 - Examen extraordinario acceso libre.pdf</x:v>
      </x:c>
      <x:c r="AJ176" s="18" t="str">
        <x:v>https://www.seg-social.es/wps/portal/wss/internet/InformacionUtil/9950/88beb45d-ca83-4bab-8162-f94ef2894562</x:v>
      </x:c>
      <x:c r="AK176" s="18" t="str">
        <x:v>Texto PDF</x:v>
      </x:c>
      <x:c r="AL176" s="18" t="n">
        <x:v>100</x:v>
      </x:c>
      <x:c r="AM176" s="18" t="str">
        <x:v>Alta</x:v>
      </x:c>
      <x:c r="AN176" s="18" t="str">
        <x:v>Regla jurídica determinista</x:v>
      </x:c>
      <x:c r="AO176" s="18" t="str">
        <x:v>2025_conv2023_extraordinario-P11</x:v>
      </x:c>
      <x:c r="AP176" s="18" t="n">
        <x:v>1</x:v>
      </x:c>
    </x:row>
    <x:row r="177">
      <x:c r="A177" s="18" t="str">
        <x:v>2025_conv2023_extraordinario-P12</x:v>
      </x:c>
      <x:c r="B177" s="18" t="n">
        <x:v>2025</x:v>
      </x:c>
      <x:c r="C177" s="18" t="n">
        <x:v>2023</x:v>
      </x:c>
      <x:c r="D177" s="28" t="n">
        <x:v>45682</x:v>
      </x:c>
      <x:c r="E177" s="18" t="str">
        <x:v>Acceso libre</x:v>
      </x:c>
      <x:c r="F177" s="18" t="str">
        <x:v>Segunda parte</x:v>
      </x:c>
      <x:c r="G177" s="18" t="str">
        <x:v>Extraordinario</x:v>
      </x:c>
      <x:c r="H177" s="18" t="str">
        <x:v>Único</x:v>
      </x:c>
      <x:c r="I177" s="18" t="str">
        <x:v>Sí</x:v>
      </x:c>
      <x:c r="J177" s="18" t="str">
        <x:v>Cuestionario extraordinario sin modelo paralelo.</x:v>
      </x:c>
      <x:c r="K177" s="18" t="n">
        <x:v>12</x:v>
      </x:c>
      <x:c r="L177" s="18" t="str">
        <x:v>No</x:v>
      </x:c>
      <x:c r="M177" s="18" t="str">
        <x:v>¿Tendría derecho JUAN a que se le reconociera una pensión de orfandad derivada al fallecimiento de su padre, D. ALBERTO SANTOS?</x:v>
      </x:c>
      <x:c r="N177" s="18" t="str">
        <x:v>Sí, JUAN tendría derecho a una pensión de orfandad con efectos económicos desde el día primero del mes siguiente al del fallecimiento</x:v>
      </x:c>
      <x:c r="O177" s="18" t="str">
        <x:v>Sí, JUAN tendría derecho a una pensión de orfandad con efectos económicos desde la fecha de su nacimiento.</x:v>
      </x:c>
      <x:c r="P177" s="18" t="str">
        <x:v>No, JUAN no tendría derecho a la pensión de orfandad, pero sí a la prestación de orfandad.</x:v>
      </x:c>
      <x:c r="Q177" s="18" t="str">
        <x:v>No, JUAN no tendría derecho a ningún tipo de prestación o pensión derivada del fallecimiento de su padre.</x:v>
      </x:c>
      <x:c r="R177" s="18" t="str">
        <x:v>S11</x:v>
      </x:c>
      <x:c r="S177" s="18" t="n">
        <x:v>11</x:v>
      </x:c>
      <x:c r="T177" s="18" t="str">
        <x:v>Temario específico Seguridad Social</x:v>
      </x:c>
      <x:c r="U177" s="18" t="str">
        <x:v>La protección por muerte y supervivencia. Hecho causante. Requisitos para las prestaciones de viudedad, orfandad y en favor de familiares. Cuantía de las prestaciones. Compatibilidad. Suspensión y Extinción. Normas específicas en caso de muerte derivada de accidente de trabajo o enfermedad profesional. Efectividad económica de las prestaciones. El auxilio por defunción.</x:v>
      </x:c>
      <x:c r="V177" s="18" t="str">
        <x:v>orfandad</x:v>
      </x:c>
      <x:c r="W177" s="18" t="str"/>
      <x:c r="X177" s="18" t="str"/>
      <x:c r="Y177" s="18" t="str">
        <x:v>Muerte y supervivencia</x:v>
      </x:c>
      <x:c r="Z177" s="18" t="str">
        <x:v>Media</x:v>
      </x:c>
      <x:c r="AA177" s="18" t="str">
        <x:v>orfandad</x:v>
      </x:c>
      <x:c r="AB177" s="18" t="str"/>
      <x:c r="AC177" s="18" t="str"/>
      <x:c r="AD177" s="18" t="str">
        <x:v>No</x:v>
      </x:c>
      <x:c r="AE177" s="18" t="str">
        <x:v>Práctico</x:v>
      </x:c>
      <x:c r="AF177" s="18" t="str">
        <x:v>B</x:v>
      </x:c>
      <x:c r="AG177" s="18" t="str">
        <x:v>B</x:v>
      </x:c>
      <x:c r="AH177" s="18" t="str">
        <x:v>Válida</x:v>
      </x:c>
      <x:c r="AI177" s="18" t="str">
        <x:v>01. Información oficial de la oposición\Exámenes oficiales anteriores\2025 Convocatoria 2023 - Examen extraordinario acceso libre.pdf</x:v>
      </x:c>
      <x:c r="AJ177" s="18" t="str">
        <x:v>https://www.seg-social.es/wps/portal/wss/internet/InformacionUtil/9950/88beb45d-ca83-4bab-8162-f94ef2894562</x:v>
      </x:c>
      <x:c r="AK177" s="18" t="str">
        <x:v>Texto PDF</x:v>
      </x:c>
      <x:c r="AL177" s="18" t="n">
        <x:v>100</x:v>
      </x:c>
      <x:c r="AM177" s="18" t="str">
        <x:v>Alta</x:v>
      </x:c>
      <x:c r="AN177" s="18" t="str">
        <x:v>Regla jurídica determinista</x:v>
      </x:c>
      <x:c r="AO177" s="18" t="str">
        <x:v>2025_conv2023_extraordinario-P12</x:v>
      </x:c>
      <x:c r="AP177" s="18" t="n">
        <x:v>1</x:v>
      </x:c>
    </x:row>
    <x:row r="178">
      <x:c r="A178" s="18" t="str">
        <x:v>2025_conv2023_extraordinario-P13</x:v>
      </x:c>
      <x:c r="B178" s="18" t="n">
        <x:v>2025</x:v>
      </x:c>
      <x:c r="C178" s="18" t="n">
        <x:v>2023</x:v>
      </x:c>
      <x:c r="D178" s="28" t="n">
        <x:v>45682</x:v>
      </x:c>
      <x:c r="E178" s="18" t="str">
        <x:v>Acceso libre</x:v>
      </x:c>
      <x:c r="F178" s="18" t="str">
        <x:v>Segunda parte</x:v>
      </x:c>
      <x:c r="G178" s="18" t="str">
        <x:v>Extraordinario</x:v>
      </x:c>
      <x:c r="H178" s="18" t="str">
        <x:v>Único</x:v>
      </x:c>
      <x:c r="I178" s="18" t="str">
        <x:v>Sí</x:v>
      </x:c>
      <x:c r="J178" s="18" t="str">
        <x:v>Cuestionario extraordinario sin modelo paralelo.</x:v>
      </x:c>
      <x:c r="K178" s="18" t="n">
        <x:v>13</x:v>
      </x:c>
      <x:c r="L178" s="18" t="str">
        <x:v>No</x:v>
      </x:c>
      <x:c r="M178" s="18" t="str">
        <x:v>¿A partir de qué día nacerían los efectos económicos de la pensión de orfandad de LUIS por el fallecimiento de D. PEDRO RAMÍREZ si la solicitud se presentó el día 1 de abril de 2024?</x:v>
      </x:c>
      <x:c r="N178" s="18" t="str">
        <x:v>16 de enero de 2024</x:v>
      </x:c>
      <x:c r="O178" s="18" t="str">
        <x:v>31 de enero de 2024</x:v>
      </x:c>
      <x:c r="P178" s="18" t="str">
        <x:v>1 de febrero de 2024</x:v>
      </x:c>
      <x:c r="Q178" s="18" t="str">
        <x:v>1 de marzo de 2024 JOSÉ CARLOS DEL ÁGUILA nació el 1/5/1961 y acredita 33 años completos de cotización efectiva. En los últimos 15 años ha trabajado para distintas empresas dentro del Régimen General, siendo el período más extenso en el que ha trabajado de forma continuada para la misma empresa el comprendido entre 2016 y 2020, tiempo en que trabajó para “El Licenciado Vidriera, S.L”. No obstante, la última relación laboral que ha tenido finalizó por la jubilación del empresario individual que le contrató, cesando en la actividad laboral el 31 de mayo de 2024 e inscribiéndose , al día siguiente , como demandante de empleo cuando acudió a informarse para solicitar la prestación de desempleo que posteriormente le fue reconocida por 240 días. Posteriormente, JOSÉ CARLOS acude a una oficina del Instituto Nacional de la Seguridad Social para informarse sobre las posibilidades de anticipar su jubilación.</x:v>
      </x:c>
      <x:c r="R178" s="18" t="str">
        <x:v>S11</x:v>
      </x:c>
      <x:c r="S178" s="18" t="n">
        <x:v>11</x:v>
      </x:c>
      <x:c r="T178" s="18" t="str">
        <x:v>Temario específico Seguridad Social</x:v>
      </x:c>
      <x:c r="U178" s="18" t="str">
        <x:v>La protección por muerte y supervivencia. Hecho causante. Requisitos para las prestaciones de viudedad, orfandad y en favor de familiares. Cuantía de las prestaciones. Compatibilidad. Suspensión y Extinción. Normas específicas en caso de muerte derivada de accidente de trabajo o enfermedad profesional. Efectividad económica de las prestaciones. El auxilio por defunción.</x:v>
      </x:c>
      <x:c r="V178" s="18" t="str">
        <x:v>orfandad</x:v>
      </x:c>
      <x:c r="W178" s="18" t="str"/>
      <x:c r="X178" s="18" t="str"/>
      <x:c r="Y178" s="18" t="str">
        <x:v>Procedimientos</x:v>
      </x:c>
      <x:c r="Z178" s="18" t="str">
        <x:v>Alta</x:v>
      </x:c>
      <x:c r="AA178" s="18" t="str">
        <x:v>orfandad</x:v>
      </x:c>
      <x:c r="AB178" s="18" t="str"/>
      <x:c r="AC178" s="18" t="str"/>
      <x:c r="AD178" s="18" t="str">
        <x:v>No</x:v>
      </x:c>
      <x:c r="AE178" s="18" t="str">
        <x:v>Práctico</x:v>
      </x:c>
      <x:c r="AF178" s="18" t="str">
        <x:v>C</x:v>
      </x:c>
      <x:c r="AG178" s="18" t="str">
        <x:v>C</x:v>
      </x:c>
      <x:c r="AH178" s="18" t="str">
        <x:v>Válida</x:v>
      </x:c>
      <x:c r="AI178" s="18" t="str">
        <x:v>01. Información oficial de la oposición\Exámenes oficiales anteriores\2025 Convocatoria 2023 - Examen extraordinario acceso libre.pdf</x:v>
      </x:c>
      <x:c r="AJ178" s="18" t="str">
        <x:v>https://www.seg-social.es/wps/portal/wss/internet/InformacionUtil/9950/88beb45d-ca83-4bab-8162-f94ef2894562</x:v>
      </x:c>
      <x:c r="AK178" s="18" t="str">
        <x:v>Texto PDF</x:v>
      </x:c>
      <x:c r="AL178" s="18" t="n">
        <x:v>100</x:v>
      </x:c>
      <x:c r="AM178" s="18" t="str">
        <x:v>Alta</x:v>
      </x:c>
      <x:c r="AN178" s="18" t="str">
        <x:v>Regla jurídica determinista</x:v>
      </x:c>
      <x:c r="AO178" s="18" t="str">
        <x:v>2025_conv2023_extraordinario-P13</x:v>
      </x:c>
      <x:c r="AP178" s="18" t="n">
        <x:v>1</x:v>
      </x:c>
    </x:row>
    <x:row r="179">
      <x:c r="A179" s="18" t="str">
        <x:v>2025_conv2023_extraordinario-P14</x:v>
      </x:c>
      <x:c r="B179" s="18" t="n">
        <x:v>2025</x:v>
      </x:c>
      <x:c r="C179" s="18" t="n">
        <x:v>2023</x:v>
      </x:c>
      <x:c r="D179" s="28" t="n">
        <x:v>45682</x:v>
      </x:c>
      <x:c r="E179" s="18" t="str">
        <x:v>Acceso libre</x:v>
      </x:c>
      <x:c r="F179" s="18" t="str">
        <x:v>Segunda parte</x:v>
      </x:c>
      <x:c r="G179" s="18" t="str">
        <x:v>Extraordinario</x:v>
      </x:c>
      <x:c r="H179" s="18" t="str">
        <x:v>Único</x:v>
      </x:c>
      <x:c r="I179" s="18" t="str">
        <x:v>Sí</x:v>
      </x:c>
      <x:c r="J179" s="18" t="str">
        <x:v>Cuestionario extraordinario sin modelo paralelo.</x:v>
      </x:c>
      <x:c r="K179" s="18" t="n">
        <x:v>14</x:v>
      </x:c>
      <x:c r="L179" s="18" t="str">
        <x:v>No</x:v>
      </x:c>
      <x:c r="M179" s="18" t="str">
        <x:v>De mantenerse su situación actual sin cambios, ¿a partir de cuál de las siguientes fechas cumpliría los requisitos para acceder anticipadamente a la jubilación D. JOSÉ CARLOS DEL ÁGUILA?</x:v>
      </x:c>
      <x:c r="N179" s="18" t="str">
        <x:v>A partir del 1 de mayo de 2024</x:v>
      </x:c>
      <x:c r="O179" s="18" t="str">
        <x:v>A partir del 1 de julio de 2024</x:v>
      </x:c>
      <x:c r="P179" s="18" t="str">
        <x:v>A partir del 1 de noviembre de 2024</x:v>
      </x:c>
      <x:c r="Q179" s="18" t="str">
        <x:v>A partir del 1 de diciembre de 2024 AMALIA MARTÍNEZ, nació El 1/12/1957, comenzó a trabajar en la empresa “El Licenciado Vidriera, S.L ” el 1/12/1977 hasta el 1/12/1991. El 1/12/2023 retomó la actividad laboral nuevamente en el régimen general con un trabajo a jornada completa, el 1/12/2024 cumplió 67 años momento en que acreditaba un total de 15 años de cotización efectiva en toda su vida laboral. AMALIA está casada desde 1975, tuvo una hija el 1/3/1976 y desde 2005 es viuda, motivo por el que percibe una pensión de viudedad.</x:v>
      </x:c>
      <x:c r="R179" s="18" t="str">
        <x:v>S10</x:v>
      </x:c>
      <x:c r="S179" s="18" t="n">
        <x:v>10</x:v>
      </x:c>
      <x:c r="T179" s="18" t="str">
        <x:v>Temario específico Seguridad Social</x:v>
      </x:c>
      <x:c r="U179" s="18" t="str">
        <x:v>Jubilación en la modalidad contributiva: concepto. Jubilación ordinaria: requisitos: especial referencia a la edad de jubilación. Determinación de la cuantía de la prestación: base reguladora y porcentaje. Jubilación anticipada, jubilación parcial y jubilación flexible. Compatibilidad de la pensión de jubilación y el trabajo. Suspensión y extinción de la prestación. Especial referencia a la aplicación de la normativa anterior a la Ley 27/2011.</x:v>
      </x:c>
      <x:c r="V179" s="18" t="str">
        <x:v>jubilación</x:v>
      </x:c>
      <x:c r="W179" s="18" t="str"/>
      <x:c r="X179" s="18" t="str"/>
      <x:c r="Y179" s="18" t="str">
        <x:v>Requisitos</x:v>
      </x:c>
      <x:c r="Z179" s="18" t="str">
        <x:v>Media</x:v>
      </x:c>
      <x:c r="AA179" s="18" t="str">
        <x:v>jubilación</x:v>
      </x:c>
      <x:c r="AB179" s="18" t="str"/>
      <x:c r="AC179" s="18" t="str"/>
      <x:c r="AD179" s="18" t="str">
        <x:v>No</x:v>
      </x:c>
      <x:c r="AE179" s="18" t="str">
        <x:v>Práctico</x:v>
      </x:c>
      <x:c r="AF179" s="18" t="str">
        <x:v>D</x:v>
      </x:c>
      <x:c r="AG179" s="18" t="str">
        <x:v>D</x:v>
      </x:c>
      <x:c r="AH179" s="18" t="str">
        <x:v>Válida</x:v>
      </x:c>
      <x:c r="AI179" s="18" t="str">
        <x:v>01. Información oficial de la oposición\Exámenes oficiales anteriores\2025 Convocatoria 2023 - Examen extraordinario acceso libre.pdf</x:v>
      </x:c>
      <x:c r="AJ179" s="18" t="str">
        <x:v>https://www.seg-social.es/wps/portal/wss/internet/InformacionUtil/9950/88beb45d-ca83-4bab-8162-f94ef2894562</x:v>
      </x:c>
      <x:c r="AK179" s="18" t="str">
        <x:v>Texto PDF</x:v>
      </x:c>
      <x:c r="AL179" s="18" t="n">
        <x:v>100</x:v>
      </x:c>
      <x:c r="AM179" s="18" t="str">
        <x:v>Alta</x:v>
      </x:c>
      <x:c r="AN179" s="18" t="str">
        <x:v>Regla jurídica determinista</x:v>
      </x:c>
      <x:c r="AO179" s="18" t="str">
        <x:v>2025_conv2023_extraordinario-P14</x:v>
      </x:c>
      <x:c r="AP179" s="18" t="n">
        <x:v>1</x:v>
      </x:c>
    </x:row>
    <x:row r="180">
      <x:c r="A180" s="18" t="str">
        <x:v>2025_conv2023_extraordinario-P15</x:v>
      </x:c>
      <x:c r="B180" s="18" t="n">
        <x:v>2025</x:v>
      </x:c>
      <x:c r="C180" s="18" t="n">
        <x:v>2023</x:v>
      </x:c>
      <x:c r="D180" s="28" t="n">
        <x:v>45682</x:v>
      </x:c>
      <x:c r="E180" s="18" t="str">
        <x:v>Acceso libre</x:v>
      </x:c>
      <x:c r="F180" s="18" t="str">
        <x:v>Segunda parte</x:v>
      </x:c>
      <x:c r="G180" s="18" t="str">
        <x:v>Extraordinario</x:v>
      </x:c>
      <x:c r="H180" s="18" t="str">
        <x:v>Único</x:v>
      </x:c>
      <x:c r="I180" s="18" t="str">
        <x:v>Sí</x:v>
      </x:c>
      <x:c r="J180" s="18" t="str">
        <x:v>Cuestionario extraordinario sin modelo paralelo.</x:v>
      </x:c>
      <x:c r="K180" s="18" t="n">
        <x:v>15</x:v>
      </x:c>
      <x:c r="L180" s="18" t="str">
        <x:v>No</x:v>
      </x:c>
      <x:c r="M180" s="18" t="str">
        <x:v>¿En cuál de las siguientes fechas acreditaría Dña. AMALIA MARTÍNEZ los requisitos para acceder a la pensión de jubilación suponiendo que se mantiene el alta laboral y la cotización hasta el cese por la jubilación y no se producen cambios normativos que le afecten a estos efectos?</x:v>
      </x:c>
      <x:c r="N180" s="18" t="str">
        <x:v>A partir del 1/12/2024</x:v>
      </x:c>
      <x:c r="O180" s="18" t="str">
        <x:v>A partir del 1/01/2025</x:v>
      </x:c>
      <x:c r="P180" s="18" t="str">
        <x:v>A partir del 1/11/2025</x:v>
      </x:c>
      <x:c r="Q180" s="18" t="str">
        <x:v>A partir del 1/12/2025 ANTONIO BERMEJO, hermano de CARLOS, de 32 años de edad, tiene reconocida desde el 13/05/2023 una incapacidad permanente total siendo su profesión habitual en el momento del reconocimiento de la pensión, fontanero. La misma empresa en la que trabajaba en el momento del reconocimiento de la p ensión le ha ofrecido el 15/09/2024 un puesto de recepcionista y no sabe si este trabajo es compatible con la pensión que tiene reconocida.</x:v>
      </x:c>
      <x:c r="R180" s="18" t="str">
        <x:v>S10</x:v>
      </x:c>
      <x:c r="S180" s="18" t="n">
        <x:v>10</x:v>
      </x:c>
      <x:c r="T180" s="18" t="str">
        <x:v>Temario específico Seguridad Social</x:v>
      </x:c>
      <x:c r="U180" s="18" t="str">
        <x:v>Jubilación en la modalidad contributiva: concepto. Jubilación ordinaria: requisitos: especial referencia a la edad de jubilación. Determinación de la cuantía de la prestación: base reguladora y porcentaje. Jubilación anticipada, jubilación parcial y jubilación flexible. Compatibilidad de la pensión de jubilación y el trabajo. Suspensión y extinción de la prestación. Especial referencia a la aplicación de la normativa anterior a la Ley 27/2011.</x:v>
      </x:c>
      <x:c r="V180" s="18" t="str">
        <x:v>alta</x:v>
      </x:c>
      <x:c r="W180" s="18" t="str"/>
      <x:c r="X180" s="18" t="str"/>
      <x:c r="Y180" s="18" t="str">
        <x:v>Requisitos</x:v>
      </x:c>
      <x:c r="Z180" s="18" t="str">
        <x:v>Alta</x:v>
      </x:c>
      <x:c r="AA180" s="18" t="str">
        <x:v>alta</x:v>
      </x:c>
      <x:c r="AB180" s="18" t="str"/>
      <x:c r="AC180" s="18" t="str"/>
      <x:c r="AD180" s="18" t="str">
        <x:v>No</x:v>
      </x:c>
      <x:c r="AE180" s="18" t="str">
        <x:v>Práctico</x:v>
      </x:c>
      <x:c r="AF180" s="18" t="str">
        <x:v>D</x:v>
      </x:c>
      <x:c r="AG180" s="18" t="str">
        <x:v>D</x:v>
      </x:c>
      <x:c r="AH180" s="18" t="str">
        <x:v>Válida</x:v>
      </x:c>
      <x:c r="AI180" s="18" t="str">
        <x:v>01. Información oficial de la oposición\Exámenes oficiales anteriores\2025 Convocatoria 2023 - Examen extraordinario acceso libre.pdf</x:v>
      </x:c>
      <x:c r="AJ180" s="18" t="str">
        <x:v>https://www.seg-social.es/wps/portal/wss/internet/InformacionUtil/9950/88beb45d-ca83-4bab-8162-f94ef2894562</x:v>
      </x:c>
      <x:c r="AK180" s="18" t="str">
        <x:v>Texto PDF</x:v>
      </x:c>
      <x:c r="AL180" s="18" t="n">
        <x:v>100</x:v>
      </x:c>
      <x:c r="AM180" s="18" t="str">
        <x:v>Alta</x:v>
      </x:c>
      <x:c r="AN180" s="18" t="str">
        <x:v>Regla jurídica determinista</x:v>
      </x:c>
      <x:c r="AO180" s="18" t="str">
        <x:v>2025_conv2023_extraordinario-P15</x:v>
      </x:c>
      <x:c r="AP180" s="18" t="n">
        <x:v>1</x:v>
      </x:c>
    </x:row>
    <x:row r="181">
      <x:c r="A181" s="18" t="str">
        <x:v>2025_conv2023_extraordinario-P16</x:v>
      </x:c>
      <x:c r="B181" s="18" t="n">
        <x:v>2025</x:v>
      </x:c>
      <x:c r="C181" s="18" t="n">
        <x:v>2023</x:v>
      </x:c>
      <x:c r="D181" s="28" t="n">
        <x:v>45682</x:v>
      </x:c>
      <x:c r="E181" s="18" t="str">
        <x:v>Acceso libre</x:v>
      </x:c>
      <x:c r="F181" s="18" t="str">
        <x:v>Segunda parte</x:v>
      </x:c>
      <x:c r="G181" s="18" t="str">
        <x:v>Extraordinario</x:v>
      </x:c>
      <x:c r="H181" s="18" t="str">
        <x:v>Único</x:v>
      </x:c>
      <x:c r="I181" s="18" t="str">
        <x:v>Sí</x:v>
      </x:c>
      <x:c r="J181" s="18" t="str">
        <x:v>Cuestionario extraordinario sin modelo paralelo.</x:v>
      </x:c>
      <x:c r="K181" s="18" t="n">
        <x:v>16</x:v>
      </x:c>
      <x:c r="L181" s="18" t="str">
        <x:v>Sí</x:v>
      </x:c>
      <x:c r="M181" s="18" t="str">
        <x:v>¿Es compatible la pensión de D. ANTONIO BERMEJO con el puesto de trabajo que le han ofrecido?</x:v>
      </x:c>
      <x:c r="N181" s="18" t="str">
        <x:v>Sí, puesto que realizará funciones distintas a las que dieron lugar a la incapacidad permanente total.</x:v>
      </x:c>
      <x:c r="O181" s="18" t="str">
        <x:v>No, ya que las pensiones por incapacidad permanente son incompatibles con el trabajo.</x:v>
      </x:c>
      <x:c r="P181" s="18" t="str">
        <x:v>No, porque al ser la misma empresa, es incompatible con la pensión que tiene reconocida.</x:v>
      </x:c>
      <x:c r="Q181" s="18" t="str">
        <x:v>No, es compatible ya que han transcurrido más de 180 días desde el reconocimiento de la pensión. La empresa “El Licenciado Vidriera, S.L” tiene, también, contratada, con una modalidad de contrato bonificado, como directora de obra a Dña. CONSTANZA DE CARRIAZO y percibe mensualmente cheques restaurante, por un importe de 400 euros mensuales.</x:v>
      </x:c>
      <x:c r="R181" s="18" t="str">
        <x:v>S08</x:v>
      </x:c>
      <x:c r="S181" s="18" t="n">
        <x:v>8</x:v>
      </x:c>
      <x:c r="T181" s="18" t="str">
        <x:v>Temario específico Seguridad Social</x:v>
      </x:c>
      <x:c r="U181" s="18" t="str">
        <x:v>Incapacidad temporal: concepto y causas que motivan esta situación. Beneficiarios. Prestación económica: determinación y cuantía. Nacimiento, duración y extinción del derecho al subsidio. Reconocimiento y pago. Control de la incapacidad. Incapacidad permanente contributiva: concepto. Grados de incapacidad. Prestaciones. Determinación y cuantía. Beneficiarios. Nacimiento, duración y extinción del derecho. Lesiones permanentes no incapacitantes. La calificación y revisión de la incapacidad permanente.</x:v>
      </x:c>
      <x:c r="V181" s="18" t="str">
        <x:v>S08</x:v>
      </x:c>
      <x:c r="W181" s="18" t="str"/>
      <x:c r="X181" s="18" t="str"/>
      <x:c r="Y181" s="18" t="str">
        <x:v>Incapacidad</x:v>
      </x:c>
      <x:c r="Z181" s="18" t="str">
        <x:v>Media</x:v>
      </x:c>
      <x:c r="AA181" s="18" t="str">
        <x:v>S08</x:v>
      </x:c>
      <x:c r="AB181" s="18" t="str"/>
      <x:c r="AC181" s="18" t="str"/>
      <x:c r="AD181" s="18" t="str">
        <x:v>No</x:v>
      </x:c>
      <x:c r="AE181" s="18" t="str">
        <x:v>Práctico</x:v>
      </x:c>
      <x:c r="AF181" s="18" t="str">
        <x:v>A</x:v>
      </x:c>
      <x:c r="AG181" s="18" t="str">
        <x:v>A</x:v>
      </x:c>
      <x:c r="AH181" s="18" t="str">
        <x:v>Válida</x:v>
      </x:c>
      <x:c r="AI181" s="18" t="str">
        <x:v>01. Información oficial de la oposición\Exámenes oficiales anteriores\2025 Convocatoria 2023 - Examen extraordinario acceso libre.pdf</x:v>
      </x:c>
      <x:c r="AJ181" s="18" t="str">
        <x:v>https://www.seg-social.es/wps/portal/wss/internet/InformacionUtil/9950/88beb45d-ca83-4bab-8162-f94ef2894562</x:v>
      </x:c>
      <x:c r="AK181" s="18" t="str">
        <x:v>Texto PDF</x:v>
      </x:c>
      <x:c r="AL181" s="18" t="n">
        <x:v>100</x:v>
      </x:c>
      <x:c r="AM181" s="18" t="str">
        <x:v>Alta</x:v>
      </x:c>
      <x:c r="AN181" s="18" t="str">
        <x:v>Revisión jurídica individual</x:v>
      </x:c>
      <x:c r="AO181" s="18" t="str">
        <x:v>2025_conv2023_extraordinario-P16</x:v>
      </x:c>
      <x:c r="AP181" s="18" t="n">
        <x:v>1</x:v>
      </x:c>
    </x:row>
    <x:row r="182">
      <x:c r="A182" s="18" t="str">
        <x:v>2025_conv2023_extraordinario-P17</x:v>
      </x:c>
      <x:c r="B182" s="18" t="n">
        <x:v>2025</x:v>
      </x:c>
      <x:c r="C182" s="18" t="n">
        <x:v>2023</x:v>
      </x:c>
      <x:c r="D182" s="28" t="n">
        <x:v>45682</x:v>
      </x:c>
      <x:c r="E182" s="18" t="str">
        <x:v>Acceso libre</x:v>
      </x:c>
      <x:c r="F182" s="18" t="str">
        <x:v>Segunda parte</x:v>
      </x:c>
      <x:c r="G182" s="18" t="str">
        <x:v>Extraordinario</x:v>
      </x:c>
      <x:c r="H182" s="18" t="str">
        <x:v>Único</x:v>
      </x:c>
      <x:c r="I182" s="18" t="str">
        <x:v>Sí</x:v>
      </x:c>
      <x:c r="J182" s="18" t="str">
        <x:v>Cuestionario extraordinario sin modelo paralelo.</x:v>
      </x:c>
      <x:c r="K182" s="18" t="n">
        <x:v>17</x:v>
      </x:c>
      <x:c r="L182" s="18" t="str">
        <x:v>Sí</x:v>
      </x:c>
      <x:c r="M182" s="18" t="str">
        <x:v>Determine si los cheques restaurante entregados mensualmente a Dña. CONSTANZA DE CARRIAZO tiene que incluirse en la base de cotización:</x:v>
      </x:c>
      <x:c r="N182" s="18" t="str">
        <x:v>Se incluye el 25 por ciento del importe.</x:v>
      </x:c>
      <x:c r="O182" s="18" t="str">
        <x:v>Se trata de un concepto excluido de la base de cotización.</x:v>
      </x:c>
      <x:c r="P182" s="18" t="str">
        <x:v>Se incluyen por la totalidad del importe.</x:v>
      </x:c>
      <x:c r="Q182" s="18" t="str">
        <x:v>Se incluye el 50% del importe.</x:v>
      </x:c>
      <x:c r="R182" s="18" t="str">
        <x:v>S04</x:v>
      </x:c>
      <x:c r="S182" s="18" t="n">
        <x:v>4</x:v>
      </x:c>
      <x:c r="T182" s="18" t="str">
        <x:v>Temario específico Seguridad Social</x:v>
      </x:c>
      <x:c r="U182" s="18" t="str">
        <x:v>La cotización a la Seguridad Social: normas comunes del sistema. La liquidación de cuotas. El régimen general de la Seguridad Social. Supuestos especiales. Bases y tipos de cotización. Liquidación de otras deudas.</x:v>
      </x:c>
      <x:c r="V182" s="18" t="str">
        <x:v>base de cotización</x:v>
      </x:c>
      <x:c r="W182" s="18" t="str"/>
      <x:c r="X182" s="18" t="str"/>
      <x:c r="Y182" s="18" t="str">
        <x:v>Cotización</x:v>
      </x:c>
      <x:c r="Z182" s="18" t="str">
        <x:v>Media</x:v>
      </x:c>
      <x:c r="AA182" s="18" t="str">
        <x:v>base de cotización</x:v>
      </x:c>
      <x:c r="AB182" s="18" t="str"/>
      <x:c r="AC182" s="18" t="str"/>
      <x:c r="AD182" s="18" t="str">
        <x:v>No</x:v>
      </x:c>
      <x:c r="AE182" s="18" t="str">
        <x:v>Práctico</x:v>
      </x:c>
      <x:c r="AF182" s="18" t="str">
        <x:v>C</x:v>
      </x:c>
      <x:c r="AG182" s="18" t="str">
        <x:v>C</x:v>
      </x:c>
      <x:c r="AH182" s="18" t="str">
        <x:v>Válida</x:v>
      </x:c>
      <x:c r="AI182" s="18" t="str">
        <x:v>01. Información oficial de la oposición\Exámenes oficiales anteriores\2025 Convocatoria 2023 - Examen extraordinario acceso libre.pdf</x:v>
      </x:c>
      <x:c r="AJ182" s="18" t="str">
        <x:v>https://www.seg-social.es/wps/portal/wss/internet/InformacionUtil/9950/88beb45d-ca83-4bab-8162-f94ef2894562</x:v>
      </x:c>
      <x:c r="AK182" s="18" t="str">
        <x:v>Texto PDF</x:v>
      </x:c>
      <x:c r="AL182" s="18" t="n">
        <x:v>100</x:v>
      </x:c>
      <x:c r="AM182" s="18" t="str">
        <x:v>Alta</x:v>
      </x:c>
      <x:c r="AN182" s="18" t="str">
        <x:v>Regla jurídica determinista</x:v>
      </x:c>
      <x:c r="AO182" s="18" t="str">
        <x:v>2025_conv2023_extraordinario-P17</x:v>
      </x:c>
      <x:c r="AP182" s="18" t="n">
        <x:v>1</x:v>
      </x:c>
    </x:row>
    <x:row r="183">
      <x:c r="A183" s="18" t="str">
        <x:v>2025_conv2023_extraordinario-P18</x:v>
      </x:c>
      <x:c r="B183" s="18" t="n">
        <x:v>2025</x:v>
      </x:c>
      <x:c r="C183" s="18" t="n">
        <x:v>2023</x:v>
      </x:c>
      <x:c r="D183" s="28" t="n">
        <x:v>45682</x:v>
      </x:c>
      <x:c r="E183" s="18" t="str">
        <x:v>Acceso libre</x:v>
      </x:c>
      <x:c r="F183" s="18" t="str">
        <x:v>Segunda parte</x:v>
      </x:c>
      <x:c r="G183" s="18" t="str">
        <x:v>Extraordinario</x:v>
      </x:c>
      <x:c r="H183" s="18" t="str">
        <x:v>Único</x:v>
      </x:c>
      <x:c r="I183" s="18" t="str">
        <x:v>Sí</x:v>
      </x:c>
      <x:c r="J183" s="18" t="str">
        <x:v>Cuestionario extraordinario sin modelo paralelo.</x:v>
      </x:c>
      <x:c r="K183" s="18" t="n">
        <x:v>18</x:v>
      </x:c>
      <x:c r="L183" s="18" t="str">
        <x:v>Sí</x:v>
      </x:c>
      <x:c r="M183" s="18" t="str">
        <x:v>La empresa “El Licenciado Vidriera, S.L.” solicita el día 17 de julio de 2024 el cálculo de las liquidaciones de cuotas a la Seguridad Social y demás conceptos de recaudación conjunta de sus trabajadores, en relación con la bonificación a que tiene derecho por el contrato celebrado con Dña. CONSTANZA DE CARRIAZO y teniendo en cuenta la existencia en ese momento de una deuda por responsabilidad empresarial:</x:v>
      </x:c>
      <x:c r="N183" s="18" t="str">
        <x:v>Se puede descontar aunque la empresa tenga deuda.</x:v>
      </x:c>
      <x:c r="O183" s="18" t="str">
        <x:v>No se puede descontar porque la empresa mantiene una deuda con la Seguridad Social.</x:v>
      </x:c>
      <x:c r="P183" s="18" t="str">
        <x:v>Se puede descontar porque la deuda que mantiene no es por cuotas a la Seguridad Social y demás conceptos de recaudación conjunta.</x:v>
      </x:c>
      <x:c r="Q183" s="18" t="str">
        <x:v>Se puede descontar si la empresa paga su deuda por responsabilidad empresarial antes de finalizar el mes de julio.</x:v>
      </x:c>
      <x:c r="R183" s="18" t="str">
        <x:v>S04</x:v>
      </x:c>
      <x:c r="S183" s="18" t="n">
        <x:v>4</x:v>
      </x:c>
      <x:c r="T183" s="18" t="str">
        <x:v>Temario específico Seguridad Social</x:v>
      </x:c>
      <x:c r="U183" s="18" t="str">
        <x:v>La cotización a la Seguridad Social: normas comunes del sistema. La liquidación de cuotas. El régimen general de la Seguridad Social. Supuestos especiales. Bases y tipos de cotización. Liquidación de otras deudas.</x:v>
      </x:c>
      <x:c r="V183" s="18" t="str">
        <x:v>S04</x:v>
      </x:c>
      <x:c r="W183" s="18" t="str"/>
      <x:c r="X183" s="18" t="str"/>
      <x:c r="Y183" s="18" t="str">
        <x:v>Definiciones</x:v>
      </x:c>
      <x:c r="Z183" s="18" t="str">
        <x:v>Alta</x:v>
      </x:c>
      <x:c r="AA183" s="18" t="str">
        <x:v>S04</x:v>
      </x:c>
      <x:c r="AB183" s="18" t="str"/>
      <x:c r="AC183" s="18" t="str"/>
      <x:c r="AD183" s="18" t="str">
        <x:v>No</x:v>
      </x:c>
      <x:c r="AE183" s="18" t="str">
        <x:v>Práctico</x:v>
      </x:c>
      <x:c r="AF183" s="18" t="str">
        <x:v>A</x:v>
      </x:c>
      <x:c r="AG183" s="18" t="str">
        <x:v>A</x:v>
      </x:c>
      <x:c r="AH183" s="18" t="str">
        <x:v>Válida</x:v>
      </x:c>
      <x:c r="AI183" s="18" t="str">
        <x:v>01. Información oficial de la oposición\Exámenes oficiales anteriores\2025 Convocatoria 2023 - Examen extraordinario acceso libre.pdf</x:v>
      </x:c>
      <x:c r="AJ183" s="18" t="str">
        <x:v>https://www.seg-social.es/wps/portal/wss/internet/InformacionUtil/9950/88beb45d-ca83-4bab-8162-f94ef2894562</x:v>
      </x:c>
      <x:c r="AK183" s="18" t="str">
        <x:v>Texto PDF</x:v>
      </x:c>
      <x:c r="AL183" s="18" t="n">
        <x:v>100</x:v>
      </x:c>
      <x:c r="AM183" s="18" t="str">
        <x:v>Alta</x:v>
      </x:c>
      <x:c r="AN183" s="18" t="str">
        <x:v>Revisión jurídica individual</x:v>
      </x:c>
      <x:c r="AO183" s="18" t="str">
        <x:v>2025_conv2023_extraordinario-P18</x:v>
      </x:c>
      <x:c r="AP183" s="18" t="n">
        <x:v>1</x:v>
      </x:c>
    </x:row>
    <x:row r="184">
      <x:c r="A184" s="18" t="str">
        <x:v>2025_conv2024_ordinario_A-T01</x:v>
      </x:c>
      <x:c r="B184" s="18" t="n">
        <x:v>2025</x:v>
      </x:c>
      <x:c r="C184" s="18" t="n">
        <x:v>2024</x:v>
      </x:c>
      <x:c r="D184" s="28" t="n">
        <x:v>45913</x:v>
      </x:c>
      <x:c r="E184" s="18" t="str">
        <x:v>Acceso libre</x:v>
      </x:c>
      <x:c r="F184" s="18" t="str">
        <x:v>Primera parte</x:v>
      </x:c>
      <x:c r="G184" s="18" t="str">
        <x:v>A</x:v>
      </x:c>
      <x:c r="H184" s="18" t="str">
        <x:v>A/B</x:v>
      </x:c>
      <x:c r="I184" s="18" t="str">
        <x:v>Sí</x:v>
      </x:c>
      <x:c r="J184" s="18" t="str">
        <x:v>Modelo A usado como variante canónica; el modelo B oficial está archivado y permuta el orden y/o las opciones.</x:v>
      </x:c>
      <x:c r="K184" s="18" t="n">
        <x:v>1</x:v>
      </x:c>
      <x:c r="L184" s="18" t="str">
        <x:v>No</x:v>
      </x:c>
      <x:c r="M184" s="18" t="str">
        <x:v>En cuanto a la reforma agravada de la Constitución Española, regulada en el artículo 168, señale la respuesta INCORRECTA:</x:v>
      </x:c>
      <x:c r="N184" s="18" t="str">
        <x:v>Se utilizará dicho procedimiento cuando se propusiere la revisión total de la Constitución o una parcial que afecte al Título preiiminar, al Capítulo segundo, Sección primera del Titulo I, o al Título</x:v>
      </x:c>
      <x:c r="O184" s="18" t="str">
        <x:v>Se procederá a la aprobación del principio por mayoría de dos tercios de cada Cámara, y a ia disolución inmediata de las Cortes.</x:v>
      </x:c>
      <x:c r="P184" s="18" t="str">
        <x:v>Las Cámaras elegidas deberán ratificar la decisión y proceder al estudio del nuevo texto constitucional, que deberá ser aprobado por mayaría de tres quintos de ambas Cámaras.</x:v>
      </x:c>
      <x:c r="Q184" s="18" t="str">
        <x:v>Aprobada la reforma por las Cortes Generales, será sometida a referéndum para su ratificación.</x:v>
      </x:c>
      <x:c r="R184" s="18" t="str">
        <x:v>G01</x:v>
      </x:c>
      <x:c r="S184" s="18" t="n">
        <x:v>1</x:v>
      </x:c>
      <x:c r="T184" s="18" t="str">
        <x:v>Temario general</x:v>
      </x:c>
      <x:c r="U184" s="18" t="str">
        <x:v>La Constitución Española de 1978: Estructura y contenido. La reforma de la Constitución.</x:v>
      </x:c>
      <x:c r="V184" s="18" t="str">
        <x:v>G01</x:v>
      </x:c>
      <x:c r="W184" s="18" t="str">
        <x:v>Constitución Española</x:v>
      </x:c>
      <x:c r="X184" s="18" t="str">
        <x:v>168</x:v>
      </x:c>
      <x:c r="Y184" s="18" t="str">
        <x:v>Artículos literales</x:v>
      </x:c>
      <x:c r="Z184" s="18" t="str">
        <x:v>Alta</x:v>
      </x:c>
      <x:c r="AA184" s="18" t="str">
        <x:v>G01</x:v>
      </x:c>
      <x:c r="AB184" s="18" t="str"/>
      <x:c r="AC184" s="18" t="str"/>
      <x:c r="AD184" s="18" t="str">
        <x:v>Sí</x:v>
      </x:c>
      <x:c r="AE184" s="18" t="str">
        <x:v>Teórico</x:v>
      </x:c>
      <x:c r="AF184" s="18" t="str">
        <x:v>C</x:v>
      </x:c>
      <x:c r="AG184" s="18" t="str">
        <x:v>C</x:v>
      </x:c>
      <x:c r="AH184" s="18" t="str">
        <x:v>Válida</x:v>
      </x:c>
      <x:c r="AI184" s="18" t="str">
        <x:v>01. Información oficial de la oposición\Exámenes oficiales anteriores\2025 Convocatoria 2024 - Acceso libre Modelo A.pdf</x:v>
      </x:c>
      <x:c r="AJ184" s="18" t="str">
        <x:v>https://www.seg-social.es/wps/portal/wss/internet/InformacionUtil/9950/88beb45d-ca83-4bab-8162-f94ef2894562/7e46efac-32c8-4cf6-b3d3-d592c3560dff/rdpi_administrativos_2024</x:v>
      </x:c>
      <x:c r="AK184" s="18" t="str">
        <x:v>OCR Windows es-ES sobre PDF oficial</x:v>
      </x:c>
      <x:c r="AL184" s="18" t="n">
        <x:v>100</x:v>
      </x:c>
      <x:c r="AM184" s="18" t="str">
        <x:v>Alta</x:v>
      </x:c>
      <x:c r="AN184" s="18" t="str">
        <x:v>Regla jurídica determinista</x:v>
      </x:c>
      <x:c r="AO184" s="18" t="str">
        <x:v>2025_conv2024_ordinario_A-T01</x:v>
      </x:c>
      <x:c r="AP184" s="18" t="n">
        <x:v>1</x:v>
      </x:c>
    </x:row>
    <x:row r="185">
      <x:c r="A185" s="18" t="str">
        <x:v>2025_conv2024_ordinario_A-T02</x:v>
      </x:c>
      <x:c r="B185" s="18" t="n">
        <x:v>2025</x:v>
      </x:c>
      <x:c r="C185" s="18" t="n">
        <x:v>2024</x:v>
      </x:c>
      <x:c r="D185" s="28" t="n">
        <x:v>45913</x:v>
      </x:c>
      <x:c r="E185" s="18" t="str">
        <x:v>Acceso libre</x:v>
      </x:c>
      <x:c r="F185" s="18" t="str">
        <x:v>Primera parte</x:v>
      </x:c>
      <x:c r="G185" s="18" t="str">
        <x:v>A</x:v>
      </x:c>
      <x:c r="H185" s="18" t="str">
        <x:v>A/B</x:v>
      </x:c>
      <x:c r="I185" s="18" t="str">
        <x:v>Sí</x:v>
      </x:c>
      <x:c r="J185" s="18" t="str">
        <x:v>Modelo A usado como variante canónica; el modelo B oficial está archivado y permuta el orden y/o las opciones.</x:v>
      </x:c>
      <x:c r="K185" s="18" t="n">
        <x:v>2</x:v>
      </x:c>
      <x:c r="L185" s="18" t="str">
        <x:v>No</x:v>
      </x:c>
      <x:c r="M185" s="18" t="str">
        <x:v>Indique cuál de los siguientes NO forma parte de los derechos fundamentales y libertades públicas regulados en la Sección la del Capítulo II del Título I de la Constitución Española:</x:v>
      </x:c>
      <x:c r="N185" s="18" t="str">
        <x:v>EI derecho a la vida y a la integridad fisica y moral.</x:v>
      </x:c>
      <x:c r="O185" s="18" t="str">
        <x:v>La libertad ideológica, religiosa y de culto.</x:v>
      </x:c>
      <x:c r="P185" s="18" t="str">
        <x:v>EI derecho de reunión pacifica y sin armas.</x:v>
      </x:c>
      <x:c r="Q185" s="18" t="str">
        <x:v>La tibertad de empresa en el marco de la economía de mercado.</x:v>
      </x:c>
      <x:c r="R185" s="18" t="str">
        <x:v>G02</x:v>
      </x:c>
      <x:c r="S185" s="18" t="n">
        <x:v>2</x:v>
      </x:c>
      <x:c r="T185" s="18" t="str">
        <x:v>Temario general</x:v>
      </x:c>
      <x:c r="U185" s="18" t="str">
        <x:v>Derechos y deberes fundamentales. Su garantía y suspensión.</x:v>
      </x:c>
      <x:c r="V185" s="18" t="str">
        <x:v>derechos fundamentales</x:v>
      </x:c>
      <x:c r="W185" s="18" t="str">
        <x:v>Constitución Española</x:v>
      </x:c>
      <x:c r="X185" s="18" t="str"/>
      <x:c r="Y185" s="18" t="str">
        <x:v>Artículos literales</x:v>
      </x:c>
      <x:c r="Z185" s="18" t="str">
        <x:v>Media</x:v>
      </x:c>
      <x:c r="AA185" s="18" t="str">
        <x:v>derechos fundamentales</x:v>
      </x:c>
      <x:c r="AB185" s="18" t="str"/>
      <x:c r="AC185" s="18" t="str"/>
      <x:c r="AD185" s="18" t="str">
        <x:v>No</x:v>
      </x:c>
      <x:c r="AE185" s="18" t="str">
        <x:v>Teórico</x:v>
      </x:c>
      <x:c r="AF185" s="18" t="str">
        <x:v>D</x:v>
      </x:c>
      <x:c r="AG185" s="18" t="str">
        <x:v>D</x:v>
      </x:c>
      <x:c r="AH185" s="18" t="str">
        <x:v>Válida</x:v>
      </x:c>
      <x:c r="AI185" s="18" t="str">
        <x:v>01. Información oficial de la oposición\Exámenes oficiales anteriores\2025 Convocatoria 2024 - Acceso libre Modelo A.pdf</x:v>
      </x:c>
      <x:c r="AJ185" s="18" t="str">
        <x:v>https://www.seg-social.es/wps/portal/wss/internet/InformacionUtil/9950/88beb45d-ca83-4bab-8162-f94ef2894562/7e46efac-32c8-4cf6-b3d3-d592c3560dff/rdpi_administrativos_2024</x:v>
      </x:c>
      <x:c r="AK185" s="18" t="str">
        <x:v>OCR Windows es-ES sobre PDF oficial</x:v>
      </x:c>
      <x:c r="AL185" s="18" t="n">
        <x:v>100</x:v>
      </x:c>
      <x:c r="AM185" s="18" t="str">
        <x:v>Alta</x:v>
      </x:c>
      <x:c r="AN185" s="18" t="str">
        <x:v>Regla jurídica determinista</x:v>
      </x:c>
      <x:c r="AO185" s="18" t="str">
        <x:v>2025_conv2024_ordinario_A-T02</x:v>
      </x:c>
      <x:c r="AP185" s="18" t="n">
        <x:v>1</x:v>
      </x:c>
    </x:row>
    <x:row r="186">
      <x:c r="A186" s="18" t="str">
        <x:v>2025_conv2024_ordinario_A-T03</x:v>
      </x:c>
      <x:c r="B186" s="18" t="n">
        <x:v>2025</x:v>
      </x:c>
      <x:c r="C186" s="18" t="n">
        <x:v>2024</x:v>
      </x:c>
      <x:c r="D186" s="28" t="n">
        <x:v>45913</x:v>
      </x:c>
      <x:c r="E186" s="18" t="str">
        <x:v>Acceso libre</x:v>
      </x:c>
      <x:c r="F186" s="18" t="str">
        <x:v>Primera parte</x:v>
      </x:c>
      <x:c r="G186" s="18" t="str">
        <x:v>A</x:v>
      </x:c>
      <x:c r="H186" s="18" t="str">
        <x:v>A/B</x:v>
      </x:c>
      <x:c r="I186" s="18" t="str">
        <x:v>Sí</x:v>
      </x:c>
      <x:c r="J186" s="18" t="str">
        <x:v>Modelo A usado como variante canónica; el modelo B oficial está archivado y permuta el orden y/o las opciones.</x:v>
      </x:c>
      <x:c r="K186" s="18" t="n">
        <x:v>3</x:v>
      </x:c>
      <x:c r="L186" s="18" t="str">
        <x:v>No</x:v>
      </x:c>
      <x:c r="M186" s="18" t="str">
        <x:v>Según el artículo 7 de Ea Ley Orgánica 2/1979, de 3 de octubre, del Tribunal Constitucional, señale la afirmación correcta:</x:v>
      </x:c>
      <x:c r="N186" s="18" t="str">
        <x:v>EI Presidente del Tribunal 10 es también de la Sala Primera, que presidirá en su defecto, el Magistrado más antiguo y, en caso de igual antigüedad, el de mayor edad.</x:v>
      </x:c>
      <x:c r="O186" s="18" t="str">
        <x:v>EI Presidente del Tribunal 10 es también de la Sala Primera, que presidirá en su defecto, el Vicepresidente o el Magistrado más antiguo y, en caso de igual antigüedad, el de mayor edad.</x:v>
      </x:c>
      <x:c r="P186" s="18" t="str">
        <x:v>EI Tribunal Constitucional consta de dos Salas. Cada Sala está compuesta por seis Magistrados nombrados por et Presidente del Tribunal.</x:v>
      </x:c>
      <x:c r="Q186" s="18" t="str">
        <x:v>EI Tribunal Constitucional consta de tres Salas. Ceda Sala está compuesta por cuatro Magistrados nombrados por el Presidente del Tribunal.</x:v>
      </x:c>
      <x:c r="R186" s="18" t="str">
        <x:v>G03</x:v>
      </x:c>
      <x:c r="S186" s="18" t="n">
        <x:v>3</x:v>
      </x:c>
      <x:c r="T186" s="18" t="str">
        <x:v>Temario general</x:v>
      </x:c>
      <x:c r="U186" s="18" t="str">
        <x:v>El Tribunal Constitucional. Organización, composición y atribuciones.</x:v>
      </x:c>
      <x:c r="V186" s="18" t="str">
        <x:v>G03</x:v>
      </x:c>
      <x:c r="W186" s="18" t="str">
        <x:v>Ley Orgánica 2/1979</x:v>
      </x:c>
      <x:c r="X186" s="18" t="str">
        <x:v>7</x:v>
      </x:c>
      <x:c r="Y186" s="18" t="str">
        <x:v>Artículos literales</x:v>
      </x:c>
      <x:c r="Z186" s="18" t="str">
        <x:v>Media</x:v>
      </x:c>
      <x:c r="AA186" s="18" t="str">
        <x:v>G03</x:v>
      </x:c>
      <x:c r="AB186" s="18" t="str">
        <x:v>Tribunal Constitucional</x:v>
      </x:c>
      <x:c r="AC186" s="18" t="str"/>
      <x:c r="AD186" s="18" t="str">
        <x:v>No</x:v>
      </x:c>
      <x:c r="AE186" s="18" t="str">
        <x:v>Teórico</x:v>
      </x:c>
      <x:c r="AF186" s="18" t="str">
        <x:v>A</x:v>
      </x:c>
      <x:c r="AG186" s="18" t="str">
        <x:v>A</x:v>
      </x:c>
      <x:c r="AH186" s="18" t="str">
        <x:v>Válida</x:v>
      </x:c>
      <x:c r="AI186" s="18" t="str">
        <x:v>01. Información oficial de la oposición\Exámenes oficiales anteriores\2025 Convocatoria 2024 - Acceso libre Modelo A.pdf</x:v>
      </x:c>
      <x:c r="AJ186" s="18" t="str">
        <x:v>https://www.seg-social.es/wps/portal/wss/internet/InformacionUtil/9950/88beb45d-ca83-4bab-8162-f94ef2894562/7e46efac-32c8-4cf6-b3d3-d592c3560dff/rdpi_administrativos_2024</x:v>
      </x:c>
      <x:c r="AK186" s="18" t="str">
        <x:v>OCR Windows es-ES sobre PDF oficial</x:v>
      </x:c>
      <x:c r="AL186" s="18" t="n">
        <x:v>100</x:v>
      </x:c>
      <x:c r="AM186" s="18" t="str">
        <x:v>Alta</x:v>
      </x:c>
      <x:c r="AN186" s="18" t="str">
        <x:v>Regla jurídica determinista</x:v>
      </x:c>
      <x:c r="AO186" s="18" t="str">
        <x:v>2025_conv2024_ordinario_A-T03</x:v>
      </x:c>
      <x:c r="AP186" s="18" t="n">
        <x:v>1</x:v>
      </x:c>
    </x:row>
    <x:row r="187">
      <x:c r="A187" s="18" t="str">
        <x:v>2025_conv2024_ordinario_A-T04</x:v>
      </x:c>
      <x:c r="B187" s="18" t="n">
        <x:v>2025</x:v>
      </x:c>
      <x:c r="C187" s="18" t="n">
        <x:v>2024</x:v>
      </x:c>
      <x:c r="D187" s="28" t="n">
        <x:v>45913</x:v>
      </x:c>
      <x:c r="E187" s="18" t="str">
        <x:v>Acceso libre</x:v>
      </x:c>
      <x:c r="F187" s="18" t="str">
        <x:v>Primera parte</x:v>
      </x:c>
      <x:c r="G187" s="18" t="str">
        <x:v>A</x:v>
      </x:c>
      <x:c r="H187" s="18" t="str">
        <x:v>A/B</x:v>
      </x:c>
      <x:c r="I187" s="18" t="str">
        <x:v>Sí</x:v>
      </x:c>
      <x:c r="J187" s="18" t="str">
        <x:v>Modelo A usado como variante canónica; el modelo B oficial está archivado y permuta el orden y/o las opciones.</x:v>
      </x:c>
      <x:c r="K187" s="18" t="n">
        <x:v>4</x:v>
      </x:c>
      <x:c r="L187" s="18" t="str">
        <x:v>No</x:v>
      </x:c>
      <x:c r="M187" s="18" t="str">
        <x:v>De acuerdo con 10 establecido en eI artículo 63 de la Constitución Española, al Rey corresponde:</x:v>
      </x:c>
      <x:c r="N187" s="18" t="str">
        <x:v>Cuando así [o decida como Jefe del Estado, dedarar la guerra y hacer la paz.</x:v>
      </x:c>
      <x:c r="O187" s="18" t="str">
        <x:v>Previa autorización de las Cortes Generales, declarar la guerra y hacer la paz.</x:v>
      </x:c>
      <x:c r="P187" s="18" t="str">
        <x:v>Previa autorización dek Congreso de los Diputados, declarar la guerra y hacer la paz.</x:v>
      </x:c>
      <x:c r="Q187" s="18" t="str">
        <x:v>Previa autorización del Senado, declarar la guerra y hacer la paz.</x:v>
      </x:c>
      <x:c r="R187" s="18" t="str">
        <x:v>G04</x:v>
      </x:c>
      <x:c r="S187" s="18" t="n">
        <x:v>4</x:v>
      </x:c>
      <x:c r="T187" s="18" t="str">
        <x:v>Temario general</x:v>
      </x:c>
      <x:c r="U187" s="18" t="str">
        <x:v>La Corona. Funciones constitucionales del Rey. Sucesión y regencia. El refrendo.</x:v>
      </x:c>
      <x:c r="V187" s="18" t="str">
        <x:v>G04</x:v>
      </x:c>
      <x:c r="W187" s="18" t="str">
        <x:v>Constitución Española</x:v>
      </x:c>
      <x:c r="X187" s="18" t="str">
        <x:v>63</x:v>
      </x:c>
      <x:c r="Y187" s="18" t="str">
        <x:v>Artículos literales</x:v>
      </x:c>
      <x:c r="Z187" s="18" t="str">
        <x:v>Media</x:v>
      </x:c>
      <x:c r="AA187" s="18" t="str">
        <x:v>G04</x:v>
      </x:c>
      <x:c r="AB187" s="18" t="str"/>
      <x:c r="AC187" s="18" t="str"/>
      <x:c r="AD187" s="18" t="str">
        <x:v>No</x:v>
      </x:c>
      <x:c r="AE187" s="18" t="str">
        <x:v>Teórico</x:v>
      </x:c>
      <x:c r="AF187" s="18" t="str">
        <x:v>B</x:v>
      </x:c>
      <x:c r="AG187" s="18" t="str">
        <x:v>B</x:v>
      </x:c>
      <x:c r="AH187" s="18" t="str">
        <x:v>Válida</x:v>
      </x:c>
      <x:c r="AI187" s="18" t="str">
        <x:v>01. Información oficial de la oposición\Exámenes oficiales anteriores\2025 Convocatoria 2024 - Acceso libre Modelo A.pdf</x:v>
      </x:c>
      <x:c r="AJ187" s="18" t="str">
        <x:v>https://www.seg-social.es/wps/portal/wss/internet/InformacionUtil/9950/88beb45d-ca83-4bab-8162-f94ef2894562/7e46efac-32c8-4cf6-b3d3-d592c3560dff/rdpi_administrativos_2024</x:v>
      </x:c>
      <x:c r="AK187" s="18" t="str">
        <x:v>OCR Windows es-ES sobre PDF oficial</x:v>
      </x:c>
      <x:c r="AL187" s="18" t="n">
        <x:v>100</x:v>
      </x:c>
      <x:c r="AM187" s="18" t="str">
        <x:v>Alta</x:v>
      </x:c>
      <x:c r="AN187" s="18" t="str">
        <x:v>Regla jurídica determinista</x:v>
      </x:c>
      <x:c r="AO187" s="18" t="str">
        <x:v>2025_conv2024_ordinario_A-T04</x:v>
      </x:c>
      <x:c r="AP187" s="18" t="n">
        <x:v>1</x:v>
      </x:c>
    </x:row>
    <x:row r="188">
      <x:c r="A188" s="18" t="str">
        <x:v>2025_conv2024_ordinario_A-T05</x:v>
      </x:c>
      <x:c r="B188" s="18" t="n">
        <x:v>2025</x:v>
      </x:c>
      <x:c r="C188" s="18" t="n">
        <x:v>2024</x:v>
      </x:c>
      <x:c r="D188" s="28" t="n">
        <x:v>45913</x:v>
      </x:c>
      <x:c r="E188" s="18" t="str">
        <x:v>Acceso libre</x:v>
      </x:c>
      <x:c r="F188" s="18" t="str">
        <x:v>Primera parte</x:v>
      </x:c>
      <x:c r="G188" s="18" t="str">
        <x:v>A</x:v>
      </x:c>
      <x:c r="H188" s="18" t="str">
        <x:v>A/B</x:v>
      </x:c>
      <x:c r="I188" s="18" t="str">
        <x:v>Sí</x:v>
      </x:c>
      <x:c r="J188" s="18" t="str">
        <x:v>Modelo A usado como variante canónica; el modelo B oficial está archivado y permuta el orden y/o las opciones.</x:v>
      </x:c>
      <x:c r="K188" s="18" t="n">
        <x:v>5</x:v>
      </x:c>
      <x:c r="L188" s="18" t="str">
        <x:v>No</x:v>
      </x:c>
      <x:c r="M188" s="18" t="str">
        <x:v>De acuerdo con 10 establecido en eI artículo 68 de la Constitución Española, el Congreso se compone de:</x:v>
      </x:c>
      <x:c r="N188" s="18" t="str">
        <x:v>EI Congreso se compone de un mínimo de 400 y un máximo de 450 Diputados, elegidos por sufragio universal, libre, igual, directo y secreto, en los términos que establezca la ley.</x:v>
      </x:c>
      <x:c r="O188" s="18" t="str">
        <x:v>EI Congreso se compone de un mínimo de 300 y un máximo de 400 Diputados, elegidos por sufragio pasivo, libre, igual, indirecto y secreto, en los términos que establezca la ley.</x:v>
      </x:c>
      <x:c r="P188" s="18" t="str">
        <x:v>EI Congreso se compone de un minimo de 300 y un máximo de 400 Diputados, elegidos por sufragio universal, libre, igual, directo y secreto, en los términos que establezca la ley.</x:v>
      </x:c>
      <x:c r="Q188" s="18" t="str">
        <x:v>EI Congreso se compone de un mínimo de 200 y un máximo de 400 Diputados, elegidos por sufragio universal, libre, igual, directo y secreto, en los términos que establezca la ley.</x:v>
      </x:c>
      <x:c r="R188" s="18" t="str">
        <x:v>G05</x:v>
      </x:c>
      <x:c r="S188" s="18" t="n">
        <x:v>5</x:v>
      </x:c>
      <x:c r="T188" s="18" t="str">
        <x:v>Temario general</x:v>
      </x:c>
      <x:c r="U188" s="18" t="str">
        <x:v>El poder legislativo. Las Cortes Generales: Composición, atribuciones y funcionamiento. El Defensor del Pueblo.</x:v>
      </x:c>
      <x:c r="V188" s="18" t="str">
        <x:v>G05</x:v>
      </x:c>
      <x:c r="W188" s="18" t="str">
        <x:v>Constitución Española</x:v>
      </x:c>
      <x:c r="X188" s="18" t="str">
        <x:v>68</x:v>
      </x:c>
      <x:c r="Y188" s="18" t="str">
        <x:v>Artículos literales</x:v>
      </x:c>
      <x:c r="Z188" s="18" t="str">
        <x:v>Media</x:v>
      </x:c>
      <x:c r="AA188" s="18" t="str">
        <x:v>G05</x:v>
      </x:c>
      <x:c r="AB188" s="18" t="str"/>
      <x:c r="AC188" s="18" t="str"/>
      <x:c r="AD188" s="18" t="str">
        <x:v>No</x:v>
      </x:c>
      <x:c r="AE188" s="18" t="str">
        <x:v>Teórico</x:v>
      </x:c>
      <x:c r="AF188" s="18" t="str">
        <x:v>C</x:v>
      </x:c>
      <x:c r="AG188" s="18" t="str">
        <x:v>C</x:v>
      </x:c>
      <x:c r="AH188" s="18" t="str">
        <x:v>Válida</x:v>
      </x:c>
      <x:c r="AI188" s="18" t="str">
        <x:v>01. Información oficial de la oposición\Exámenes oficiales anteriores\2025 Convocatoria 2024 - Acceso libre Modelo A.pdf</x:v>
      </x:c>
      <x:c r="AJ188" s="18" t="str">
        <x:v>https://www.seg-social.es/wps/portal/wss/internet/InformacionUtil/9950/88beb45d-ca83-4bab-8162-f94ef2894562/7e46efac-32c8-4cf6-b3d3-d592c3560dff/rdpi_administrativos_2024</x:v>
      </x:c>
      <x:c r="AK188" s="18" t="str">
        <x:v>OCR Windows es-ES sobre PDF oficial</x:v>
      </x:c>
      <x:c r="AL188" s="18" t="n">
        <x:v>100</x:v>
      </x:c>
      <x:c r="AM188" s="18" t="str">
        <x:v>Alta</x:v>
      </x:c>
      <x:c r="AN188" s="18" t="str">
        <x:v>Regla jurídica determinista</x:v>
      </x:c>
      <x:c r="AO188" s="18" t="str">
        <x:v>2025_conv2024_ordinario_A-T05</x:v>
      </x:c>
      <x:c r="AP188" s="18" t="n">
        <x:v>1</x:v>
      </x:c>
    </x:row>
    <x:row r="189">
      <x:c r="A189" s="18" t="str">
        <x:v>2025_conv2024_ordinario_A-T06</x:v>
      </x:c>
      <x:c r="B189" s="18" t="n">
        <x:v>2025</x:v>
      </x:c>
      <x:c r="C189" s="18" t="n">
        <x:v>2024</x:v>
      </x:c>
      <x:c r="D189" s="28" t="n">
        <x:v>45913</x:v>
      </x:c>
      <x:c r="E189" s="18" t="str">
        <x:v>Acceso libre</x:v>
      </x:c>
      <x:c r="F189" s="18" t="str">
        <x:v>Primera parte</x:v>
      </x:c>
      <x:c r="G189" s="18" t="str">
        <x:v>A</x:v>
      </x:c>
      <x:c r="H189" s="18" t="str">
        <x:v>A/B</x:v>
      </x:c>
      <x:c r="I189" s="18" t="str">
        <x:v>Sí</x:v>
      </x:c>
      <x:c r="J189" s="18" t="str">
        <x:v>Modelo A usado como variante canónica; el modelo B oficial está archivado y permuta el orden y/o las opciones.</x:v>
      </x:c>
      <x:c r="K189" s="18" t="n">
        <x:v>6</x:v>
      </x:c>
      <x:c r="L189" s="18" t="str">
        <x:v>No</x:v>
      </x:c>
      <x:c r="M189" s="18" t="str">
        <x:v>De acuerdo con 10 establecido en el articulo 122 de la Constitución Española, el Consejo General del Poder Judicial estará integrado por:</x:v>
      </x:c>
      <x:c r="N189" s="18" t="str">
        <x:v>EI Presidente del Tribunal Superior de Justicia, que 10 presidirá, y por veinte miembros nombrados por el Rey por un período de cinco años.</x:v>
      </x:c>
      <x:c r="O189" s="18" t="str">
        <x:v>EI Presidente del Tribunal Supremo, que 10 presidirá, y por quince miembros nombrados por eI Rey por un período de cinco años.</x:v>
      </x:c>
      <x:c r="P189" s="18" t="str">
        <x:v>EI Presidente del Tribunai Supremo, que 10 presidirá, y por veinte miembros nombrados por el Rey por un período de cuatro años.</x:v>
      </x:c>
      <x:c r="Q189" s="18" t="str">
        <x:v>EI Presidente del Tribunal Supremo, que 10 presidirá, y por veinte miembros nombrados por el Rey por un período de cinco años.</x:v>
      </x:c>
      <x:c r="R189" s="18" t="str">
        <x:v>G06</x:v>
      </x:c>
      <x:c r="S189" s="18" t="n">
        <x:v>6</x:v>
      </x:c>
      <x:c r="T189" s="18" t="str">
        <x:v>Temario general</x:v>
      </x:c>
      <x:c r="U189" s="18" t="str">
        <x:v>El Poder Judicial. El principio de unidad jurisdiccional. El Consejo General del Poder Judicial. La organización judicial española.</x:v>
      </x:c>
      <x:c r="V189" s="18" t="str">
        <x:v>G06</x:v>
      </x:c>
      <x:c r="W189" s="18" t="str">
        <x:v>Constitución Española</x:v>
      </x:c>
      <x:c r="X189" s="18" t="str">
        <x:v>122</x:v>
      </x:c>
      <x:c r="Y189" s="18" t="str">
        <x:v>Artículos literales</x:v>
      </x:c>
      <x:c r="Z189" s="18" t="str">
        <x:v>Media</x:v>
      </x:c>
      <x:c r="AA189" s="18" t="str">
        <x:v>G06</x:v>
      </x:c>
      <x:c r="AB189" s="18" t="str">
        <x:v>Consejo General del Poder Judicial</x:v>
      </x:c>
      <x:c r="AC189" s="18" t="str"/>
      <x:c r="AD189" s="18" t="str">
        <x:v>No</x:v>
      </x:c>
      <x:c r="AE189" s="18" t="str">
        <x:v>Teórico</x:v>
      </x:c>
      <x:c r="AF189" s="18" t="str">
        <x:v>D</x:v>
      </x:c>
      <x:c r="AG189" s="18" t="str">
        <x:v>D</x:v>
      </x:c>
      <x:c r="AH189" s="18" t="str">
        <x:v>Válida</x:v>
      </x:c>
      <x:c r="AI189" s="18" t="str">
        <x:v>01. Información oficial de la oposición\Exámenes oficiales anteriores\2025 Convocatoria 2024 - Acceso libre Modelo A.pdf</x:v>
      </x:c>
      <x:c r="AJ189" s="18" t="str">
        <x:v>https://www.seg-social.es/wps/portal/wss/internet/InformacionUtil/9950/88beb45d-ca83-4bab-8162-f94ef2894562/7e46efac-32c8-4cf6-b3d3-d592c3560dff/rdpi_administrativos_2024</x:v>
      </x:c>
      <x:c r="AK189" s="18" t="str">
        <x:v>OCR Windows es-ES sobre PDF oficial</x:v>
      </x:c>
      <x:c r="AL189" s="18" t="n">
        <x:v>100</x:v>
      </x:c>
      <x:c r="AM189" s="18" t="str">
        <x:v>Alta</x:v>
      </x:c>
      <x:c r="AN189" s="18" t="str">
        <x:v>Regla jurídica determinista</x:v>
      </x:c>
      <x:c r="AO189" s="18" t="str">
        <x:v>2025_conv2024_ordinario_A-T06</x:v>
      </x:c>
      <x:c r="AP189" s="18" t="n">
        <x:v>1</x:v>
      </x:c>
    </x:row>
    <x:row r="190">
      <x:c r="A190" s="18" t="str">
        <x:v>2025_conv2024_ordinario_A-T07</x:v>
      </x:c>
      <x:c r="B190" s="18" t="n">
        <x:v>2025</x:v>
      </x:c>
      <x:c r="C190" s="18" t="n">
        <x:v>2024</x:v>
      </x:c>
      <x:c r="D190" s="28" t="n">
        <x:v>45913</x:v>
      </x:c>
      <x:c r="E190" s="18" t="str">
        <x:v>Acceso libre</x:v>
      </x:c>
      <x:c r="F190" s="18" t="str">
        <x:v>Primera parte</x:v>
      </x:c>
      <x:c r="G190" s="18" t="str">
        <x:v>A</x:v>
      </x:c>
      <x:c r="H190" s="18" t="str">
        <x:v>A/B</x:v>
      </x:c>
      <x:c r="I190" s="18" t="str">
        <x:v>Sí</x:v>
      </x:c>
      <x:c r="J190" s="18" t="str">
        <x:v>Modelo A usado como variante canónica; el modelo B oficial está archivado y permuta el orden y/o las opciones.</x:v>
      </x:c>
      <x:c r="K190" s="18" t="n">
        <x:v>7</x:v>
      </x:c>
      <x:c r="L190" s="18" t="str">
        <x:v>No</x:v>
      </x:c>
      <x:c r="M190" s="18" t="str">
        <x:v>Según eI artículo 102 de la Constitución Española, señale la afirmación correcta.</x:v>
      </x:c>
      <x:c r="N190" s="18" t="str">
        <x:v>La responsabilidad criminal del Presidente y los demás miembros del Gobierno será exigible, en su caso, ante la Sala de 10 Penal del Tribunal Supremo.</x:v>
      </x:c>
      <x:c r="O190" s="18" t="str">
        <x:v>Si la acusación fuere por traición o por cualquier delito contra la seguridad del Estado en el ejercicio de sus funciones; sólo podrá ser planteada por iniciativa de al menos la décima parte de los miembros del Congreso, y con la aprobación de la mayoría absoluta del mismo.</x:v>
      </x:c>
      <x:c r="P190" s="18" t="str">
        <x:v>La responsabilidad criminal del Presidente y los demás miembros del Gobierno será exigible, en su caso, ante la Sala Primera del Tribunal Constitucional.</x:v>
      </x:c>
      <x:c r="Q190" s="18" t="str">
        <x:v>Si la acusación fuere por traición o por cualquier delito contra la seguridad del Estado en eI ejercicio de sus funciones, sólo podrá ser planteada por iniciativa de la quinta parte de los miembros del Congreso, y con la aprobación de la mayoría absoluta del mismo.</x:v>
      </x:c>
      <x:c r="R190" s="18" t="str">
        <x:v>G07</x:v>
      </x:c>
      <x:c r="S190" s="18" t="n">
        <x:v>7</x:v>
      </x:c>
      <x:c r="T190" s="18" t="str">
        <x:v>Temario general</x:v>
      </x:c>
      <x:c r="U190" s="18" t="str">
        <x:v>El poder ejecutivo. El presidente del Gobierno y el Consejo de Ministros. Relaciones entre el Gobierno y las Cortes Generales. Designación, causas de cese y responsabilidad del Gobierno. El Consejo de Estado.</x:v>
      </x:c>
      <x:c r="V190" s="18" t="str">
        <x:v>G07</x:v>
      </x:c>
      <x:c r="W190" s="18" t="str">
        <x:v>Constitución Española</x:v>
      </x:c>
      <x:c r="X190" s="18" t="str">
        <x:v>102</x:v>
      </x:c>
      <x:c r="Y190" s="18" t="str">
        <x:v>Artículos literales</x:v>
      </x:c>
      <x:c r="Z190" s="18" t="str">
        <x:v>Media</x:v>
      </x:c>
      <x:c r="AA190" s="18" t="str">
        <x:v>G07</x:v>
      </x:c>
      <x:c r="AB190" s="18" t="str"/>
      <x:c r="AC190" s="18" t="str"/>
      <x:c r="AD190" s="18" t="str">
        <x:v>No</x:v>
      </x:c>
      <x:c r="AE190" s="18" t="str">
        <x:v>Teórico</x:v>
      </x:c>
      <x:c r="AF190" s="18" t="str">
        <x:v>A</x:v>
      </x:c>
      <x:c r="AG190" s="18" t="str">
        <x:v>A</x:v>
      </x:c>
      <x:c r="AH190" s="18" t="str">
        <x:v>Válida</x:v>
      </x:c>
      <x:c r="AI190" s="18" t="str">
        <x:v>01. Información oficial de la oposición\Exámenes oficiales anteriores\2025 Convocatoria 2024 - Acceso libre Modelo A.pdf</x:v>
      </x:c>
      <x:c r="AJ190" s="18" t="str">
        <x:v>https://www.seg-social.es/wps/portal/wss/internet/InformacionUtil/9950/88beb45d-ca83-4bab-8162-f94ef2894562/7e46efac-32c8-4cf6-b3d3-d592c3560dff/rdpi_administrativos_2024</x:v>
      </x:c>
      <x:c r="AK190" s="18" t="str">
        <x:v>OCR Windows es-ES sobre PDF oficial</x:v>
      </x:c>
      <x:c r="AL190" s="18" t="n">
        <x:v>100</x:v>
      </x:c>
      <x:c r="AM190" s="18" t="str">
        <x:v>Alta</x:v>
      </x:c>
      <x:c r="AN190" s="18" t="str">
        <x:v>Regla jurídica determinista</x:v>
      </x:c>
      <x:c r="AO190" s="18" t="str">
        <x:v>2025_conv2024_ordinario_A-T07</x:v>
      </x:c>
      <x:c r="AP190" s="18" t="n">
        <x:v>1</x:v>
      </x:c>
    </x:row>
    <x:row r="191">
      <x:c r="A191" s="18" t="str">
        <x:v>2025_conv2024_ordinario_A-T08</x:v>
      </x:c>
      <x:c r="B191" s="18" t="n">
        <x:v>2025</x:v>
      </x:c>
      <x:c r="C191" s="18" t="n">
        <x:v>2024</x:v>
      </x:c>
      <x:c r="D191" s="28" t="n">
        <x:v>45913</x:v>
      </x:c>
      <x:c r="E191" s="18" t="str">
        <x:v>Acceso libre</x:v>
      </x:c>
      <x:c r="F191" s="18" t="str">
        <x:v>Primera parte</x:v>
      </x:c>
      <x:c r="G191" s="18" t="str">
        <x:v>A</x:v>
      </x:c>
      <x:c r="H191" s="18" t="str">
        <x:v>A/B</x:v>
      </x:c>
      <x:c r="I191" s="18" t="str">
        <x:v>Sí</x:v>
      </x:c>
      <x:c r="J191" s="18" t="str">
        <x:v>Modelo A usado como variante canónica; el modelo B oficial está archivado y permuta el orden y/o las opciones.</x:v>
      </x:c>
      <x:c r="K191" s="18" t="n">
        <x:v>8</x:v>
      </x:c>
      <x:c r="L191" s="18" t="str">
        <x:v>No</x:v>
      </x:c>
      <x:c r="M191" s="18" t="str">
        <x:v>¿En qué Título de la Ley 5011997, de 27 de noviembre, del Gobierno, se regula el Gobierno en Funciones?</x:v>
      </x:c>
      <x:c r="N191" s="18" t="str">
        <x:v>Título VI.</x:v>
      </x:c>
      <x:c r="O191" s="18" t="str">
        <x:v>Título VII.</x:v>
      </x:c>
      <x:c r="P191" s="18" t="str">
        <x:v>Título IV.</x:v>
      </x:c>
      <x:c r="Q191" s="18" t="str">
        <x:v>Título V.</x:v>
      </x:c>
      <x:c r="R191" s="18" t="str">
        <x:v>G07</x:v>
      </x:c>
      <x:c r="S191" s="18" t="n">
        <x:v>7</x:v>
      </x:c>
      <x:c r="T191" s="18" t="str">
        <x:v>Temario general</x:v>
      </x:c>
      <x:c r="U191" s="18" t="str">
        <x:v>El poder ejecutivo. El presidente del Gobierno y el Consejo de Ministros. Relaciones entre el Gobierno y las Cortes Generales. Designación, causas de cese y responsabilidad del Gobierno. El Consejo de Estado.</x:v>
      </x:c>
      <x:c r="V191" s="18" t="str">
        <x:v>G07</x:v>
      </x:c>
      <x:c r="W191" s="18" t="str"/>
      <x:c r="X191" s="18" t="str"/>
      <x:c r="Y191" s="18" t="str">
        <x:v>Artículos literales</x:v>
      </x:c>
      <x:c r="Z191" s="18" t="str">
        <x:v>Media</x:v>
      </x:c>
      <x:c r="AA191" s="18" t="str">
        <x:v>G07</x:v>
      </x:c>
      <x:c r="AB191" s="18" t="str"/>
      <x:c r="AC191" s="18" t="str"/>
      <x:c r="AD191" s="18" t="str">
        <x:v>No</x:v>
      </x:c>
      <x:c r="AE191" s="18" t="str">
        <x:v>Teórico</x:v>
      </x:c>
      <x:c r="AF191" s="18" t="str">
        <x:v>C</x:v>
      </x:c>
      <x:c r="AG191" s="18" t="str">
        <x:v>C</x:v>
      </x:c>
      <x:c r="AH191" s="18" t="str">
        <x:v>Válida</x:v>
      </x:c>
      <x:c r="AI191" s="18" t="str">
        <x:v>01. Información oficial de la oposición\Exámenes oficiales anteriores\2025 Convocatoria 2024 - Acceso libre Modelo A.pdf</x:v>
      </x:c>
      <x:c r="AJ191" s="18" t="str">
        <x:v>https://www.seg-social.es/wps/portal/wss/internet/InformacionUtil/9950/88beb45d-ca83-4bab-8162-f94ef2894562/7e46efac-32c8-4cf6-b3d3-d592c3560dff/rdpi_administrativos_2024</x:v>
      </x:c>
      <x:c r="AK191" s="18" t="str">
        <x:v>OCR Windows es-ES sobre PDF oficial</x:v>
      </x:c>
      <x:c r="AL191" s="18" t="n">
        <x:v>100</x:v>
      </x:c>
      <x:c r="AM191" s="18" t="str">
        <x:v>Alta</x:v>
      </x:c>
      <x:c r="AN191" s="18" t="str">
        <x:v>Revisión jurídica individual</x:v>
      </x:c>
      <x:c r="AO191" s="18" t="str">
        <x:v>2025_conv2024_ordinario_A-T08</x:v>
      </x:c>
      <x:c r="AP191" s="18" t="n">
        <x:v>1</x:v>
      </x:c>
    </x:row>
    <x:row r="192">
      <x:c r="A192" s="18" t="str">
        <x:v>2025_conv2024_ordinario_A-T09</x:v>
      </x:c>
      <x:c r="B192" s="18" t="n">
        <x:v>2025</x:v>
      </x:c>
      <x:c r="C192" s="18" t="n">
        <x:v>2024</x:v>
      </x:c>
      <x:c r="D192" s="28" t="n">
        <x:v>45913</x:v>
      </x:c>
      <x:c r="E192" s="18" t="str">
        <x:v>Acceso libre</x:v>
      </x:c>
      <x:c r="F192" s="18" t="str">
        <x:v>Primera parte</x:v>
      </x:c>
      <x:c r="G192" s="18" t="str">
        <x:v>A</x:v>
      </x:c>
      <x:c r="H192" s="18" t="str">
        <x:v>A/B</x:v>
      </x:c>
      <x:c r="I192" s="18" t="str">
        <x:v>Sí</x:v>
      </x:c>
      <x:c r="J192" s="18" t="str">
        <x:v>Modelo A usado como variante canónica; el modelo B oficial está archivado y permuta el orden y/o las opciones.</x:v>
      </x:c>
      <x:c r="K192" s="18" t="n">
        <x:v>9</x:v>
      </x:c>
      <x:c r="L192" s="18" t="str">
        <x:v>No</x:v>
      </x:c>
      <x:c r="M192" s="18" t="str">
        <x:v>EI proyecto de Estatuto, conforme al artículo 146 de la Constitución Española:</x:v>
      </x:c>
      <x:c r="N192" s="18" t="str">
        <x:v>Será elaborado por una asamblea compuesta únicamente por los miembros de la Diputación u órgano interinsular de las provincias afectadas y será elevado a las Cortes Generales para su tramitación como ley.</x:v>
      </x:c>
      <x:c r="O192" s="18" t="str">
        <x:v>Será elaborado por una asamblea compuesta por los miembros de la Diputación u órgano interinsular de las provincias afectadas y por los Diputados y Senadores elegidos en ellas y será elevado a las Cortes Generales para su tramitación como ley.</x:v>
      </x:c>
      <x:c r="P192" s="18" t="str">
        <x:v>Será elaborado por la Diputación provincial de la provincia en la que se vaya a situar la futura capital de la Comunidad Autónoma y será elevado a las Cortes Generales para su tramitación como ley.</x:v>
      </x:c>
      <x:c r="Q192" s="18" t="str">
        <x:v>Será elaborado por una asamblea compuesta por los miembros de la Diputación u órgano interinsular de las provincias afectadas y por los Diputados y Senadores elegidos en ellas y se aprobará por mayoría absoluta en el Pleno de cada una de las Diputaciones provinciales de las provincias afectadas.</x:v>
      </x:c>
      <x:c r="R192" s="18" t="str">
        <x:v>G09</x:v>
      </x:c>
      <x:c r="S192" s="18" t="n">
        <x:v>9</x:v>
      </x:c>
      <x:c r="T192" s="18" t="str">
        <x:v>Temario general</x:v>
      </x:c>
      <x:c r="U192" s="18" t="str">
        <x:v>La organización territorial del Estado. Las Comunidades Autónomas. Los Estatutos de Autonomía. La delimitación de competencias entre el Estado y las Comunidades Autónomas en la Constitución y en los Estatutos de Autonomía. La Administración local: El municipio. La provincia.</x:v>
      </x:c>
      <x:c r="V192" s="18" t="str">
        <x:v>G09</x:v>
      </x:c>
      <x:c r="W192" s="18" t="str">
        <x:v>Constitución Española</x:v>
      </x:c>
      <x:c r="X192" s="18" t="str">
        <x:v>146</x:v>
      </x:c>
      <x:c r="Y192" s="18" t="str">
        <x:v>Artículos literales</x:v>
      </x:c>
      <x:c r="Z192" s="18" t="str">
        <x:v>Media</x:v>
      </x:c>
      <x:c r="AA192" s="18" t="str">
        <x:v>G09</x:v>
      </x:c>
      <x:c r="AB192" s="18" t="str"/>
      <x:c r="AC192" s="18" t="str"/>
      <x:c r="AD192" s="18" t="str">
        <x:v>No</x:v>
      </x:c>
      <x:c r="AE192" s="18" t="str">
        <x:v>Teórico</x:v>
      </x:c>
      <x:c r="AF192" s="18" t="str">
        <x:v>B</x:v>
      </x:c>
      <x:c r="AG192" s="18" t="str">
        <x:v>B</x:v>
      </x:c>
      <x:c r="AH192" s="18" t="str">
        <x:v>Válida</x:v>
      </x:c>
      <x:c r="AI192" s="18" t="str">
        <x:v>01. Información oficial de la oposición\Exámenes oficiales anteriores\2025 Convocatoria 2024 - Acceso libre Modelo A.pdf</x:v>
      </x:c>
      <x:c r="AJ192" s="18" t="str">
        <x:v>https://www.seg-social.es/wps/portal/wss/internet/InformacionUtil/9950/88beb45d-ca83-4bab-8162-f94ef2894562/7e46efac-32c8-4cf6-b3d3-d592c3560dff/rdpi_administrativos_2024</x:v>
      </x:c>
      <x:c r="AK192" s="18" t="str">
        <x:v>OCR Windows es-ES sobre PDF oficial</x:v>
      </x:c>
      <x:c r="AL192" s="18" t="n">
        <x:v>100</x:v>
      </x:c>
      <x:c r="AM192" s="18" t="str">
        <x:v>Alta</x:v>
      </x:c>
      <x:c r="AN192" s="18" t="str">
        <x:v>Regla jurídica determinista</x:v>
      </x:c>
      <x:c r="AO192" s="18" t="str">
        <x:v>2025_conv2024_ordinario_A-T09</x:v>
      </x:c>
      <x:c r="AP192" s="18" t="n">
        <x:v>1</x:v>
      </x:c>
    </x:row>
    <x:row r="193">
      <x:c r="A193" s="18" t="str">
        <x:v>2025_conv2024_ordinario_A-T10</x:v>
      </x:c>
      <x:c r="B193" s="18" t="n">
        <x:v>2025</x:v>
      </x:c>
      <x:c r="C193" s="18" t="n">
        <x:v>2024</x:v>
      </x:c>
      <x:c r="D193" s="28" t="n">
        <x:v>45913</x:v>
      </x:c>
      <x:c r="E193" s="18" t="str">
        <x:v>Acceso libre</x:v>
      </x:c>
      <x:c r="F193" s="18" t="str">
        <x:v>Primera parte</x:v>
      </x:c>
      <x:c r="G193" s="18" t="str">
        <x:v>A</x:v>
      </x:c>
      <x:c r="H193" s="18" t="str">
        <x:v>A/B</x:v>
      </x:c>
      <x:c r="I193" s="18" t="str">
        <x:v>Sí</x:v>
      </x:c>
      <x:c r="J193" s="18" t="str">
        <x:v>Modelo A usado como variante canónica; el modelo B oficial está archivado y permuta el orden y/o las opciones.</x:v>
      </x:c>
      <x:c r="K193" s="18" t="n">
        <x:v>10</x:v>
      </x:c>
      <x:c r="L193" s="18" t="str">
        <x:v>No</x:v>
      </x:c>
      <x:c r="M193" s="18" t="str">
        <x:v>De acuerdo con 10 fijado en el Capítulo 3, sobre Órganos Consultivos de la Unión, del Tratado de Funcionamiento de la Unión Europea, en relación con el Comité Económico y Social:</x:v>
      </x:c>
      <x:c r="N193" s="18" t="str">
        <x:v>Los miembros del Comité son nombrados por un período de 4 años.</x:v>
      </x:c>
      <x:c r="O193" s="18" t="str">
        <x:v>EI Comité designará de entre sus miembros al Presidente y a la Mesa, por un período máximo de dos años.</x:v>
      </x:c>
      <x:c r="P193" s="18" t="str">
        <x:v>EI Consejo adoptará por unanimidad, a propuesta de la Comisión, una decisión por la que se establezca la composición del Comité.</x:v>
      </x:c>
      <x:c r="Q193" s="18" t="str">
        <x:v>EI número de miembros del Comité Económico y Social no excederá de ciento cincuenta.</x:v>
      </x:c>
      <x:c r="R193" s="18" t="str">
        <x:v>G10</x:v>
      </x:c>
      <x:c r="S193" s="18" t="n">
        <x:v>10</x:v>
      </x:c>
      <x:c r="T193" s="18" t="str">
        <x:v>Temario general</x:v>
      </x:c>
      <x:c r="U193" s="18" t="str">
        <x:v>Las Instituciones de la Unión Europea: El Consejo, el Parlamento Europeo, la Comisión, el Tribunal de Justicia.</x:v>
      </x:c>
      <x:c r="V193" s="18" t="str">
        <x:v>G10</x:v>
      </x:c>
      <x:c r="W193" s="18" t="str">
        <x:v>Tratado de Funcionamiento de la Unión Europea</x:v>
      </x:c>
      <x:c r="X193" s="18" t="str"/>
      <x:c r="Y193" s="18" t="str">
        <x:v>Órganos</x:v>
      </x:c>
      <x:c r="Z193" s="18" t="str">
        <x:v>Media</x:v>
      </x:c>
      <x:c r="AA193" s="18" t="str">
        <x:v>G10</x:v>
      </x:c>
      <x:c r="AB193" s="18" t="str"/>
      <x:c r="AC193" s="18" t="str"/>
      <x:c r="AD193" s="18" t="str">
        <x:v>No</x:v>
      </x:c>
      <x:c r="AE193" s="18" t="str">
        <x:v>Teórico</x:v>
      </x:c>
      <x:c r="AF193" s="18" t="str">
        <x:v>C</x:v>
      </x:c>
      <x:c r="AG193" s="18" t="str">
        <x:v>C</x:v>
      </x:c>
      <x:c r="AH193" s="18" t="str">
        <x:v>Válida</x:v>
      </x:c>
      <x:c r="AI193" s="18" t="str">
        <x:v>01. Información oficial de la oposición\Exámenes oficiales anteriores\2025 Convocatoria 2024 - Acceso libre Modelo A.pdf</x:v>
      </x:c>
      <x:c r="AJ193" s="18" t="str">
        <x:v>https://www.seg-social.es/wps/portal/wss/internet/InformacionUtil/9950/88beb45d-ca83-4bab-8162-f94ef2894562/7e46efac-32c8-4cf6-b3d3-d592c3560dff/rdpi_administrativos_2024</x:v>
      </x:c>
      <x:c r="AK193" s="18" t="str">
        <x:v>OCR Windows es-ES sobre PDF oficial</x:v>
      </x:c>
      <x:c r="AL193" s="18" t="n">
        <x:v>100</x:v>
      </x:c>
      <x:c r="AM193" s="18" t="str">
        <x:v>Alta</x:v>
      </x:c>
      <x:c r="AN193" s="18" t="str">
        <x:v>Regla jurídica determinista</x:v>
      </x:c>
      <x:c r="AO193" s="18" t="str">
        <x:v>2025_conv2024_ordinario_A-T10</x:v>
      </x:c>
      <x:c r="AP193" s="18" t="n">
        <x:v>1</x:v>
      </x:c>
    </x:row>
    <x:row r="194">
      <x:c r="A194" s="18" t="str">
        <x:v>2025_conv2024_ordinario_A-T11</x:v>
      </x:c>
      <x:c r="B194" s="18" t="n">
        <x:v>2025</x:v>
      </x:c>
      <x:c r="C194" s="18" t="n">
        <x:v>2024</x:v>
      </x:c>
      <x:c r="D194" s="28" t="n">
        <x:v>45913</x:v>
      </x:c>
      <x:c r="E194" s="18" t="str">
        <x:v>Acceso libre</x:v>
      </x:c>
      <x:c r="F194" s="18" t="str">
        <x:v>Primera parte</x:v>
      </x:c>
      <x:c r="G194" s="18" t="str">
        <x:v>A</x:v>
      </x:c>
      <x:c r="H194" s="18" t="str">
        <x:v>A/B</x:v>
      </x:c>
      <x:c r="I194" s="18" t="str">
        <x:v>Sí</x:v>
      </x:c>
      <x:c r="J194" s="18" t="str">
        <x:v>Modelo A usado como variante canónica; el modelo B oficial está archivado y permuta el orden y/o las opciones.</x:v>
      </x:c>
      <x:c r="K194" s="18" t="n">
        <x:v>11</x:v>
      </x:c>
      <x:c r="L194" s="18" t="str">
        <x:v>No</x:v>
      </x:c>
      <x:c r="M194" s="18" t="str">
        <x:v>De acuerdo con 10 fijado en el artículo 218 del título V del Tratado de Funcionamiento de la Unión Europea, con excepción de los acuerdos que se refieran exclusivamente a la política exterior y de seguridad común, eI Consejo adoptará la decisión de celebración del acuerdo, previa aprobación del Parlamento Europeo, en los casos siguientes:</x:v>
      </x:c>
      <x:c r="N194" s="18" t="str">
        <x:v>Acuerdos de asociación.</x:v>
      </x:c>
      <x:c r="O194" s="18" t="str">
        <x:v>Acuerdos sobre protección del medioambiente.</x:v>
      </x:c>
      <x:c r="P194" s="18" t="str">
        <x:v>Acuerdos sobre protección de los transportes y redes transeuropeas.</x:v>
      </x:c>
      <x:c r="Q194" s="18" t="str">
        <x:v>Acuerdos aduaneros.</x:v>
      </x:c>
      <x:c r="R194" s="18" t="str">
        <x:v>G11</x:v>
      </x:c>
      <x:c r="S194" s="18" t="n">
        <x:v>11</x:v>
      </x:c>
      <x:c r="T194" s="18" t="str">
        <x:v>Temario general</x:v>
      </x:c>
      <x:c r="U194" s="18" t="str">
        <x:v>Las fuentes del derecho de la Unión Europea. Derecho originario. Derecho derivado: Reglamentos, directivas y decisiones. Otras fuentes. Las relaciones entre el Derecho de la Unión Europea y el ordenamiento jurídico de los Estados miembros.</x:v>
      </x:c>
      <x:c r="V194" s="18" t="str">
        <x:v>G11</x:v>
      </x:c>
      <x:c r="W194" s="18" t="str">
        <x:v>Tratado de Funcionamiento de la Unión Europea</x:v>
      </x:c>
      <x:c r="X194" s="18" t="str">
        <x:v>218</x:v>
      </x:c>
      <x:c r="Y194" s="18" t="str">
        <x:v>Artículos literales</x:v>
      </x:c>
      <x:c r="Z194" s="18" t="str">
        <x:v>Alta</x:v>
      </x:c>
      <x:c r="AA194" s="18" t="str">
        <x:v>G11</x:v>
      </x:c>
      <x:c r="AB194" s="18" t="str">
        <x:v>Parlamento Europeo</x:v>
      </x:c>
      <x:c r="AC194" s="18" t="str"/>
      <x:c r="AD194" s="18" t="str">
        <x:v>No</x:v>
      </x:c>
      <x:c r="AE194" s="18" t="str">
        <x:v>Teórico</x:v>
      </x:c>
      <x:c r="AF194" s="18" t="str">
        <x:v>A</x:v>
      </x:c>
      <x:c r="AG194" s="18" t="str">
        <x:v>A</x:v>
      </x:c>
      <x:c r="AH194" s="18" t="str">
        <x:v>Válida</x:v>
      </x:c>
      <x:c r="AI194" s="18" t="str">
        <x:v>01. Información oficial de la oposición\Exámenes oficiales anteriores\2025 Convocatoria 2024 - Acceso libre Modelo A.pdf</x:v>
      </x:c>
      <x:c r="AJ194" s="18" t="str">
        <x:v>https://www.seg-social.es/wps/portal/wss/internet/InformacionUtil/9950/88beb45d-ca83-4bab-8162-f94ef2894562/7e46efac-32c8-4cf6-b3d3-d592c3560dff/rdpi_administrativos_2024</x:v>
      </x:c>
      <x:c r="AK194" s="18" t="str">
        <x:v>OCR Windows es-ES sobre PDF oficial</x:v>
      </x:c>
      <x:c r="AL194" s="18" t="n">
        <x:v>100</x:v>
      </x:c>
      <x:c r="AM194" s="18" t="str">
        <x:v>Alta</x:v>
      </x:c>
      <x:c r="AN194" s="18" t="str">
        <x:v>Regla jurídica determinista</x:v>
      </x:c>
      <x:c r="AO194" s="18" t="str">
        <x:v>2025_conv2024_ordinario_A-T11</x:v>
      </x:c>
      <x:c r="AP194" s="18" t="n">
        <x:v>1</x:v>
      </x:c>
    </x:row>
    <x:row r="195">
      <x:c r="A195" s="18" t="str">
        <x:v>2025_conv2024_ordinario_A-T12</x:v>
      </x:c>
      <x:c r="B195" s="18" t="n">
        <x:v>2025</x:v>
      </x:c>
      <x:c r="C195" s="18" t="n">
        <x:v>2024</x:v>
      </x:c>
      <x:c r="D195" s="28" t="n">
        <x:v>45913</x:v>
      </x:c>
      <x:c r="E195" s="18" t="str">
        <x:v>Acceso libre</x:v>
      </x:c>
      <x:c r="F195" s="18" t="str">
        <x:v>Primera parte</x:v>
      </x:c>
      <x:c r="G195" s="18" t="str">
        <x:v>A</x:v>
      </x:c>
      <x:c r="H195" s="18" t="str">
        <x:v>A/B</x:v>
      </x:c>
      <x:c r="I195" s="18" t="str">
        <x:v>Sí</x:v>
      </x:c>
      <x:c r="J195" s="18" t="str">
        <x:v>Modelo A usado como variante canónica; el modelo B oficial está archivado y permuta el orden y/o las opciones.</x:v>
      </x:c>
      <x:c r="K195" s="18" t="n">
        <x:v>12</x:v>
      </x:c>
      <x:c r="L195" s="18" t="str">
        <x:v>No</x:v>
      </x:c>
      <x:c r="M195" s="18" t="str">
        <x:v>Conforme a 10 previsto en eI artículo 1 del Real Decreto 501/2024, de 21 de mayo, por el que se desarrolla la estructura orgánica básica del Ministerio de Inclusión, Seguridad Social y Migraciones, como órgano de asistencia inmediata a la persona titular del Departamento existe un Gabinete con rango de:</x:v>
      </x:c>
      <x:c r="N195" s="18" t="str">
        <x:v>Subdirección General.</x:v>
      </x:c>
      <x:c r="O195" s="18" t="str">
        <x:v>Subsecretaría.</x:v>
      </x:c>
      <x:c r="P195" s="18" t="str">
        <x:v>Dirección General.</x:v>
      </x:c>
      <x:c r="Q195" s="18" t="str">
        <x:v>Secretaría General Técnica.</x:v>
      </x:c>
      <x:c r="R195" s="18" t="str">
        <x:v>G12</x:v>
      </x:c>
      <x:c r="S195" s="18" t="n">
        <x:v>12</x:v>
      </x:c>
      <x:c r="T195" s="18" t="str">
        <x:v>Temario general</x:v>
      </x:c>
      <x:c r="U195" s="18" t="str">
        <x:v>El Ministerio de Inclusión, Seguridad Social y Migraciones. Organización. Estructura y funciones.</x:v>
      </x:c>
      <x:c r="V195" s="18" t="str">
        <x:v>G12</x:v>
      </x:c>
      <x:c r="W195" s="18" t="str">
        <x:v>Real Decreto 501/2024</x:v>
      </x:c>
      <x:c r="X195" s="18" t="str">
        <x:v>1</x:v>
      </x:c>
      <x:c r="Y195" s="18" t="str">
        <x:v>Órganos</x:v>
      </x:c>
      <x:c r="Z195" s="18" t="str">
        <x:v>Media</x:v>
      </x:c>
      <x:c r="AA195" s="18" t="str">
        <x:v>G12</x:v>
      </x:c>
      <x:c r="AB195" s="18" t="str"/>
      <x:c r="AC195" s="18" t="str"/>
      <x:c r="AD195" s="18" t="str">
        <x:v>No</x:v>
      </x:c>
      <x:c r="AE195" s="18" t="str">
        <x:v>Teórico</x:v>
      </x:c>
      <x:c r="AF195" s="18" t="str">
        <x:v>C</x:v>
      </x:c>
      <x:c r="AG195" s="18" t="str">
        <x:v>C</x:v>
      </x:c>
      <x:c r="AH195" s="18" t="str">
        <x:v>Válida</x:v>
      </x:c>
      <x:c r="AI195" s="18" t="str">
        <x:v>01. Información oficial de la oposición\Exámenes oficiales anteriores\2025 Convocatoria 2024 - Acceso libre Modelo A.pdf</x:v>
      </x:c>
      <x:c r="AJ195" s="18" t="str">
        <x:v>https://www.seg-social.es/wps/portal/wss/internet/InformacionUtil/9950/88beb45d-ca83-4bab-8162-f94ef2894562/7e46efac-32c8-4cf6-b3d3-d592c3560dff/rdpi_administrativos_2024</x:v>
      </x:c>
      <x:c r="AK195" s="18" t="str">
        <x:v>OCR Windows es-ES sobre PDF oficial</x:v>
      </x:c>
      <x:c r="AL195" s="18" t="n">
        <x:v>100</x:v>
      </x:c>
      <x:c r="AM195" s="18" t="str">
        <x:v>Alta</x:v>
      </x:c>
      <x:c r="AN195" s="18" t="str">
        <x:v>Regla jurídica determinista</x:v>
      </x:c>
      <x:c r="AO195" s="18" t="str">
        <x:v>2025_conv2024_ordinario_A-T12</x:v>
      </x:c>
      <x:c r="AP195" s="18" t="n">
        <x:v>1</x:v>
      </x:c>
    </x:row>
    <x:row r="196">
      <x:c r="A196" s="18" t="str">
        <x:v>2025_conv2024_ordinario_A-T13</x:v>
      </x:c>
      <x:c r="B196" s="18" t="n">
        <x:v>2025</x:v>
      </x:c>
      <x:c r="C196" s="18" t="n">
        <x:v>2024</x:v>
      </x:c>
      <x:c r="D196" s="28" t="n">
        <x:v>45913</x:v>
      </x:c>
      <x:c r="E196" s="18" t="str">
        <x:v>Acceso libre</x:v>
      </x:c>
      <x:c r="F196" s="18" t="str">
        <x:v>Primera parte</x:v>
      </x:c>
      <x:c r="G196" s="18" t="str">
        <x:v>A</x:v>
      </x:c>
      <x:c r="H196" s="18" t="str">
        <x:v>A/B</x:v>
      </x:c>
      <x:c r="I196" s="18" t="str">
        <x:v>Sí</x:v>
      </x:c>
      <x:c r="J196" s="18" t="str">
        <x:v>Modelo A usado como variante canónica; el modelo B oficial está archivado y permuta el orden y/o las opciones.</x:v>
      </x:c>
      <x:c r="K196" s="18" t="n">
        <x:v>13</x:v>
      </x:c>
      <x:c r="L196" s="18" t="str">
        <x:v>No</x:v>
      </x:c>
      <x:c r="M196" s="18" t="str">
        <x:v>De acuerdo con los artículos 94 y 96 de la Constitución Española, en relación con los Tratados Internacionales, señale la respuesta correcta:</x:v>
      </x:c>
      <x:c r="N196" s="18" t="str">
        <x:v>Los tratados internacionales válidamente celebrados formarán parte del ordenamiento interno con independencia de que hayan sido o no publicados oficialmente en España.</x:v>
      </x:c>
      <x:c r="O196" s="18" t="str">
        <x:v>Las disposiciones de los tratados internacionales sólo podrán ser derogadas, modificadas o suspendidas en Ea forma prevista en los propios tratados o de acuerdo con las normas generales del Derecho internacional.</x:v>
      </x:c>
      <x:c r="P196" s="18" t="str">
        <x:v>Para la denuncia de los tratados y convenios internacionales se utilizará el procedimiento previsto para su aprobación en ei articulo 1.5 del Código Civil.</x:v>
      </x:c>
      <x:c r="Q196" s="18" t="str">
        <x:v>La prestación del consentimiento del Estado para obligarse por medio de tratados o convenios de carácter político requerirá la previa autorización del presidente del Gobierno.</x:v>
      </x:c>
      <x:c r="R196" s="18" t="str">
        <x:v>G13</x:v>
      </x:c>
      <x:c r="S196" s="18" t="n">
        <x:v>13</x:v>
      </x:c>
      <x:c r="T196" s="18" t="str">
        <x:v>Temario general</x:v>
      </x:c>
      <x:c r="U196" s="18" t="str">
        <x:v>Las fuentes del Derecho Administrativo. Concepto y clases. La jerarquía de las fuentes.</x:v>
      </x:c>
      <x:c r="V196" s="18" t="str">
        <x:v>G13</x:v>
      </x:c>
      <x:c r="W196" s="18" t="str">
        <x:v>Constitución Española</x:v>
      </x:c>
      <x:c r="X196" s="18" t="str">
        <x:v>94 y 96</x:v>
      </x:c>
      <x:c r="Y196" s="18" t="str">
        <x:v>Artículos literales</x:v>
      </x:c>
      <x:c r="Z196" s="18" t="str">
        <x:v>Media</x:v>
      </x:c>
      <x:c r="AA196" s="18" t="str">
        <x:v>G13</x:v>
      </x:c>
      <x:c r="AB196" s="18" t="str"/>
      <x:c r="AC196" s="18" t="str"/>
      <x:c r="AD196" s="18" t="str">
        <x:v>No</x:v>
      </x:c>
      <x:c r="AE196" s="18" t="str">
        <x:v>Teórico</x:v>
      </x:c>
      <x:c r="AF196" s="18" t="str">
        <x:v>B</x:v>
      </x:c>
      <x:c r="AG196" s="18" t="str">
        <x:v>B</x:v>
      </x:c>
      <x:c r="AH196" s="18" t="str">
        <x:v>Válida</x:v>
      </x:c>
      <x:c r="AI196" s="18" t="str">
        <x:v>01. Información oficial de la oposición\Exámenes oficiales anteriores\2025 Convocatoria 2024 - Acceso libre Modelo A.pdf</x:v>
      </x:c>
      <x:c r="AJ196" s="18" t="str">
        <x:v>https://www.seg-social.es/wps/portal/wss/internet/InformacionUtil/9950/88beb45d-ca83-4bab-8162-f94ef2894562/7e46efac-32c8-4cf6-b3d3-d592c3560dff/rdpi_administrativos_2024</x:v>
      </x:c>
      <x:c r="AK196" s="18" t="str">
        <x:v>OCR Windows es-ES sobre PDF oficial</x:v>
      </x:c>
      <x:c r="AL196" s="18" t="n">
        <x:v>100</x:v>
      </x:c>
      <x:c r="AM196" s="18" t="str">
        <x:v>Alta</x:v>
      </x:c>
      <x:c r="AN196" s="18" t="str">
        <x:v>Revisión jurídica individual</x:v>
      </x:c>
      <x:c r="AO196" s="18" t="str">
        <x:v>2025_conv2024_ordinario_A-T13</x:v>
      </x:c>
      <x:c r="AP196" s="18" t="n">
        <x:v>1</x:v>
      </x:c>
    </x:row>
    <x:row r="197">
      <x:c r="A197" s="18" t="str">
        <x:v>2025_conv2024_ordinario_A-T14</x:v>
      </x:c>
      <x:c r="B197" s="18" t="n">
        <x:v>2025</x:v>
      </x:c>
      <x:c r="C197" s="18" t="n">
        <x:v>2024</x:v>
      </x:c>
      <x:c r="D197" s="28" t="n">
        <x:v>45913</x:v>
      </x:c>
      <x:c r="E197" s="18" t="str">
        <x:v>Acceso libre</x:v>
      </x:c>
      <x:c r="F197" s="18" t="str">
        <x:v>Primera parte</x:v>
      </x:c>
      <x:c r="G197" s="18" t="str">
        <x:v>A</x:v>
      </x:c>
      <x:c r="H197" s="18" t="str">
        <x:v>A/B</x:v>
      </x:c>
      <x:c r="I197" s="18" t="str">
        <x:v>Sí</x:v>
      </x:c>
      <x:c r="J197" s="18" t="str">
        <x:v>Modelo A usado como variante canónica; el modelo B oficial está archivado y permuta el orden y/o las opciones.</x:v>
      </x:c>
      <x:c r="K197" s="18" t="n">
        <x:v>14</x:v>
      </x:c>
      <x:c r="L197" s="18" t="str">
        <x:v>No</x:v>
      </x:c>
      <x:c r="M197" s="18" t="str">
        <x:v>Según establece el artículo 128 de la Ley 39/2015, de 1 de octubre, del Procedimiento Administrativo Común de las Administraciones Públicas, ¿a quién corresponde el ejercicio de la potestad reglamentaria?</x:v>
      </x:c>
      <x:c r="N197" s="18" t="str">
        <x:v>AI Gobierno de la Nación, a los órganos de Gobierno de las Comunidades Autónomas, de conformidad con 10 establecido en sus respectivos Estatutos, y a los órganos de gobierno locales, de acuerdo con 10 previsto en la Constitución, los Estatutos de Autonomía y la Ley reguladora de las Bases del Régimen Local.</x:v>
      </x:c>
      <x:c r="O197" s="18" t="str">
        <x:v>A las Cortes Generales: Congreso y Senado.</x:v>
      </x:c>
      <x:c r="P197" s="18" t="str">
        <x:v>Al departamento ministerial al que afecte su contenido.</x:v>
      </x:c>
      <x:c r="Q197" s="18" t="str">
        <x:v>Al Congreso de los Diputados previo dictamen favorable del Consejo de Estado.</x:v>
      </x:c>
      <x:c r="R197" s="18" t="str">
        <x:v>G14</x:v>
      </x:c>
      <x:c r="S197" s="18" t="n">
        <x:v>14</x:v>
      </x:c>
      <x:c r="T197" s="18" t="str">
        <x:v>Temario general</x:v>
      </x:c>
      <x:c r="U197" s="18" t="str">
        <x:v>La Ley. Tipos de leyes. Disposiciones del Gobierno con fuerza de ley: decreto-ley y decreto legislativo. El Reglamento: concepto, clases y límites. Los principios generales del Derecho.</x:v>
      </x:c>
      <x:c r="V197" s="18" t="str">
        <x:v>G14</x:v>
      </x:c>
      <x:c r="W197" s="18" t="str">
        <x:v>Ley 39/2015</x:v>
      </x:c>
      <x:c r="X197" s="18" t="str">
        <x:v>128</x:v>
      </x:c>
      <x:c r="Y197" s="18" t="str">
        <x:v>Procedimientos</x:v>
      </x:c>
      <x:c r="Z197" s="18" t="str">
        <x:v>Media</x:v>
      </x:c>
      <x:c r="AA197" s="18" t="str">
        <x:v>G14</x:v>
      </x:c>
      <x:c r="AB197" s="18" t="str"/>
      <x:c r="AC197" s="18" t="str"/>
      <x:c r="AD197" s="18" t="str">
        <x:v>No</x:v>
      </x:c>
      <x:c r="AE197" s="18" t="str">
        <x:v>Teórico</x:v>
      </x:c>
      <x:c r="AF197" s="18" t="str">
        <x:v>A</x:v>
      </x:c>
      <x:c r="AG197" s="18" t="str">
        <x:v>A</x:v>
      </x:c>
      <x:c r="AH197" s="18" t="str">
        <x:v>Válida</x:v>
      </x:c>
      <x:c r="AI197" s="18" t="str">
        <x:v>01. Información oficial de la oposición\Exámenes oficiales anteriores\2025 Convocatoria 2024 - Acceso libre Modelo A.pdf</x:v>
      </x:c>
      <x:c r="AJ197" s="18" t="str">
        <x:v>https://www.seg-social.es/wps/portal/wss/internet/InformacionUtil/9950/88beb45d-ca83-4bab-8162-f94ef2894562/7e46efac-32c8-4cf6-b3d3-d592c3560dff/rdpi_administrativos_2024</x:v>
      </x:c>
      <x:c r="AK197" s="18" t="str">
        <x:v>OCR Windows es-ES sobre PDF oficial</x:v>
      </x:c>
      <x:c r="AL197" s="18" t="n">
        <x:v>100</x:v>
      </x:c>
      <x:c r="AM197" s="18" t="str">
        <x:v>Alta</x:v>
      </x:c>
      <x:c r="AN197" s="18" t="str">
        <x:v>Regla jurídica determinista</x:v>
      </x:c>
      <x:c r="AO197" s="18" t="str">
        <x:v>2025_conv2024_ordinario_A-T14</x:v>
      </x:c>
      <x:c r="AP197" s="18" t="n">
        <x:v>1</x:v>
      </x:c>
    </x:row>
    <x:row r="198">
      <x:c r="A198" s="18" t="str">
        <x:v>2025_conv2024_ordinario_A-T15</x:v>
      </x:c>
      <x:c r="B198" s="18" t="n">
        <x:v>2025</x:v>
      </x:c>
      <x:c r="C198" s="18" t="n">
        <x:v>2024</x:v>
      </x:c>
      <x:c r="D198" s="28" t="n">
        <x:v>45913</x:v>
      </x:c>
      <x:c r="E198" s="18" t="str">
        <x:v>Acceso libre</x:v>
      </x:c>
      <x:c r="F198" s="18" t="str">
        <x:v>Primera parte</x:v>
      </x:c>
      <x:c r="G198" s="18" t="str">
        <x:v>A</x:v>
      </x:c>
      <x:c r="H198" s="18" t="str">
        <x:v>A/B</x:v>
      </x:c>
      <x:c r="I198" s="18" t="str">
        <x:v>Sí</x:v>
      </x:c>
      <x:c r="J198" s="18" t="str">
        <x:v>Modelo A usado como variante canónica; el modelo B oficial está archivado y permuta el orden y/o las opciones.</x:v>
      </x:c>
      <x:c r="K198" s="18" t="n">
        <x:v>15</x:v>
      </x:c>
      <x:c r="L198" s="18" t="str">
        <x:v>No</x:v>
      </x:c>
      <x:c r="M198" s="18" t="str">
        <x:v>Según establece el artículo 36 de la Ley 39/2015, de 1 de octubre, del Procedimiento Administrativo Común de las Administraciones Públicas, cuando deba dictarse una serie de actos administrativos de la misma naturaleza:</x:v>
      </x:c>
      <x:c r="N198" s="18" t="str">
        <x:v>Deberán ser notificados individualmente a cada uno de Eos interesados al contener circunstancias específicas de cada uno.</x:v>
      </x:c>
      <x:c r="O198" s="18" t="str">
        <x:v>Podrán refundirse en un único acto, acordado por el árgano competente, que especificará las personas u otras circunstancias que individualicen los efectos del acto para cada interesado.</x:v>
      </x:c>
      <x:c r="P198" s="18" t="str">
        <x:v>Podrán refundirse aunque sean de diferente naturaleza, para mayar eficacia de la Administración.</x:v>
      </x:c>
      <x:c r="Q198" s="18" t="str">
        <x:v>Podrán refundirse siempre y cuando no se haga mención específica de las circunstancias que individualicen los efectos del acto,</x:v>
      </x:c>
      <x:c r="R198" s="18" t="str">
        <x:v>G15</x:v>
      </x:c>
      <x:c r="S198" s="18" t="n">
        <x:v>15</x:v>
      </x:c>
      <x:c r="T198" s="18" t="str">
        <x:v>Temario general</x:v>
      </x:c>
      <x:c r="U198" s="18" t="str">
        <x:v>Los actos administrativos. Concepto y clases. Motivación, forma y eficacia de los actos administrativos. Notificación y publicación. Nulidad y anulabilidad. La revisión de oficio.</x:v>
      </x:c>
      <x:c r="V198" s="18" t="str">
        <x:v>G15</x:v>
      </x:c>
      <x:c r="W198" s="18" t="str">
        <x:v>Ley 39/2015</x:v>
      </x:c>
      <x:c r="X198" s="18" t="str">
        <x:v>36</x:v>
      </x:c>
      <x:c r="Y198" s="18" t="str">
        <x:v>Procedimientos</x:v>
      </x:c>
      <x:c r="Z198" s="18" t="str">
        <x:v>Media</x:v>
      </x:c>
      <x:c r="AA198" s="18" t="str">
        <x:v>G15</x:v>
      </x:c>
      <x:c r="AB198" s="18" t="str">
        <x:v>ISM</x:v>
      </x:c>
      <x:c r="AC198" s="18" t="str"/>
      <x:c r="AD198" s="18" t="str">
        <x:v>No</x:v>
      </x:c>
      <x:c r="AE198" s="18" t="str">
        <x:v>Teórico</x:v>
      </x:c>
      <x:c r="AF198" s="18" t="str">
        <x:v>B</x:v>
      </x:c>
      <x:c r="AG198" s="18" t="str">
        <x:v>B</x:v>
      </x:c>
      <x:c r="AH198" s="18" t="str">
        <x:v>Válida</x:v>
      </x:c>
      <x:c r="AI198" s="18" t="str">
        <x:v>01. Información oficial de la oposición\Exámenes oficiales anteriores\2025 Convocatoria 2024 - Acceso libre Modelo A.pdf</x:v>
      </x:c>
      <x:c r="AJ198" s="18" t="str">
        <x:v>https://www.seg-social.es/wps/portal/wss/internet/InformacionUtil/9950/88beb45d-ca83-4bab-8162-f94ef2894562/7e46efac-32c8-4cf6-b3d3-d592c3560dff/rdpi_administrativos_2024</x:v>
      </x:c>
      <x:c r="AK198" s="18" t="str">
        <x:v>OCR Windows es-ES sobre PDF oficial</x:v>
      </x:c>
      <x:c r="AL198" s="18" t="n">
        <x:v>100</x:v>
      </x:c>
      <x:c r="AM198" s="18" t="str">
        <x:v>Alta</x:v>
      </x:c>
      <x:c r="AN198" s="18" t="str">
        <x:v>Regla jurídica determinista</x:v>
      </x:c>
      <x:c r="AO198" s="18" t="str">
        <x:v>2025_conv2024_ordinario_A-T15</x:v>
      </x:c>
      <x:c r="AP198" s="18" t="n">
        <x:v>1</x:v>
      </x:c>
    </x:row>
    <x:row r="199">
      <x:c r="A199" s="18" t="str">
        <x:v>2025_conv2024_ordinario_A-T16</x:v>
      </x:c>
      <x:c r="B199" s="18" t="n">
        <x:v>2025</x:v>
      </x:c>
      <x:c r="C199" s="18" t="n">
        <x:v>2024</x:v>
      </x:c>
      <x:c r="D199" s="28" t="n">
        <x:v>45913</x:v>
      </x:c>
      <x:c r="E199" s="18" t="str">
        <x:v>Acceso libre</x:v>
      </x:c>
      <x:c r="F199" s="18" t="str">
        <x:v>Primera parte</x:v>
      </x:c>
      <x:c r="G199" s="18" t="str">
        <x:v>A</x:v>
      </x:c>
      <x:c r="H199" s="18" t="str">
        <x:v>A/B</x:v>
      </x:c>
      <x:c r="I199" s="18" t="str">
        <x:v>Sí</x:v>
      </x:c>
      <x:c r="J199" s="18" t="str">
        <x:v>Modelo A usado como variante canónica; el modelo B oficial está archivado y permuta el orden y/o las opciones.</x:v>
      </x:c>
      <x:c r="K199" s="18" t="n">
        <x:v>16</x:v>
      </x:c>
      <x:c r="L199" s="18" t="str">
        <x:v>No</x:v>
      </x:c>
      <x:c r="M199" s="18" t="str">
        <x:v>De acuerdo con 10 dispuesto el artículo 24 de la Ley 39/2015, de 1 de octubre, del Procedimiento Administrativo Común de las Administraciones Públicas, que regula el silencio administrativo, señale la respuesta correcta:</x:v>
      </x:c>
      <x:c r="N199" s="18" t="str">
        <x:v>EI silencio tendrá efecto estimatorio en los procedimientos de responsabilidad patrimonial de las Administraciones Públicas.</x:v>
      </x:c>
      <x:c r="O199" s="18" t="str">
        <x:v>La desestimación por silencio administrativo tiene a todos los efectos la consideración de acto administrativo finalizador del procedimiento.</x:v>
      </x:c>
      <x:c r="P199" s="18" t="str">
        <x:v>EI sentido del silencio será estimatorio en los procedimientos de impugnación de actos y disposiciones y en los de revisión de oficio iniciados a solicitud de los interesados.</x:v>
      </x:c>
      <x:c r="Q199" s="18" t="str">
        <x:v>La desestimación por silencio administrativo tiene los solos efectos de permitir a los interesados la interposición del recurso administrativo o contencioso-administrativo que resulte procedente.</x:v>
      </x:c>
      <x:c r="R199" s="18" t="str">
        <x:v>G16</x:v>
      </x:c>
      <x:c r="S199" s="18" t="n">
        <x:v>16</x:v>
      </x:c>
      <x:c r="T199" s="18" t="str">
        <x:v>Temario general</x:v>
      </x:c>
      <x:c r="U199" s="18" t="str">
        <x:v>El procedimiento administrativo común. La capacidad de obrar y el concepto de interesado. Representación. Identificación y firma de los interesados. Derechos del interesado en el procedimiento administrativo. Obligación de resolver y silencio administrativo. Términos y plazos.</x:v>
      </x:c>
      <x:c r="V199" s="18" t="str">
        <x:v>silencio administrativo</x:v>
      </x:c>
      <x:c r="W199" s="18" t="str">
        <x:v>Ley 39/2015</x:v>
      </x:c>
      <x:c r="X199" s="18" t="str">
        <x:v>24</x:v>
      </x:c>
      <x:c r="Y199" s="18" t="str">
        <x:v>Procedimientos</x:v>
      </x:c>
      <x:c r="Z199" s="18" t="str">
        <x:v>Media</x:v>
      </x:c>
      <x:c r="AA199" s="18" t="str">
        <x:v>silencio administrativo</x:v>
      </x:c>
      <x:c r="AB199" s="18" t="str"/>
      <x:c r="AC199" s="18" t="str"/>
      <x:c r="AD199" s="18" t="str">
        <x:v>No</x:v>
      </x:c>
      <x:c r="AE199" s="18" t="str">
        <x:v>Teórico</x:v>
      </x:c>
      <x:c r="AF199" s="18" t="str">
        <x:v>D</x:v>
      </x:c>
      <x:c r="AG199" s="18" t="str">
        <x:v>D</x:v>
      </x:c>
      <x:c r="AH199" s="18" t="str">
        <x:v>Válida</x:v>
      </x:c>
      <x:c r="AI199" s="18" t="str">
        <x:v>01. Información oficial de la oposición\Exámenes oficiales anteriores\2025 Convocatoria 2024 - Acceso libre Modelo A.pdf</x:v>
      </x:c>
      <x:c r="AJ199" s="18" t="str">
        <x:v>https://www.seg-social.es/wps/portal/wss/internet/InformacionUtil/9950/88beb45d-ca83-4bab-8162-f94ef2894562/7e46efac-32c8-4cf6-b3d3-d592c3560dff/rdpi_administrativos_2024</x:v>
      </x:c>
      <x:c r="AK199" s="18" t="str">
        <x:v>OCR Windows es-ES sobre PDF oficial</x:v>
      </x:c>
      <x:c r="AL199" s="18" t="n">
        <x:v>100</x:v>
      </x:c>
      <x:c r="AM199" s="18" t="str">
        <x:v>Alta</x:v>
      </x:c>
      <x:c r="AN199" s="18" t="str">
        <x:v>Regla jurídica determinista</x:v>
      </x:c>
      <x:c r="AO199" s="18" t="str">
        <x:v>2025_conv2024_ordinario_A-T16</x:v>
      </x:c>
      <x:c r="AP199" s="18" t="n">
        <x:v>1</x:v>
      </x:c>
    </x:row>
    <x:row r="200">
      <x:c r="A200" s="18" t="str">
        <x:v>2025_conv2024_ordinario_A-T17</x:v>
      </x:c>
      <x:c r="B200" s="18" t="n">
        <x:v>2025</x:v>
      </x:c>
      <x:c r="C200" s="18" t="n">
        <x:v>2024</x:v>
      </x:c>
      <x:c r="D200" s="28" t="n">
        <x:v>45913</x:v>
      </x:c>
      <x:c r="E200" s="18" t="str">
        <x:v>Acceso libre</x:v>
      </x:c>
      <x:c r="F200" s="18" t="str">
        <x:v>Primera parte</x:v>
      </x:c>
      <x:c r="G200" s="18" t="str">
        <x:v>A</x:v>
      </x:c>
      <x:c r="H200" s="18" t="str">
        <x:v>A/B</x:v>
      </x:c>
      <x:c r="I200" s="18" t="str">
        <x:v>Sí</x:v>
      </x:c>
      <x:c r="J200" s="18" t="str">
        <x:v>Modelo A usado como variante canónica; el modelo B oficial está archivado y permuta el orden y/o las opciones.</x:v>
      </x:c>
      <x:c r="K200" s="18" t="n">
        <x:v>17</x:v>
      </x:c>
      <x:c r="L200" s="18" t="str">
        <x:v>No</x:v>
      </x:c>
      <x:c r="M200" s="18" t="str">
        <x:v>De conformidad con 10 establecido en la Ley 39/2015, de I de octubre, del Procedimiento Administrativo Común de las Administraciones Públicas, en los procedimientos administrativos iniciados a solicitud del interesado:</x:v>
      </x:c>
      <x:c r="N200" s="18" t="str">
        <x:v>Cuando las pretensiones correspondientes a una pluralidad de personas tengan un contenido y fundamento idéntico o sustancialmente similar, deberán ser formuladas en varias solicitudes.</x:v>
      </x:c>
      <x:c r="O200" s="18" t="str">
        <x:v>Cuando la Administración en un procedimiento concreto establezca expresamente modelos específicos de presentación de solicitudes, éstos podrán ser utilizados por los interesados.</x:v>
      </x:c>
      <x:c r="P200" s="18" t="str">
        <x:v>Los interesados sólo podrán solicitar el inicio de un procedimiento de responsabilidad patrimonial, cuando no haya prescrito su derecho e reclamar. EI derecho a reclamar prescribirá a los dos años de producido el hecho o el acto que motive la indemnización o se manifieste su efecto lesivo.</x:v>
      </x:c>
      <x:c r="Q200" s="18" t="str">
        <x:v>Si la solicitud de iniciación no reúne los requisitos exigidos, se requerirá al interesado para que, en un plazo de diez días subsane la falta o acompañe los documentos preceptivos.</x:v>
      </x:c>
      <x:c r="R200" s="18" t="str">
        <x:v>G16</x:v>
      </x:c>
      <x:c r="S200" s="18" t="n">
        <x:v>16</x:v>
      </x:c>
      <x:c r="T200" s="18" t="str">
        <x:v>Temario general</x:v>
      </x:c>
      <x:c r="U200" s="18" t="str">
        <x:v>El procedimiento administrativo común. La capacidad de obrar y el concepto de interesado. Representación. Identificación y firma de los interesados. Derechos del interesado en el procedimiento administrativo. Obligación de resolver y silencio administrativo. Términos y plazos.</x:v>
      </x:c>
      <x:c r="V200" s="18" t="str">
        <x:v>G16</x:v>
      </x:c>
      <x:c r="W200" s="18" t="str">
        <x:v>Ley 39/2015</x:v>
      </x:c>
      <x:c r="X200" s="18" t="str"/>
      <x:c r="Y200" s="18" t="str">
        <x:v>Procedimientos</x:v>
      </x:c>
      <x:c r="Z200" s="18" t="str">
        <x:v>Media</x:v>
      </x:c>
      <x:c r="AA200" s="18" t="str">
        <x:v>G16</x:v>
      </x:c>
      <x:c r="AB200" s="18" t="str"/>
      <x:c r="AC200" s="18" t="str"/>
      <x:c r="AD200" s="18" t="str">
        <x:v>No</x:v>
      </x:c>
      <x:c r="AE200" s="18" t="str">
        <x:v>Teórico</x:v>
      </x:c>
      <x:c r="AF200" s="18" t="str">
        <x:v>D</x:v>
      </x:c>
      <x:c r="AG200" s="18" t="str">
        <x:v>D</x:v>
      </x:c>
      <x:c r="AH200" s="18" t="str">
        <x:v>Válida</x:v>
      </x:c>
      <x:c r="AI200" s="18" t="str">
        <x:v>01. Información oficial de la oposición\Exámenes oficiales anteriores\2025 Convocatoria 2024 - Acceso libre Modelo A.pdf</x:v>
      </x:c>
      <x:c r="AJ200" s="18" t="str">
        <x:v>https://www.seg-social.es/wps/portal/wss/internet/InformacionUtil/9950/88beb45d-ca83-4bab-8162-f94ef2894562/7e46efac-32c8-4cf6-b3d3-d592c3560dff/rdpi_administrativos_2024</x:v>
      </x:c>
      <x:c r="AK200" s="18" t="str">
        <x:v>OCR Windows es-ES sobre PDF oficial</x:v>
      </x:c>
      <x:c r="AL200" s="18" t="n">
        <x:v>100</x:v>
      </x:c>
      <x:c r="AM200" s="18" t="str">
        <x:v>Alta</x:v>
      </x:c>
      <x:c r="AN200" s="18" t="str">
        <x:v>Regla jurídica determinista</x:v>
      </x:c>
      <x:c r="AO200" s="18" t="str">
        <x:v>2025_conv2024_ordinario_A-T17</x:v>
      </x:c>
      <x:c r="AP200" s="18" t="n">
        <x:v>1</x:v>
      </x:c>
    </x:row>
    <x:row r="201">
      <x:c r="A201" s="18" t="str">
        <x:v>2025_conv2024_ordinario_A-T18</x:v>
      </x:c>
      <x:c r="B201" s="18" t="n">
        <x:v>2025</x:v>
      </x:c>
      <x:c r="C201" s="18" t="n">
        <x:v>2024</x:v>
      </x:c>
      <x:c r="D201" s="28" t="n">
        <x:v>45913</x:v>
      </x:c>
      <x:c r="E201" s="18" t="str">
        <x:v>Acceso libre</x:v>
      </x:c>
      <x:c r="F201" s="18" t="str">
        <x:v>Primera parte</x:v>
      </x:c>
      <x:c r="G201" s="18" t="str">
        <x:v>A</x:v>
      </x:c>
      <x:c r="H201" s="18" t="str">
        <x:v>A/B</x:v>
      </x:c>
      <x:c r="I201" s="18" t="str">
        <x:v>Sí</x:v>
      </x:c>
      <x:c r="J201" s="18" t="str">
        <x:v>Modelo A usado como variante canónica; el modelo B oficial está archivado y permuta el orden y/o las opciones.</x:v>
      </x:c>
      <x:c r="K201" s="18" t="n">
        <x:v>18</x:v>
      </x:c>
      <x:c r="L201" s="18" t="str">
        <x:v>No</x:v>
      </x:c>
      <x:c r="M201" s="18" t="str">
        <x:v>Tal y como establece el artículo 11 de la Ley 29/1998, de 13 de julio, reguladora de la Jurisdicción Contencioso-administrativa, ¿Ante qué órgano debe interponerse los recursos que se deduzcan en relación con las disposiciones generales y los actos de los Ministros?</x:v>
      </x:c>
      <x:c r="N201" s="18" t="str">
        <x:v>Ante la Sala de 10 Contencioso-administrativo del Tribunal Supremo.</x:v>
      </x:c>
      <x:c r="O201" s="18" t="str">
        <x:v>Ante la Sala de 10 Contencioso-administrativo de la Audiencia Nacional.</x:v>
      </x:c>
      <x:c r="P201" s="18" t="str">
        <x:v>Ante eI Tribunal Superior de Justicia de la comunidad autónoma correspondiente.</x:v>
      </x:c>
      <x:c r="Q201" s="18" t="str">
        <x:v>Ante el juzgado de 10 Contencioso-administrativo.</x:v>
      </x:c>
      <x:c r="R201" s="18" t="str">
        <x:v>G18</x:v>
      </x:c>
      <x:c r="S201" s="18" t="n">
        <x:v>18</x:v>
      </x:c>
      <x:c r="T201" s="18" t="str">
        <x:v>Temario general</x:v>
      </x:c>
      <x:c r="U201" s="18" t="str">
        <x:v>Los recursos administrativos: concepto y clases. Recurso de alzada. Recurso potestativo de reposición. Recurso extraordinario de revisión. La jurisdicción contencioso-administrativa: objeto y plazos de interposición del recurso contencioso administrativo.</x:v>
      </x:c>
      <x:c r="V201" s="18" t="str">
        <x:v>G18</x:v>
      </x:c>
      <x:c r="W201" s="18" t="str">
        <x:v>Ley 29/1998</x:v>
      </x:c>
      <x:c r="X201" s="18" t="str">
        <x:v>11</x:v>
      </x:c>
      <x:c r="Y201" s="18" t="str">
        <x:v>Órganos</x:v>
      </x:c>
      <x:c r="Z201" s="18" t="str">
        <x:v>Media</x:v>
      </x:c>
      <x:c r="AA201" s="18" t="str">
        <x:v>G18</x:v>
      </x:c>
      <x:c r="AB201" s="18" t="str"/>
      <x:c r="AC201" s="18" t="str"/>
      <x:c r="AD201" s="18" t="str">
        <x:v>No</x:v>
      </x:c>
      <x:c r="AE201" s="18" t="str">
        <x:v>Teórico</x:v>
      </x:c>
      <x:c r="AF201" s="18" t="str">
        <x:v>B</x:v>
      </x:c>
      <x:c r="AG201" s="18" t="str">
        <x:v>B</x:v>
      </x:c>
      <x:c r="AH201" s="18" t="str">
        <x:v>Válida</x:v>
      </x:c>
      <x:c r="AI201" s="18" t="str">
        <x:v>01. Información oficial de la oposición\Exámenes oficiales anteriores\2025 Convocatoria 2024 - Acceso libre Modelo A.pdf</x:v>
      </x:c>
      <x:c r="AJ201" s="18" t="str">
        <x:v>https://www.seg-social.es/wps/portal/wss/internet/InformacionUtil/9950/88beb45d-ca83-4bab-8162-f94ef2894562/7e46efac-32c8-4cf6-b3d3-d592c3560dff/rdpi_administrativos_2024</x:v>
      </x:c>
      <x:c r="AK201" s="18" t="str">
        <x:v>OCR Windows es-ES sobre PDF oficial</x:v>
      </x:c>
      <x:c r="AL201" s="18" t="n">
        <x:v>100</x:v>
      </x:c>
      <x:c r="AM201" s="18" t="str">
        <x:v>Alta</x:v>
      </x:c>
      <x:c r="AN201" s="18" t="str">
        <x:v>Regla jurídica determinista</x:v>
      </x:c>
      <x:c r="AO201" s="18" t="str">
        <x:v>2025_conv2024_ordinario_A-T18</x:v>
      </x:c>
      <x:c r="AP201" s="18" t="n">
        <x:v>1</x:v>
      </x:c>
    </x:row>
    <x:row r="202">
      <x:c r="A202" s="18" t="str">
        <x:v>2025_conv2024_ordinario_A-T19</x:v>
      </x:c>
      <x:c r="B202" s="18" t="n">
        <x:v>2025</x:v>
      </x:c>
      <x:c r="C202" s="18" t="n">
        <x:v>2024</x:v>
      </x:c>
      <x:c r="D202" s="28" t="n">
        <x:v>45913</x:v>
      </x:c>
      <x:c r="E202" s="18" t="str">
        <x:v>Acceso libre</x:v>
      </x:c>
      <x:c r="F202" s="18" t="str">
        <x:v>Primera parte</x:v>
      </x:c>
      <x:c r="G202" s="18" t="str">
        <x:v>A</x:v>
      </x:c>
      <x:c r="H202" s="18" t="str">
        <x:v>A/B</x:v>
      </x:c>
      <x:c r="I202" s="18" t="str">
        <x:v>Sí</x:v>
      </x:c>
      <x:c r="J202" s="18" t="str">
        <x:v>Modelo A usado como variante canónica; el modelo B oficial está archivado y permuta el orden y/o las opciones.</x:v>
      </x:c>
      <x:c r="K202" s="18" t="n">
        <x:v>19</x:v>
      </x:c>
      <x:c r="L202" s="18" t="str">
        <x:v>No</x:v>
      </x:c>
      <x:c r="M202" s="18" t="str">
        <x:v>Conforme a 10 previsto en el artículo 39 del Real Decreto Legislativo 512015, de 30 de octubre, por eI que se aprueba el texto refundido de la Ley del Estatuto Básico del Empleado Público, los órganos específicos de representación de los funcionarios son los Delegados de Personal y las Juntas de Personal. AI respecto, señale la afirmación correcta:</x:v>
      </x:c>
      <x:c r="N202" s="18" t="str">
        <x:v>Las Juntas de Personal elegirán de entre sus miembros un Presidente y un Secretario y elaborarán su propio reglamento de procedimiento, el cual, al igual que sus modificaciones, deberán ser aprobados por los votos favorables de al menos tres quintos de sus miembros.</x:v>
      </x:c>
      <x:c r="O202" s="18" t="str">
        <x:v>Las Juntas de Personal elegirán de entre sus miembros un Presidente y un Secretario y elaborarán su propio reglamento de procedimiento, eI cual, al igual que sus modificaciones, deberán ser aprobados por los votos favorables de al menos dos tercios de sus miembros.</x:v>
      </x:c>
      <x:c r="P202" s="18" t="str">
        <x:v>En las unidades electorales donde el número de funcionarios sea igual o superior a 6 e inferior a 59, su representación corresponderá a los Delegados de Personal.</x:v>
      </x:c>
      <x:c r="Q202" s="18" t="str">
        <x:v>Las Juntas de Personal se constituirán en unidades electorales que cuenten con un censo mínimo de 60 funcionarios.</x:v>
      </x:c>
      <x:c r="R202" s="18" t="str">
        <x:v>G19</x:v>
      </x:c>
      <x:c r="S202" s="18" t="n">
        <x:v>19</x:v>
      </x:c>
      <x:c r="T202" s="18" t="str">
        <x:v>Temario general</x:v>
      </x:c>
      <x:c r="U202" s="18" t="str">
        <x:v>El personal al servicio de las Administraciones Públicas: concepto y clases. Derechos y deberes de los funcionarios. La carrera administrativa. Las incompatibilidades. Régimen disciplinario: faltas, sanciones y procedimiento.</x:v>
      </x:c>
      <x:c r="V202" s="18" t="str">
        <x:v>G19</x:v>
      </x:c>
      <x:c r="W202" s="18" t="str"/>
      <x:c r="X202" s="18" t="str">
        <x:v>39</x:v>
      </x:c>
      <x:c r="Y202" s="18" t="str">
        <x:v>Órganos</x:v>
      </x:c>
      <x:c r="Z202" s="18" t="str">
        <x:v>Alta</x:v>
      </x:c>
      <x:c r="AA202" s="18" t="str">
        <x:v>G19</x:v>
      </x:c>
      <x:c r="AB202" s="18" t="str"/>
      <x:c r="AC202" s="18" t="str"/>
      <x:c r="AD202" s="18" t="str">
        <x:v>No</x:v>
      </x:c>
      <x:c r="AE202" s="18" t="str">
        <x:v>Teórico</x:v>
      </x:c>
      <x:c r="AF202" s="18" t="str">
        <x:v>B</x:v>
      </x:c>
      <x:c r="AG202" s="18" t="str">
        <x:v>B</x:v>
      </x:c>
      <x:c r="AH202" s="18" t="str">
        <x:v>Válida</x:v>
      </x:c>
      <x:c r="AI202" s="18" t="str">
        <x:v>01. Información oficial de la oposición\Exámenes oficiales anteriores\2025 Convocatoria 2024 - Acceso libre Modelo A.pdf</x:v>
      </x:c>
      <x:c r="AJ202" s="18" t="str">
        <x:v>https://www.seg-social.es/wps/portal/wss/internet/InformacionUtil/9950/88beb45d-ca83-4bab-8162-f94ef2894562/7e46efac-32c8-4cf6-b3d3-d592c3560dff/rdpi_administrativos_2024</x:v>
      </x:c>
      <x:c r="AK202" s="18" t="str">
        <x:v>OCR Windows es-ES sobre PDF oficial</x:v>
      </x:c>
      <x:c r="AL202" s="18" t="n">
        <x:v>100</x:v>
      </x:c>
      <x:c r="AM202" s="18" t="str">
        <x:v>Alta</x:v>
      </x:c>
      <x:c r="AN202" s="18" t="str">
        <x:v>Regla jurídica determinista</x:v>
      </x:c>
      <x:c r="AO202" s="18" t="str">
        <x:v>2025_conv2024_ordinario_A-T19</x:v>
      </x:c>
      <x:c r="AP202" s="18" t="n">
        <x:v>1</x:v>
      </x:c>
    </x:row>
    <x:row r="203">
      <x:c r="A203" s="18" t="str">
        <x:v>2025_conv2024_ordinario_A-T20</x:v>
      </x:c>
      <x:c r="B203" s="18" t="n">
        <x:v>2025</x:v>
      </x:c>
      <x:c r="C203" s="18" t="n">
        <x:v>2024</x:v>
      </x:c>
      <x:c r="D203" s="28" t="n">
        <x:v>45913</x:v>
      </x:c>
      <x:c r="E203" s="18" t="str">
        <x:v>Acceso libre</x:v>
      </x:c>
      <x:c r="F203" s="18" t="str">
        <x:v>Primera parte</x:v>
      </x:c>
      <x:c r="G203" s="18" t="str">
        <x:v>A</x:v>
      </x:c>
      <x:c r="H203" s="18" t="str">
        <x:v>A/B</x:v>
      </x:c>
      <x:c r="I203" s="18" t="str">
        <x:v>Sí</x:v>
      </x:c>
      <x:c r="J203" s="18" t="str">
        <x:v>Modelo A usado como variante canónica; el modelo B oficial está archivado y permuta el orden y/o las opciones.</x:v>
      </x:c>
      <x:c r="K203" s="18" t="n">
        <x:v>20</x:v>
      </x:c>
      <x:c r="L203" s="18" t="str">
        <x:v>No</x:v>
      </x:c>
      <x:c r="M203" s="18" t="str">
        <x:v>Señale la afirmación correcta, de acuerdo con eI artículo 5 del Real Decreto 208/1996, de 9 de febrero, por el que se regulan los servicios de información administrativa y atención al ciudadano:</x:v>
      </x:c>
      <x:c r="N203" s="18" t="str">
        <x:v>En cada Ministerio el titular de la Dirección General que tenga encomendada la competencia sobre la información administrativa ostentará la jefatura de la unidad departamental de información administrativa.</x:v>
      </x:c>
      <x:c r="O203" s="18" t="str">
        <x:v>En cada Ministerio el titular de la Subdirección General que tenga encomendada la competencia sobre la información administrativa ostentará la jefatura de la unidad departamental de información administrativa.</x:v>
      </x:c>
      <x:c r="P203" s="18" t="str">
        <x:v>En cada Ministerio eI titular de la Secretaría General Técnica que tenga encomendada la competencia sobre la información administrativa ostentará la jefatura de la unidad departamental de información administrativa.</x:v>
      </x:c>
      <x:c r="Q203" s="18" t="str">
        <x:v>En cada Ministerio el titular de la Subsecretaría que tenga encomendada la competencia sobre la información administrativa ostentará la jefatura de la unidad departamental de información administrativa.</x:v>
      </x:c>
      <x:c r="R203" s="18" t="str">
        <x:v>G20</x:v>
      </x:c>
      <x:c r="S203" s="18" t="n">
        <x:v>20</x:v>
      </x:c>
      <x:c r="T203" s="18" t="str">
        <x:v>Temario general</x:v>
      </x:c>
      <x:c r="U203" s="18" t="str">
        <x:v>Atención al público. Atención de personas con discapacidad. Los servicios de información administrativa. Información general y particular al ciudadano. Iniciativas. Reclamaciones. Quejas. Peticiones.</x:v>
      </x:c>
      <x:c r="V203" s="18" t="str">
        <x:v>G20</x:v>
      </x:c>
      <x:c r="W203" s="18" t="str">
        <x:v>Real Decreto 208/1996</x:v>
      </x:c>
      <x:c r="X203" s="18" t="str">
        <x:v>5</x:v>
      </x:c>
      <x:c r="Y203" s="18" t="str">
        <x:v>Artículos literales</x:v>
      </x:c>
      <x:c r="Z203" s="18" t="str">
        <x:v>Media</x:v>
      </x:c>
      <x:c r="AA203" s="18" t="str">
        <x:v>G20</x:v>
      </x:c>
      <x:c r="AB203" s="18" t="str"/>
      <x:c r="AC203" s="18" t="str"/>
      <x:c r="AD203" s="18" t="str">
        <x:v>No</x:v>
      </x:c>
      <x:c r="AE203" s="18" t="str">
        <x:v>Teórico</x:v>
      </x:c>
      <x:c r="AF203" s="18" t="str">
        <x:v>B</x:v>
      </x:c>
      <x:c r="AG203" s="18" t="str">
        <x:v>B</x:v>
      </x:c>
      <x:c r="AH203" s="18" t="str">
        <x:v>Válida</x:v>
      </x:c>
      <x:c r="AI203" s="18" t="str">
        <x:v>01. Información oficial de la oposición\Exámenes oficiales anteriores\2025 Convocatoria 2024 - Acceso libre Modelo A.pdf</x:v>
      </x:c>
      <x:c r="AJ203" s="18" t="str">
        <x:v>https://www.seg-social.es/wps/portal/wss/internet/InformacionUtil/9950/88beb45d-ca83-4bab-8162-f94ef2894562/7e46efac-32c8-4cf6-b3d3-d592c3560dff/rdpi_administrativos_2024</x:v>
      </x:c>
      <x:c r="AK203" s="18" t="str">
        <x:v>OCR Windows es-ES sobre PDF oficial</x:v>
      </x:c>
      <x:c r="AL203" s="18" t="n">
        <x:v>100</x:v>
      </x:c>
      <x:c r="AM203" s="18" t="str">
        <x:v>Alta</x:v>
      </x:c>
      <x:c r="AN203" s="18" t="str">
        <x:v>Regla jurídica determinista</x:v>
      </x:c>
      <x:c r="AO203" s="18" t="str">
        <x:v>2025_conv2024_ordinario_A-T20</x:v>
      </x:c>
      <x:c r="AP203" s="18" t="n">
        <x:v>1</x:v>
      </x:c>
    </x:row>
    <x:row r="204">
      <x:c r="A204" s="18" t="str">
        <x:v>2025_conv2024_ordinario_A-T21</x:v>
      </x:c>
      <x:c r="B204" s="18" t="n">
        <x:v>2025</x:v>
      </x:c>
      <x:c r="C204" s="18" t="n">
        <x:v>2024</x:v>
      </x:c>
      <x:c r="D204" s="28" t="n">
        <x:v>45913</x:v>
      </x:c>
      <x:c r="E204" s="18" t="str">
        <x:v>Acceso libre</x:v>
      </x:c>
      <x:c r="F204" s="18" t="str">
        <x:v>Primera parte</x:v>
      </x:c>
      <x:c r="G204" s="18" t="str">
        <x:v>A</x:v>
      </x:c>
      <x:c r="H204" s="18" t="str">
        <x:v>A/B</x:v>
      </x:c>
      <x:c r="I204" s="18" t="str">
        <x:v>Sí</x:v>
      </x:c>
      <x:c r="J204" s="18" t="str">
        <x:v>Modelo A usado como variante canónica; el modelo B oficial está archivado y permuta el orden y/o las opciones.</x:v>
      </x:c>
      <x:c r="K204" s="18" t="n">
        <x:v>21</x:v>
      </x:c>
      <x:c r="L204" s="18" t="str">
        <x:v>No</x:v>
      </x:c>
      <x:c r="M204" s="18" t="str">
        <x:v>Según el artículo 60 de la Ley Orgánica 312007, de 22 de marzo, para la igualdad efectiva de mujeres y hombres:</x:v>
      </x:c>
      <x:c r="N204" s="18" t="str">
        <x:v>Con el fin de facilitar ia promoción profesional, en las convocatorias de cursos de formación para el acceso a puestos directivos en la Administración General del Estado y en los organismos públicos vinculados o dependientes de ella, se reservará como máximo un 5% de las plazas para su adjudicación a aquellas empleadas que reúnan los requisitos establecidos.</x:v>
      </x:c>
      <x:c r="O204" s="18" t="str">
        <x:v>La aprobación de las convocatorias de pruebas selectivas: podrán ir acompañadas de un informe de impacto de género según e' número de candidatos presentados, excepto en casos de urgencia en los que deberá acompañarse, en su caso, y sin perjuicio de la prohibición de discriminación por razón de sexo.</x:v>
      </x:c>
      <x:c r="P204" s="18" t="str">
        <x:v>Con e' objeto de actualizar los conocimientos de los empleados y empleadas públicas, se otorgará preferencia, durante el plazo de 1 año, en la adjudicación de plazas para participar en los cursos de formación a quienes se hayan incorporado al servicio activo procedentes del permiso de maternidad o paternidad.</x:v>
      </x:c>
      <x:c r="Q204" s="18" t="str">
        <x:v>Todos tos Departamentos Ministeriales remitirán, cada dos años, información relativa a la aplicación efectiva en cada uno de ellos del principio de igualdad entre mujeres y hombres, sin necesidad de desagregación por sexo de los datos, de la distribución de su plantilla, grupo de titulación, nivel de complemento de destino y retribuciones promediadas de su personal.</x:v>
      </x:c>
      <x:c r="R204" s="18" t="str">
        <x:v>G21</x:v>
      </x:c>
      <x:c r="S204" s="18" t="n">
        <x:v>21</x:v>
      </x:c>
      <x:c r="T204" s="18" t="str">
        <x:v>Temario general</x:v>
      </x:c>
      <x:c r="U204" s="18" t="str">
        <x:v>Políticas de igualdad y contra la violencia de género. Discapacidad y dependencia: régimen jurídico. La Ley 4/2023, de 28 de febrero, para la igualdad real y efectiva de las personas trans y para la garantía de los derechos de las personas LGTBI.</x:v>
      </x:c>
      <x:c r="V204" s="18" t="str">
        <x:v>G21</x:v>
      </x:c>
      <x:c r="W204" s="18" t="str"/>
      <x:c r="X204" s="18" t="str">
        <x:v>60</x:v>
      </x:c>
      <x:c r="Y204" s="18" t="str">
        <x:v>Artículos literales</x:v>
      </x:c>
      <x:c r="Z204" s="18" t="str">
        <x:v>Media</x:v>
      </x:c>
      <x:c r="AA204" s="18" t="str">
        <x:v>G21</x:v>
      </x:c>
      <x:c r="AB204" s="18" t="str"/>
      <x:c r="AC204" s="18" t="str"/>
      <x:c r="AD204" s="18" t="str">
        <x:v>No</x:v>
      </x:c>
      <x:c r="AE204" s="18" t="str">
        <x:v>Teórico</x:v>
      </x:c>
      <x:c r="AF204" s="18" t="str">
        <x:v>C</x:v>
      </x:c>
      <x:c r="AG204" s="18" t="str">
        <x:v>C</x:v>
      </x:c>
      <x:c r="AH204" s="18" t="str">
        <x:v>Válida</x:v>
      </x:c>
      <x:c r="AI204" s="18" t="str">
        <x:v>01. Información oficial de la oposición\Exámenes oficiales anteriores\2025 Convocatoria 2024 - Acceso libre Modelo A.pdf</x:v>
      </x:c>
      <x:c r="AJ204" s="18" t="str">
        <x:v>https://www.seg-social.es/wps/portal/wss/internet/InformacionUtil/9950/88beb45d-ca83-4bab-8162-f94ef2894562/7e46efac-32c8-4cf6-b3d3-d592c3560dff/rdpi_administrativos_2024</x:v>
      </x:c>
      <x:c r="AK204" s="18" t="str">
        <x:v>OCR Windows es-ES sobre PDF oficial</x:v>
      </x:c>
      <x:c r="AL204" s="18" t="n">
        <x:v>100</x:v>
      </x:c>
      <x:c r="AM204" s="18" t="str">
        <x:v>Alta</x:v>
      </x:c>
      <x:c r="AN204" s="18" t="str">
        <x:v>Regla jurídica determinista</x:v>
      </x:c>
      <x:c r="AO204" s="18" t="str">
        <x:v>2025_conv2024_ordinario_A-T21</x:v>
      </x:c>
      <x:c r="AP204" s="18" t="n">
        <x:v>1</x:v>
      </x:c>
    </x:row>
    <x:row r="205">
      <x:c r="A205" s="18" t="str">
        <x:v>2025_conv2024_ordinario_A-T22</x:v>
      </x:c>
      <x:c r="B205" s="18" t="n">
        <x:v>2025</x:v>
      </x:c>
      <x:c r="C205" s="18" t="n">
        <x:v>2024</x:v>
      </x:c>
      <x:c r="D205" s="28" t="n">
        <x:v>45913</x:v>
      </x:c>
      <x:c r="E205" s="18" t="str">
        <x:v>Acceso libre</x:v>
      </x:c>
      <x:c r="F205" s="18" t="str">
        <x:v>Primera parte</x:v>
      </x:c>
      <x:c r="G205" s="18" t="str">
        <x:v>A</x:v>
      </x:c>
      <x:c r="H205" s="18" t="str">
        <x:v>A/B</x:v>
      </x:c>
      <x:c r="I205" s="18" t="str">
        <x:v>Sí</x:v>
      </x:c>
      <x:c r="J205" s="18" t="str">
        <x:v>Modelo A usado como variante canónica; el modelo B oficial está archivado y permuta el orden y/o las opciones.</x:v>
      </x:c>
      <x:c r="K205" s="18" t="n">
        <x:v>22</x:v>
      </x:c>
      <x:c r="L205" s="18" t="str">
        <x:v>No</x:v>
      </x:c>
      <x:c r="M205" s="18" t="str">
        <x:v>Según las disposiciones generales sobre el ejercicio de los derechos recogidas en el artículo 12 de la Ley Orgánica 3/2018, de 5 de diciembre, de Protección de Datos Personales y Garantía de los Derechos Digitales, señale la respuesta correcta:</x:v>
      </x:c>
      <x:c r="N205" s="18" t="str">
        <x:v>EI delegado de protección de datos está obligado a informar a los interesados, en el plazo máximo de 30 días, sobre el estado de las solicitudes de ejercicio de derechos.</x:v>
      </x:c>
      <x:c r="O205" s="18" t="str">
        <x:v>EI encargado del tratamiento estará obligado e informar al afectado sobre los medios a su disposición para ejercer los derechos que le corresponden.</x:v>
      </x:c>
      <x:c r="P205" s="18" t="str">
        <x:v>Los derechos reconocidos a las personas físicas en la Ley Orgánica 3/2018 no podrán ejercerse por medio de representante legal o voluntario, al ser derechos considerados personalísimos.</x:v>
      </x:c>
      <x:c r="Q205" s="18" t="str">
        <x:v>Serán gratuitas las actuaciones llevadas a cabo por el responsable del tratamiento para atender fas soEicitudes de ejercicio de estos derechos, sin perjuicio de las excepciones previstas en eI Reglamento (UE) 2016/679 y en la propia ley orgánica de protección de datos.</x:v>
      </x:c>
      <x:c r="R205" s="18" t="str">
        <x:v>G22</x:v>
      </x:c>
      <x:c r="S205" s="18" t="n">
        <x:v>22</x:v>
      </x:c>
      <x:c r="T205" s="18" t="str">
        <x:v>Temario general</x:v>
      </x:c>
      <x:c r="U205" s="18" t="str">
        <x:v>Normativa reguladora de la protección de datos personales: principios, derechos de las personas y ejercicios de los derechos.</x:v>
      </x:c>
      <x:c r="V205" s="18" t="str">
        <x:v>G22</x:v>
      </x:c>
      <x:c r="W205" s="18" t="str">
        <x:v>Ley Orgánica 3/2018</x:v>
      </x:c>
      <x:c r="X205" s="18" t="str">
        <x:v>12</x:v>
      </x:c>
      <x:c r="Y205" s="18" t="str">
        <x:v>Artículos literales</x:v>
      </x:c>
      <x:c r="Z205" s="18" t="str">
        <x:v>Media</x:v>
      </x:c>
      <x:c r="AA205" s="18" t="str">
        <x:v>G22</x:v>
      </x:c>
      <x:c r="AB205" s="18" t="str"/>
      <x:c r="AC205" s="18" t="str"/>
      <x:c r="AD205" s="18" t="str">
        <x:v>No</x:v>
      </x:c>
      <x:c r="AE205" s="18" t="str">
        <x:v>Teórico</x:v>
      </x:c>
      <x:c r="AF205" s="18" t="str">
        <x:v>D</x:v>
      </x:c>
      <x:c r="AG205" s="18" t="str">
        <x:v>D</x:v>
      </x:c>
      <x:c r="AH205" s="18" t="str">
        <x:v>Válida</x:v>
      </x:c>
      <x:c r="AI205" s="18" t="str">
        <x:v>01. Información oficial de la oposición\Exámenes oficiales anteriores\2025 Convocatoria 2024 - Acceso libre Modelo A.pdf</x:v>
      </x:c>
      <x:c r="AJ205" s="18" t="str">
        <x:v>https://www.seg-social.es/wps/portal/wss/internet/InformacionUtil/9950/88beb45d-ca83-4bab-8162-f94ef2894562/7e46efac-32c8-4cf6-b3d3-d592c3560dff/rdpi_administrativos_2024</x:v>
      </x:c>
      <x:c r="AK205" s="18" t="str">
        <x:v>OCR Windows es-ES sobre PDF oficial</x:v>
      </x:c>
      <x:c r="AL205" s="18" t="n">
        <x:v>100</x:v>
      </x:c>
      <x:c r="AM205" s="18" t="str">
        <x:v>Alta</x:v>
      </x:c>
      <x:c r="AN205" s="18" t="str">
        <x:v>Regla jurídica determinista</x:v>
      </x:c>
      <x:c r="AO205" s="18" t="str">
        <x:v>2025_conv2024_ordinario_A-T22</x:v>
      </x:c>
      <x:c r="AP205" s="18" t="n">
        <x:v>1</x:v>
      </x:c>
    </x:row>
    <x:row r="206">
      <x:c r="A206" s="18" t="str">
        <x:v>2025_conv2024_ordinario_A-T23</x:v>
      </x:c>
      <x:c r="B206" s="18" t="n">
        <x:v>2025</x:v>
      </x:c>
      <x:c r="C206" s="18" t="n">
        <x:v>2024</x:v>
      </x:c>
      <x:c r="D206" s="28" t="n">
        <x:v>45913</x:v>
      </x:c>
      <x:c r="E206" s="18" t="str">
        <x:v>Acceso libre</x:v>
      </x:c>
      <x:c r="F206" s="18" t="str">
        <x:v>Primera parte</x:v>
      </x:c>
      <x:c r="G206" s="18" t="str">
        <x:v>A</x:v>
      </x:c>
      <x:c r="H206" s="18" t="str">
        <x:v>A/B</x:v>
      </x:c>
      <x:c r="I206" s="18" t="str">
        <x:v>Sí</x:v>
      </x:c>
      <x:c r="J206" s="18" t="str">
        <x:v>Modelo A usado como variante canónica; el modelo B oficial está archivado y permuta el orden y/o las opciones.</x:v>
      </x:c>
      <x:c r="K206" s="18" t="n">
        <x:v>23</x:v>
      </x:c>
      <x:c r="L206" s="18" t="str">
        <x:v>No</x:v>
      </x:c>
      <x:c r="M206" s="18" t="str">
        <x:v>Según el artículo 14 de la Ley 39/2015, de 1 de octubre, del Procedimiento Administrativo Común de las Administraciones Públicas, serán sujetos obligados a relacionarse electrónicamente a través de medios electrónicos con las Administraciones Públicas para la realización de cualquier trámite de un procedimiento administrativo, señale la respuesta INCORRECTA:</x:v>
      </x:c>
      <x:c r="N206" s="18" t="str">
        <x:v>Las personas jurídicas.</x:v>
      </x:c>
      <x:c r="O206" s="18" t="str">
        <x:v>Los empleados de las Administraciones Públicas para los trámites y actuaciones que realicen con ellas por razón de su condición de empleado público, en la forma en que se determine reglamentariamente por cada Administración.</x:v>
      </x:c>
      <x:c r="P206" s="18" t="str">
        <x:v>Quienes representen a un interesado, en todo caso.</x:v>
      </x:c>
      <x:c r="Q206" s="18" t="str">
        <x:v>Las entidades sin personalidad jurídica</x:v>
      </x:c>
      <x:c r="R206" s="18" t="str">
        <x:v>G23</x:v>
      </x:c>
      <x:c r="S206" s="18" t="n">
        <x:v>23</x:v>
      </x:c>
      <x:c r="T206" s="18" t="str">
        <x:v>Temario general</x:v>
      </x:c>
      <x:c r="U206" s="18" t="str">
        <x:v>El funcionamiento electrónico del sector público. Derecho y obligación de relacionarse electrónicamente con las Administraciones Públicas, registros y archivo electrónico.</x:v>
      </x:c>
      <x:c r="V206" s="18" t="str">
        <x:v>G23</x:v>
      </x:c>
      <x:c r="W206" s="18" t="str">
        <x:v>Ley 39/2015</x:v>
      </x:c>
      <x:c r="X206" s="18" t="str">
        <x:v>14</x:v>
      </x:c>
      <x:c r="Y206" s="18" t="str">
        <x:v>Procedimientos</x:v>
      </x:c>
      <x:c r="Z206" s="18" t="str">
        <x:v>Alta</x:v>
      </x:c>
      <x:c r="AA206" s="18" t="str">
        <x:v>G23</x:v>
      </x:c>
      <x:c r="AB206" s="18" t="str"/>
      <x:c r="AC206" s="18" t="str"/>
      <x:c r="AD206" s="18" t="str">
        <x:v>Sí</x:v>
      </x:c>
      <x:c r="AE206" s="18" t="str">
        <x:v>Teórico</x:v>
      </x:c>
      <x:c r="AF206" s="18" t="str">
        <x:v>C</x:v>
      </x:c>
      <x:c r="AG206" s="18" t="str">
        <x:v>C</x:v>
      </x:c>
      <x:c r="AH206" s="18" t="str">
        <x:v>Válida</x:v>
      </x:c>
      <x:c r="AI206" s="18" t="str">
        <x:v>01. Información oficial de la oposición\Exámenes oficiales anteriores\2025 Convocatoria 2024 - Acceso libre Modelo A.pdf</x:v>
      </x:c>
      <x:c r="AJ206" s="18" t="str">
        <x:v>https://www.seg-social.es/wps/portal/wss/internet/InformacionUtil/9950/88beb45d-ca83-4bab-8162-f94ef2894562/7e46efac-32c8-4cf6-b3d3-d592c3560dff/rdpi_administrativos_2024</x:v>
      </x:c>
      <x:c r="AK206" s="18" t="str">
        <x:v>OCR Windows es-ES sobre PDF oficial</x:v>
      </x:c>
      <x:c r="AL206" s="18" t="n">
        <x:v>100</x:v>
      </x:c>
      <x:c r="AM206" s="18" t="str">
        <x:v>Alta</x:v>
      </x:c>
      <x:c r="AN206" s="18" t="str">
        <x:v>Regla jurídica determinista</x:v>
      </x:c>
      <x:c r="AO206" s="18" t="str">
        <x:v>2025_conv2024_ordinario_A-T23</x:v>
      </x:c>
      <x:c r="AP206" s="18" t="n">
        <x:v>1</x:v>
      </x:c>
    </x:row>
    <x:row r="207">
      <x:c r="A207" s="18" t="str">
        <x:v>2025_conv2024_ordinario_A-T24</x:v>
      </x:c>
      <x:c r="B207" s="18" t="n">
        <x:v>2025</x:v>
      </x:c>
      <x:c r="C207" s="18" t="n">
        <x:v>2024</x:v>
      </x:c>
      <x:c r="D207" s="28" t="n">
        <x:v>45913</x:v>
      </x:c>
      <x:c r="E207" s="18" t="str">
        <x:v>Acceso libre</x:v>
      </x:c>
      <x:c r="F207" s="18" t="str">
        <x:v>Primera parte</x:v>
      </x:c>
      <x:c r="G207" s="18" t="str">
        <x:v>A</x:v>
      </x:c>
      <x:c r="H207" s="18" t="str">
        <x:v>A/B</x:v>
      </x:c>
      <x:c r="I207" s="18" t="str">
        <x:v>Sí</x:v>
      </x:c>
      <x:c r="J207" s="18" t="str">
        <x:v>Modelo A usado como variante canónica; el modelo B oficial está archivado y permuta el orden y/o las opciones.</x:v>
      </x:c>
      <x:c r="K207" s="18" t="n">
        <x:v>24</x:v>
      </x:c>
      <x:c r="L207" s="18" t="str">
        <x:v>No</x:v>
      </x:c>
      <x:c r="M207" s="18" t="str">
        <x:v>En relación con la estructura del texto refundido de la Ley General de la Seguridad Social, ¿Cómo se denomina el Título V?:</x:v>
      </x:c>
      <x:c r="N207" s="18" t="str">
        <x:v>Protección por cese de actividad.</x:v>
      </x:c>
      <x:c r="O207" s="18" t="str">
        <x:v>Régimen General de la Seguridad Social.</x:v>
      </x:c>
      <x:c r="P207" s="18" t="str">
        <x:v>Régimen Especial de la Seguridad Social de los Trabajadores por Cuenta Propia o Autónomos.</x:v>
      </x:c>
      <x:c r="Q207" s="18" t="str">
        <x:v>Normas generales del sistema de la Seguridad Social.</x:v>
      </x:c>
      <x:c r="R207" s="18" t="str">
        <x:v>S02</x:v>
      </x:c>
      <x:c r="S207" s="18" t="n">
        <x:v>2</x:v>
      </x:c>
      <x:c r="T207" s="18" t="str">
        <x:v>Temario específico Seguridad Social</x:v>
      </x:c>
      <x:c r="U207" s="18" t="str">
        <x:v>Campo de aplicación y composición del sistema de la Seguridad Social. Régimen general: ámbito subjetivo de aplicación, inclusiones y exclusiones. Regímenes especiales: enumeración, características generales, altas, bajas y cotización. Particularidades de la acción protectora. Sistemas especiales: enumeración y características generales. Altas, bajas y cotización. Particularidades de la acción protectora.</x:v>
      </x:c>
      <x:c r="V207" s="18" t="str">
        <x:v>S02</x:v>
      </x:c>
      <x:c r="W207" s="18" t="str">
        <x:v>texto refundido de la Ley General de la Seguridad Social</x:v>
      </x:c>
      <x:c r="X207" s="18" t="str"/>
      <x:c r="Y207" s="18" t="str">
        <x:v>Artículos literales</x:v>
      </x:c>
      <x:c r="Z207" s="18" t="str">
        <x:v>Básica</x:v>
      </x:c>
      <x:c r="AA207" s="18" t="str">
        <x:v>S02</x:v>
      </x:c>
      <x:c r="AB207" s="18" t="str"/>
      <x:c r="AC207" s="18" t="str"/>
      <x:c r="AD207" s="18" t="str">
        <x:v>No</x:v>
      </x:c>
      <x:c r="AE207" s="18" t="str">
        <x:v>Teórico</x:v>
      </x:c>
      <x:c r="AF207" s="18" t="str">
        <x:v>A</x:v>
      </x:c>
      <x:c r="AG207" s="18" t="str">
        <x:v>A</x:v>
      </x:c>
      <x:c r="AH207" s="18" t="str">
        <x:v>Válida</x:v>
      </x:c>
      <x:c r="AI207" s="18" t="str">
        <x:v>01. Información oficial de la oposición\Exámenes oficiales anteriores\2025 Convocatoria 2024 - Acceso libre Modelo A.pdf</x:v>
      </x:c>
      <x:c r="AJ207" s="18" t="str">
        <x:v>https://www.seg-social.es/wps/portal/wss/internet/InformacionUtil/9950/88beb45d-ca83-4bab-8162-f94ef2894562/7e46efac-32c8-4cf6-b3d3-d592c3560dff/rdpi_administrativos_2024</x:v>
      </x:c>
      <x:c r="AK207" s="18" t="str">
        <x:v>OCR Windows es-ES sobre PDF oficial</x:v>
      </x:c>
      <x:c r="AL207" s="18" t="n">
        <x:v>100</x:v>
      </x:c>
      <x:c r="AM207" s="18" t="str">
        <x:v>Alta</x:v>
      </x:c>
      <x:c r="AN207" s="18" t="str">
        <x:v>Regla jurídica determinista</x:v>
      </x:c>
      <x:c r="AO207" s="18" t="str">
        <x:v>2025_conv2024_ordinario_A-T24</x:v>
      </x:c>
      <x:c r="AP207" s="18" t="n">
        <x:v>1</x:v>
      </x:c>
    </x:row>
    <x:row r="208">
      <x:c r="A208" s="18" t="str">
        <x:v>2025_conv2024_ordinario_A-T25</x:v>
      </x:c>
      <x:c r="B208" s="18" t="n">
        <x:v>2025</x:v>
      </x:c>
      <x:c r="C208" s="18" t="n">
        <x:v>2024</x:v>
      </x:c>
      <x:c r="D208" s="28" t="n">
        <x:v>45913</x:v>
      </x:c>
      <x:c r="E208" s="18" t="str">
        <x:v>Acceso libre</x:v>
      </x:c>
      <x:c r="F208" s="18" t="str">
        <x:v>Primera parte</x:v>
      </x:c>
      <x:c r="G208" s="18" t="str">
        <x:v>A</x:v>
      </x:c>
      <x:c r="H208" s="18" t="str">
        <x:v>A/B</x:v>
      </x:c>
      <x:c r="I208" s="18" t="str">
        <x:v>Sí</x:v>
      </x:c>
      <x:c r="J208" s="18" t="str">
        <x:v>Modelo A usado como variante canónica; el modelo B oficial está archivado y permuta el orden y/o las opciones.</x:v>
      </x:c>
      <x:c r="K208" s="18" t="n">
        <x:v>25</x:v>
      </x:c>
      <x:c r="L208" s="18" t="str">
        <x:v>No</x:v>
      </x:c>
      <x:c r="M208" s="18" t="str">
        <x:v>Alguna de las prestaciones que incluye eI Título II del texto refundido de la Ley General de la Seguridad Social son:</x:v>
      </x:c>
      <x:c r="N208" s="18" t="str">
        <x:v>Riesgo durante eI embarazo, riesgo durante la lactancia natural y subsidio por maternidad.</x:v>
      </x:c>
      <x:c r="O208" s="18" t="str">
        <x:v>Cuidado de menores afectados por cáncer u otra enfermedad grave, lesiones permanentes no incapacitantes y muerte y supervivencia.</x:v>
      </x:c>
      <x:c r="P208" s="18" t="str">
        <x:v>Incapacidad temporal, ejercicio corresponsable del cuidado del lactante e ingreso mínimo vital.</x:v>
      </x:c>
      <x:c r="Q208" s="18" t="str">
        <x:v>Nacimiento y cuidado de menor, incapacidad permanente contributiva y complementos por mínimos de las pensiones de le Seguridad Social.</x:v>
      </x:c>
      <x:c r="R208" s="18" t="str">
        <x:v>S01</x:v>
      </x:c>
      <x:c r="S208" s="18" t="n">
        <x:v>1</x:v>
      </x:c>
      <x:c r="T208" s="18" t="str">
        <x:v>Temario específico Seguridad Social</x:v>
      </x:c>
      <x:c r="U208" s="18" t="str">
        <x:v>La Seguridad Social en la Constitución española de 1978. El texto refundido de la Ley General de la Seguridad Social.</x:v>
      </x:c>
      <x:c r="V208" s="18" t="str">
        <x:v>S01</x:v>
      </x:c>
      <x:c r="W208" s="18" t="str">
        <x:v>texto refundido de la Ley General de la Seguridad Social</x:v>
      </x:c>
      <x:c r="X208" s="18" t="str"/>
      <x:c r="Y208" s="18" t="str">
        <x:v>Artículos literales</x:v>
      </x:c>
      <x:c r="Z208" s="18" t="str">
        <x:v>Básica</x:v>
      </x:c>
      <x:c r="AA208" s="18" t="str">
        <x:v>S01</x:v>
      </x:c>
      <x:c r="AB208" s="18" t="str"/>
      <x:c r="AC208" s="18" t="str"/>
      <x:c r="AD208" s="18" t="str">
        <x:v>No</x:v>
      </x:c>
      <x:c r="AE208" s="18" t="str">
        <x:v>Teórico</x:v>
      </x:c>
      <x:c r="AF208" s="18" t="str">
        <x:v>B</x:v>
      </x:c>
      <x:c r="AG208" s="18" t="str">
        <x:v>B</x:v>
      </x:c>
      <x:c r="AH208" s="18" t="str">
        <x:v>Válida</x:v>
      </x:c>
      <x:c r="AI208" s="18" t="str">
        <x:v>01. Información oficial de la oposición\Exámenes oficiales anteriores\2025 Convocatoria 2024 - Acceso libre Modelo A.pdf</x:v>
      </x:c>
      <x:c r="AJ208" s="18" t="str">
        <x:v>https://www.seg-social.es/wps/portal/wss/internet/InformacionUtil/9950/88beb45d-ca83-4bab-8162-f94ef2894562/7e46efac-32c8-4cf6-b3d3-d592c3560dff/rdpi_administrativos_2024</x:v>
      </x:c>
      <x:c r="AK208" s="18" t="str">
        <x:v>OCR Windows es-ES sobre PDF oficial</x:v>
      </x:c>
      <x:c r="AL208" s="18" t="n">
        <x:v>100</x:v>
      </x:c>
      <x:c r="AM208" s="18" t="str">
        <x:v>Alta</x:v>
      </x:c>
      <x:c r="AN208" s="18" t="str">
        <x:v>Revisión jurídica individual</x:v>
      </x:c>
      <x:c r="AO208" s="18" t="str">
        <x:v>2025_conv2024_ordinario_A-T25</x:v>
      </x:c>
      <x:c r="AP208" s="18" t="n">
        <x:v>1</x:v>
      </x:c>
    </x:row>
    <x:row r="209">
      <x:c r="A209" s="18" t="str">
        <x:v>2025_conv2024_ordinario_A-T26</x:v>
      </x:c>
      <x:c r="B209" s="18" t="n">
        <x:v>2025</x:v>
      </x:c>
      <x:c r="C209" s="18" t="n">
        <x:v>2024</x:v>
      </x:c>
      <x:c r="D209" s="28" t="n">
        <x:v>45913</x:v>
      </x:c>
      <x:c r="E209" s="18" t="str">
        <x:v>Acceso libre</x:v>
      </x:c>
      <x:c r="F209" s="18" t="str">
        <x:v>Primera parte</x:v>
      </x:c>
      <x:c r="G209" s="18" t="str">
        <x:v>A</x:v>
      </x:c>
      <x:c r="H209" s="18" t="str">
        <x:v>A/B</x:v>
      </x:c>
      <x:c r="I209" s="18" t="str">
        <x:v>Sí</x:v>
      </x:c>
      <x:c r="J209" s="18" t="str">
        <x:v>Modelo A usado como variante canónica; el modelo B oficial está archivado y permuta el orden y/o las opciones.</x:v>
      </x:c>
      <x:c r="K209" s="18" t="n">
        <x:v>26</x:v>
      </x:c>
      <x:c r="L209" s="18" t="str">
        <x:v>No</x:v>
      </x:c>
      <x:c r="M209" s="18" t="str">
        <x:v>Según eI artículo 7 del texto refundido de la Ley General de la Seguridad Social, se encuentran comprendidos en el sistema de la Seguridad Social a efectos de las prestaciones contributivas, cualquiera que sea su sexo, estado civil y profesión, los españoles que residan en España y los extranjeros que residan o se encuentren legalmente en España, siempre que, en ambos supuestos, ejerzan su actividad en territorio nacional y estén incluidos en alguno de los apartados siguientes:</x:v>
      </x:c>
      <x:c r="N209" s="18" t="str">
        <x:v>Trabajadores por cuenta ajena, socios trabajadores de cooperativas de trabajo asociado, los miembros de las corporaciones locales y los funcionarios públicos, civiles y militares.</x:v>
      </x:c>
      <x:c r="O209" s="18" t="str">
        <x:v>Trabajadores por cuenta ajena, trabajadores por cuenta propia, eI personal civil no funcionario de la Administración, y los funcionarios transferidos a las comunidades autónomas.</x:v>
      </x:c>
      <x:c r="P209" s="18" t="str">
        <x:v>Trabajadores por cuenta ajena, trabajadores del mar, trabajadores agrarios y empleados de hogar.</x:v>
      </x:c>
      <x:c r="Q209" s="18" t="str">
        <x:v>Trabajadores por cuenta ajena, trabajadores por cuenta propia, socios trabajadores de cooperativas de trabajo asociado, estudiantes y funcionarios públicos civiles y militares.</x:v>
      </x:c>
      <x:c r="R209" s="18" t="str">
        <x:v>S02</x:v>
      </x:c>
      <x:c r="S209" s="18" t="n">
        <x:v>2</x:v>
      </x:c>
      <x:c r="T209" s="18" t="str">
        <x:v>Temario específico Seguridad Social</x:v>
      </x:c>
      <x:c r="U209" s="18" t="str">
        <x:v>Campo de aplicación y composición del sistema de la Seguridad Social. Régimen general: ámbito subjetivo de aplicación, inclusiones y exclusiones. Regímenes especiales: enumeración, características generales, altas, bajas y cotización. Particularidades de la acción protectora. Sistemas especiales: enumeración y características generales. Altas, bajas y cotización. Particularidades de la acción protectora.</x:v>
      </x:c>
      <x:c r="V209" s="18" t="str">
        <x:v>S02</x:v>
      </x:c>
      <x:c r="W209" s="18" t="str">
        <x:v>texto refundido de la Ley General de la Seguridad Social</x:v>
      </x:c>
      <x:c r="X209" s="18" t="str">
        <x:v>7</x:v>
      </x:c>
      <x:c r="Y209" s="18" t="str">
        <x:v>Artículos literales</x:v>
      </x:c>
      <x:c r="Z209" s="18" t="str">
        <x:v>Alta</x:v>
      </x:c>
      <x:c r="AA209" s="18" t="str">
        <x:v>S02</x:v>
      </x:c>
      <x:c r="AB209" s="18" t="str"/>
      <x:c r="AC209" s="18" t="str"/>
      <x:c r="AD209" s="18" t="str">
        <x:v>No</x:v>
      </x:c>
      <x:c r="AE209" s="18" t="str">
        <x:v>Teórico</x:v>
      </x:c>
      <x:c r="AF209" s="18" t="str">
        <x:v>D</x:v>
      </x:c>
      <x:c r="AG209" s="18" t="str">
        <x:v>D</x:v>
      </x:c>
      <x:c r="AH209" s="18" t="str">
        <x:v>Válida</x:v>
      </x:c>
      <x:c r="AI209" s="18" t="str">
        <x:v>01. Información oficial de la oposición\Exámenes oficiales anteriores\2025 Convocatoria 2024 - Acceso libre Modelo A.pdf</x:v>
      </x:c>
      <x:c r="AJ209" s="18" t="str">
        <x:v>https://www.seg-social.es/wps/portal/wss/internet/InformacionUtil/9950/88beb45d-ca83-4bab-8162-f94ef2894562/7e46efac-32c8-4cf6-b3d3-d592c3560dff/rdpi_administrativos_2024</x:v>
      </x:c>
      <x:c r="AK209" s="18" t="str">
        <x:v>OCR Windows es-ES sobre PDF oficial</x:v>
      </x:c>
      <x:c r="AL209" s="18" t="n">
        <x:v>100</x:v>
      </x:c>
      <x:c r="AM209" s="18" t="str">
        <x:v>Alta</x:v>
      </x:c>
      <x:c r="AN209" s="18" t="str">
        <x:v>Regla jurídica determinista</x:v>
      </x:c>
      <x:c r="AO209" s="18" t="str">
        <x:v>2025_conv2024_ordinario_A-T26</x:v>
      </x:c>
      <x:c r="AP209" s="18" t="n">
        <x:v>1</x:v>
      </x:c>
    </x:row>
    <x:row r="210">
      <x:c r="A210" s="18" t="str">
        <x:v>2025_conv2024_ordinario_A-T27</x:v>
      </x:c>
      <x:c r="B210" s="18" t="n">
        <x:v>2025</x:v>
      </x:c>
      <x:c r="C210" s="18" t="n">
        <x:v>2024</x:v>
      </x:c>
      <x:c r="D210" s="28" t="n">
        <x:v>45913</x:v>
      </x:c>
      <x:c r="E210" s="18" t="str">
        <x:v>Acceso libre</x:v>
      </x:c>
      <x:c r="F210" s="18" t="str">
        <x:v>Primera parte</x:v>
      </x:c>
      <x:c r="G210" s="18" t="str">
        <x:v>A</x:v>
      </x:c>
      <x:c r="H210" s="18" t="str">
        <x:v>A/B</x:v>
      </x:c>
      <x:c r="I210" s="18" t="str">
        <x:v>Sí</x:v>
      </x:c>
      <x:c r="J210" s="18" t="str">
        <x:v>Modelo A usado como variante canónica; el modelo B oficial está archivado y permuta el orden y/o las opciones.</x:v>
      </x:c>
      <x:c r="K210" s="18" t="n">
        <x:v>27</x:v>
      </x:c>
      <x:c r="L210" s="18" t="str">
        <x:v>No</x:v>
      </x:c>
      <x:c r="M210" s="18" t="str">
        <x:v>Según eI artículo I del Real Decreto 357/1991, de 15 de marzo, por eI que se desarrolla, en materia de pensiones no contributivas, la Ley 26/1990, de 20 de diciembre, por la que se establecen en la Seguridad Social prestaciones no contributivas, en la pensión de invalidez, aparte de la residencia actual en territorio nacional, se exige una residencia anterior de:</x:v>
      </x:c>
      <x:c r="N210" s="18" t="str">
        <x:v>10 años, de los cuales 2 deberán ser inmediatamente anteriores a la fecha de solicitud de la pensión.</x:v>
      </x:c>
      <x:c r="O210" s="18" t="str">
        <x:v>90 días dentro del año inmediatamente anterior.</x:v>
      </x:c>
      <x:c r="P210" s="18" t="str">
        <x:v>5 años, de los cuales 2 deberán ser inmediatamente anteriores a la fecha de solicitud de la pensión.</x:v>
      </x:c>
      <x:c r="Q210" s="18" t="str">
        <x:v>Sólo se exige residencie actual.</x:v>
      </x:c>
      <x:c r="R210" s="18" t="str">
        <x:v>S12</x:v>
      </x:c>
      <x:c r="S210" s="18" t="n">
        <x:v>12</x:v>
      </x:c>
      <x:c r="T210" s="18" t="str">
        <x:v>Temario específico Seguridad Social</x:v>
      </x:c>
      <x:c r="U210" s="18" t="str">
        <x:v>Prestaciones no contributivas y asistenciales. El ingreso mínimo vital: beneficiarios, requisitos y duración. Obligaciones de las personas beneficiarias. Cuantía, pago, reintegro de prestaciones indebidas. Prestaciones familiares múltiples. Prestaciones familiares en la modalidad contributiva. Las pensiones no contributivas: Invalidez no contributiva: Jubilación no contributiva.</x:v>
      </x:c>
      <x:c r="V210" s="18" t="str">
        <x:v>S12</x:v>
      </x:c>
      <x:c r="W210" s="18" t="str">
        <x:v>Ley 26/1990</x:v>
      </x:c>
      <x:c r="X210" s="18" t="str"/>
      <x:c r="Y210" s="18" t="str">
        <x:v>Prestaciones no contributivas</x:v>
      </x:c>
      <x:c r="Z210" s="18" t="str">
        <x:v>Alta</x:v>
      </x:c>
      <x:c r="AA210" s="18" t="str">
        <x:v>S12</x:v>
      </x:c>
      <x:c r="AB210" s="18" t="str"/>
      <x:c r="AC210" s="18" t="str"/>
      <x:c r="AD210" s="18" t="str">
        <x:v>No</x:v>
      </x:c>
      <x:c r="AE210" s="18" t="str">
        <x:v>Teórico</x:v>
      </x:c>
      <x:c r="AF210" s="18" t="str">
        <x:v>C</x:v>
      </x:c>
      <x:c r="AG210" s="18" t="str">
        <x:v>C</x:v>
      </x:c>
      <x:c r="AH210" s="18" t="str">
        <x:v>Válida</x:v>
      </x:c>
      <x:c r="AI210" s="18" t="str">
        <x:v>01. Información oficial de la oposición\Exámenes oficiales anteriores\2025 Convocatoria 2024 - Acceso libre Modelo A.pdf</x:v>
      </x:c>
      <x:c r="AJ210" s="18" t="str">
        <x:v>https://www.seg-social.es/wps/portal/wss/internet/InformacionUtil/9950/88beb45d-ca83-4bab-8162-f94ef2894562/7e46efac-32c8-4cf6-b3d3-d592c3560dff/rdpi_administrativos_2024</x:v>
      </x:c>
      <x:c r="AK210" s="18" t="str">
        <x:v>OCR Windows es-ES sobre PDF oficial</x:v>
      </x:c>
      <x:c r="AL210" s="18" t="n">
        <x:v>100</x:v>
      </x:c>
      <x:c r="AM210" s="18" t="str">
        <x:v>Alta</x:v>
      </x:c>
      <x:c r="AN210" s="18" t="str">
        <x:v>Regla jurídica determinista</x:v>
      </x:c>
      <x:c r="AO210" s="18" t="str">
        <x:v>2025_conv2024_ordinario_A-T27</x:v>
      </x:c>
      <x:c r="AP210" s="18" t="n">
        <x:v>1</x:v>
      </x:c>
    </x:row>
    <x:row r="211">
      <x:c r="A211" s="18" t="str">
        <x:v>2025_conv2024_ordinario_A-T28</x:v>
      </x:c>
      <x:c r="B211" s="18" t="n">
        <x:v>2025</x:v>
      </x:c>
      <x:c r="C211" s="18" t="n">
        <x:v>2024</x:v>
      </x:c>
      <x:c r="D211" s="28" t="n">
        <x:v>45913</x:v>
      </x:c>
      <x:c r="E211" s="18" t="str">
        <x:v>Acceso libre</x:v>
      </x:c>
      <x:c r="F211" s="18" t="str">
        <x:v>Primera parte</x:v>
      </x:c>
      <x:c r="G211" s="18" t="str">
        <x:v>A</x:v>
      </x:c>
      <x:c r="H211" s="18" t="str">
        <x:v>A/B</x:v>
      </x:c>
      <x:c r="I211" s="18" t="str">
        <x:v>Sí</x:v>
      </x:c>
      <x:c r="J211" s="18" t="str">
        <x:v>Modelo A usado como variante canónica; el modelo B oficial está archivado y permuta el orden y/o las opciones.</x:v>
      </x:c>
      <x:c r="K211" s="18" t="n">
        <x:v>28</x:v>
      </x:c>
      <x:c r="L211" s="18" t="str">
        <x:v>No</x:v>
      </x:c>
      <x:c r="M211" s="18" t="str">
        <x:v>Según eI artículo 14 del texto refundido de la Ley General de la Seguridad Social, los socios trabajadores de las cooperativas de trabajo asociado disfrutarán de los beneficios de la Seguridad Social, y estarán encuadrados en:</x:v>
      </x:c>
      <x:c r="N211" s="18" t="str">
        <x:v>En el Régimen General como asimilados a trabajadores por cuenta ajena, con exclusión de la protección por desempleo y del Fondo de Garantía Salarial.</x:v>
      </x:c>
      <x:c r="O211" s="18" t="str">
        <x:v>La cooperativa podrá optar entre eI Régimen Especial de Trabajadores Autónomos y eI Régimen General como asimilados a trabajadores por cuenta ajena con exclusión de la protección por desempleo y del Fondo de Garantía Salarial.</x:v>
      </x:c>
      <x:c r="P211" s="18" t="str">
        <x:v>En el Régimen Especial de Trabajadores Autónomos.</x:v>
      </x:c>
      <x:c r="Q211" s="18" t="str">
        <x:v>La cooperativa podrá optar entre eI Régimen Especial de Trabajadores Autónomos y eI Régimen General como asimilados a trabajadores por cuenta ajena con exclusión de la protección del Fondo de Garantía Salarial.</x:v>
      </x:c>
      <x:c r="R211" s="18" t="str">
        <x:v>S02</x:v>
      </x:c>
      <x:c r="S211" s="18" t="n">
        <x:v>2</x:v>
      </x:c>
      <x:c r="T211" s="18" t="str">
        <x:v>Temario específico Seguridad Social</x:v>
      </x:c>
      <x:c r="U211" s="18" t="str">
        <x:v>Campo de aplicación y composición del sistema de la Seguridad Social. Régimen general: ámbito subjetivo de aplicación, inclusiones y exclusiones. Regímenes especiales: enumeración, características generales, altas, bajas y cotización. Particularidades de la acción protectora. Sistemas especiales: enumeración y características generales. Altas, bajas y cotización. Particularidades de la acción protectora.</x:v>
      </x:c>
      <x:c r="V211" s="18" t="str">
        <x:v>S02</x:v>
      </x:c>
      <x:c r="W211" s="18" t="str">
        <x:v>texto refundido de la Ley General de la Seguridad Social</x:v>
      </x:c>
      <x:c r="X211" s="18" t="str">
        <x:v>14</x:v>
      </x:c>
      <x:c r="Y211" s="18" t="str">
        <x:v>Artículos literales</x:v>
      </x:c>
      <x:c r="Z211" s="18" t="str">
        <x:v>Media</x:v>
      </x:c>
      <x:c r="AA211" s="18" t="str">
        <x:v>S02</x:v>
      </x:c>
      <x:c r="AB211" s="18" t="str"/>
      <x:c r="AC211" s="18" t="str"/>
      <x:c r="AD211" s="18" t="str">
        <x:v>No</x:v>
      </x:c>
      <x:c r="AE211" s="18" t="str">
        <x:v>Teórico</x:v>
      </x:c>
      <x:c r="AF211" s="18" t="str">
        <x:v>D</x:v>
      </x:c>
      <x:c r="AG211" s="18" t="str">
        <x:v>D</x:v>
      </x:c>
      <x:c r="AH211" s="18" t="str">
        <x:v>Válida</x:v>
      </x:c>
      <x:c r="AI211" s="18" t="str">
        <x:v>01. Información oficial de la oposición\Exámenes oficiales anteriores\2025 Convocatoria 2024 - Acceso libre Modelo A.pdf</x:v>
      </x:c>
      <x:c r="AJ211" s="18" t="str">
        <x:v>https://www.seg-social.es/wps/portal/wss/internet/InformacionUtil/9950/88beb45d-ca83-4bab-8162-f94ef2894562/7e46efac-32c8-4cf6-b3d3-d592c3560dff/rdpi_administrativos_2024</x:v>
      </x:c>
      <x:c r="AK211" s="18" t="str">
        <x:v>OCR Windows es-ES sobre PDF oficial</x:v>
      </x:c>
      <x:c r="AL211" s="18" t="n">
        <x:v>100</x:v>
      </x:c>
      <x:c r="AM211" s="18" t="str">
        <x:v>Alta</x:v>
      </x:c>
      <x:c r="AN211" s="18" t="str">
        <x:v>Regla jurídica determinista</x:v>
      </x:c>
      <x:c r="AO211" s="18" t="str">
        <x:v>2025_conv2024_ordinario_A-T28</x:v>
      </x:c>
      <x:c r="AP211" s="18" t="n">
        <x:v>1</x:v>
      </x:c>
    </x:row>
    <x:row r="212">
      <x:c r="A212" s="18" t="str">
        <x:v>2025_conv2024_ordinario_A-T29</x:v>
      </x:c>
      <x:c r="B212" s="18" t="n">
        <x:v>2025</x:v>
      </x:c>
      <x:c r="C212" s="18" t="n">
        <x:v>2024</x:v>
      </x:c>
      <x:c r="D212" s="28" t="n">
        <x:v>45913</x:v>
      </x:c>
      <x:c r="E212" s="18" t="str">
        <x:v>Acceso libre</x:v>
      </x:c>
      <x:c r="F212" s="18" t="str">
        <x:v>Primera parte</x:v>
      </x:c>
      <x:c r="G212" s="18" t="str">
        <x:v>A</x:v>
      </x:c>
      <x:c r="H212" s="18" t="str">
        <x:v>A/B</x:v>
      </x:c>
      <x:c r="I212" s="18" t="str">
        <x:v>Sí</x:v>
      </x:c>
      <x:c r="J212" s="18" t="str">
        <x:v>Modelo A usado como variante canónica; el modelo B oficial está archivado y permuta el orden y/o las opciones.</x:v>
      </x:c>
      <x:c r="K212" s="18" t="n">
        <x:v>29</x:v>
      </x:c>
      <x:c r="L212" s="18" t="str">
        <x:v>No</x:v>
      </x:c>
      <x:c r="M212" s="18" t="str">
        <x:v>EI incumplimiento de la obligación de solicitar la afiliación al sistema de la Seguridad Social de quienes, no estando afiliados, ingresen a su servicio constituye, conforme al texto refundido de la Ley sobre Infracciones y Sanciones en eI Orden Social (Real Decreto Legislativo 5/2000, de 4 de agosto):</x:v>
      </x:c>
      <x:c r="N212" s="18" t="str">
        <x:v>Constituye infracción leve.</x:v>
      </x:c>
      <x:c r="O212" s="18" t="str">
        <x:v>Constituye infracción grave.</x:v>
      </x:c>
      <x:c r="P212" s="18" t="str">
        <x:v>Constituye infracción muy grave.</x:v>
      </x:c>
      <x:c r="Q212" s="18" t="str">
        <x:v>No constituye infracción si regulariza la situación en los 30 días siguientes.</x:v>
      </x:c>
      <x:c r="R212" s="18" t="str">
        <x:v>S03</x:v>
      </x:c>
      <x:c r="S212" s="18" t="n">
        <x:v>3</x:v>
      </x:c>
      <x:c r="T212" s="18" t="str">
        <x:v>Temario específico Seguridad Social</x:v>
      </x:c>
      <x:c r="U212" s="18" t="str">
        <x:v>Normas sobre afiliación. Altas y bajas en el régimen general. Procedimiento y efectos. El convenio especial y otras situaciones asimiladas a la del alta. Encuadramiento e inscripción.</x:v>
      </x:c>
      <x:c r="V212" s="18" t="str">
        <x:v>afiliación</x:v>
      </x:c>
      <x:c r="W212" s="18" t="str">
        <x:v>Real Decreto Legislativo 5/2000</x:v>
      </x:c>
      <x:c r="X212" s="18" t="str"/>
      <x:c r="Y212" s="18" t="str">
        <x:v>Afiliación, altas y bajas</x:v>
      </x:c>
      <x:c r="Z212" s="18" t="str">
        <x:v>Media</x:v>
      </x:c>
      <x:c r="AA212" s="18" t="str">
        <x:v>afiliación</x:v>
      </x:c>
      <x:c r="AB212" s="18" t="str"/>
      <x:c r="AC212" s="18" t="str"/>
      <x:c r="AD212" s="18" t="str">
        <x:v>Sí</x:v>
      </x:c>
      <x:c r="AE212" s="18" t="str">
        <x:v>Teórico</x:v>
      </x:c>
      <x:c r="AF212" s="18" t="str">
        <x:v>B</x:v>
      </x:c>
      <x:c r="AG212" s="18" t="str">
        <x:v>B</x:v>
      </x:c>
      <x:c r="AH212" s="18" t="str">
        <x:v>Válida</x:v>
      </x:c>
      <x:c r="AI212" s="18" t="str">
        <x:v>01. Información oficial de la oposición\Exámenes oficiales anteriores\2025 Convocatoria 2024 - Acceso libre Modelo A.pdf</x:v>
      </x:c>
      <x:c r="AJ212" s="18" t="str">
        <x:v>https://www.seg-social.es/wps/portal/wss/internet/InformacionUtil/9950/88beb45d-ca83-4bab-8162-f94ef2894562/7e46efac-32c8-4cf6-b3d3-d592c3560dff/rdpi_administrativos_2024</x:v>
      </x:c>
      <x:c r="AK212" s="18" t="str">
        <x:v>OCR Windows es-ES sobre PDF oficial</x:v>
      </x:c>
      <x:c r="AL212" s="18" t="n">
        <x:v>100</x:v>
      </x:c>
      <x:c r="AM212" s="18" t="str">
        <x:v>Alta</x:v>
      </x:c>
      <x:c r="AN212" s="18" t="str">
        <x:v>Revisión jurídica individual</x:v>
      </x:c>
      <x:c r="AO212" s="18" t="str">
        <x:v>2025_conv2024_ordinario_A-T29</x:v>
      </x:c>
      <x:c r="AP212" s="18" t="n">
        <x:v>1</x:v>
      </x:c>
    </x:row>
    <x:row r="213">
      <x:c r="A213" s="18" t="str">
        <x:v>2025_conv2024_ordinario_A-T30</x:v>
      </x:c>
      <x:c r="B213" s="18" t="n">
        <x:v>2025</x:v>
      </x:c>
      <x:c r="C213" s="18" t="n">
        <x:v>2024</x:v>
      </x:c>
      <x:c r="D213" s="28" t="n">
        <x:v>45913</x:v>
      </x:c>
      <x:c r="E213" s="18" t="str">
        <x:v>Acceso libre</x:v>
      </x:c>
      <x:c r="F213" s="18" t="str">
        <x:v>Primera parte</x:v>
      </x:c>
      <x:c r="G213" s="18" t="str">
        <x:v>A</x:v>
      </x:c>
      <x:c r="H213" s="18" t="str">
        <x:v>A/B</x:v>
      </x:c>
      <x:c r="I213" s="18" t="str">
        <x:v>Sí</x:v>
      </x:c>
      <x:c r="J213" s="18" t="str">
        <x:v>Modelo A usado como variante canónica; el modelo B oficial está archivado y permuta el orden y/o las opciones.</x:v>
      </x:c>
      <x:c r="K213" s="18" t="n">
        <x:v>30</x:v>
      </x:c>
      <x:c r="L213" s="18" t="str">
        <x:v>No</x:v>
      </x:c>
      <x:c r="M213" s="18" t="str">
        <x:v>Según el artículo 29 del Real Decreto 84/1996, de 26 de enero, aunque el empresario incumpla con sus obligaciones respecto del alta, los trabajadores por cuenta ajena y asimilados incluidos en eI campo de aplicación de los regímenes del sistema de la Seguridad Social se considerarán, de pleno derecho, en situación de alta en ellos, a efectos de:</x:v>
      </x:c>
      <x:c r="N213" s="18" t="str">
        <x:v>Accidentes de trabajo, enfermedades profesionales, desempleo, riesgo durante eI embarazo, riesgo durante la lactancia natural.</x:v>
      </x:c>
      <x:c r="O213" s="18" t="str">
        <x:v>Accidentes de trabajo, enfermedades profesionales, desempleo, riesgo durante el embarazo, riesgo durante la lactancia natural y asistencia sanitaria por enfermedad común, maternidad y accidente no laboral.</x:v>
      </x:c>
      <x:c r="P213" s="18" t="str">
        <x:v>Accidentes de trabajo, enfermedades profesionales, desempleo, riesgo durante el embarazo, riesgo durante la lactancia natural y asistencia sanitaria por todas las contingencias.</x:v>
      </x:c>
      <x:c r="Q213" s="18" t="str">
        <x:v>Asistencia sanitaria derivada de incapacidad temporal.</x:v>
      </x:c>
      <x:c r="R213" s="18" t="str">
        <x:v>S03</x:v>
      </x:c>
      <x:c r="S213" s="18" t="n">
        <x:v>3</x:v>
      </x:c>
      <x:c r="T213" s="18" t="str">
        <x:v>Temario específico Seguridad Social</x:v>
      </x:c>
      <x:c r="U213" s="18" t="str">
        <x:v>Normas sobre afiliación. Altas y bajas en el régimen general. Procedimiento y efectos. El convenio especial y otras situaciones asimiladas a la del alta. Encuadramiento e inscripción.</x:v>
      </x:c>
      <x:c r="V213" s="18" t="str">
        <x:v>alta</x:v>
      </x:c>
      <x:c r="W213" s="18" t="str">
        <x:v>Real Decreto 84/1996</x:v>
      </x:c>
      <x:c r="X213" s="18" t="str">
        <x:v>29</x:v>
      </x:c>
      <x:c r="Y213" s="18" t="str">
        <x:v>Afiliación, altas y bajas</x:v>
      </x:c>
      <x:c r="Z213" s="18" t="str">
        <x:v>Alta</x:v>
      </x:c>
      <x:c r="AA213" s="18" t="str">
        <x:v>alta</x:v>
      </x:c>
      <x:c r="AB213" s="18" t="str"/>
      <x:c r="AC213" s="18" t="str"/>
      <x:c r="AD213" s="18" t="str">
        <x:v>No</x:v>
      </x:c>
      <x:c r="AE213" s="18" t="str">
        <x:v>Teórico</x:v>
      </x:c>
      <x:c r="AF213" s="18" t="str">
        <x:v>B</x:v>
      </x:c>
      <x:c r="AG213" s="18" t="str">
        <x:v>B</x:v>
      </x:c>
      <x:c r="AH213" s="18" t="str">
        <x:v>Válida</x:v>
      </x:c>
      <x:c r="AI213" s="18" t="str">
        <x:v>01. Información oficial de la oposición\Exámenes oficiales anteriores\2025 Convocatoria 2024 - Acceso libre Modelo A.pdf</x:v>
      </x:c>
      <x:c r="AJ213" s="18" t="str">
        <x:v>https://www.seg-social.es/wps/portal/wss/internet/InformacionUtil/9950/88beb45d-ca83-4bab-8162-f94ef2894562/7e46efac-32c8-4cf6-b3d3-d592c3560dff/rdpi_administrativos_2024</x:v>
      </x:c>
      <x:c r="AK213" s="18" t="str">
        <x:v>OCR Windows es-ES sobre PDF oficial</x:v>
      </x:c>
      <x:c r="AL213" s="18" t="n">
        <x:v>100</x:v>
      </x:c>
      <x:c r="AM213" s="18" t="str">
        <x:v>Alta</x:v>
      </x:c>
      <x:c r="AN213" s="18" t="str">
        <x:v>Regla jurídica determinista</x:v>
      </x:c>
      <x:c r="AO213" s="18" t="str">
        <x:v>2025_conv2024_ordinario_A-T30</x:v>
      </x:c>
      <x:c r="AP213" s="18" t="n">
        <x:v>1</x:v>
      </x:c>
    </x:row>
    <x:row r="214">
      <x:c r="A214" s="18" t="str">
        <x:v>2025_conv2024_ordinario_A-T31</x:v>
      </x:c>
      <x:c r="B214" s="18" t="n">
        <x:v>2025</x:v>
      </x:c>
      <x:c r="C214" s="18" t="n">
        <x:v>2024</x:v>
      </x:c>
      <x:c r="D214" s="28" t="n">
        <x:v>45913</x:v>
      </x:c>
      <x:c r="E214" s="18" t="str">
        <x:v>Acceso libre</x:v>
      </x:c>
      <x:c r="F214" s="18" t="str">
        <x:v>Primera parte</x:v>
      </x:c>
      <x:c r="G214" s="18" t="str">
        <x:v>A</x:v>
      </x:c>
      <x:c r="H214" s="18" t="str">
        <x:v>A/B</x:v>
      </x:c>
      <x:c r="I214" s="18" t="str">
        <x:v>Sí</x:v>
      </x:c>
      <x:c r="J214" s="18" t="str">
        <x:v>Modelo A usado como variante canónica; el modelo B oficial está archivado y permuta el orden y/o las opciones.</x:v>
      </x:c>
      <x:c r="K214" s="18" t="n">
        <x:v>31</x:v>
      </x:c>
      <x:c r="L214" s="18" t="str">
        <x:v>No</x:v>
      </x:c>
      <x:c r="M214" s="18" t="str">
        <x:v>Según el artículo 35 del Real Decreto 84/1996, de 26 de enero, ¿Cuál es el efecto de las altas solicitadas fuera de plazo?</x:v>
      </x:c>
      <x:c r="N214" s="18" t="str">
        <x:v>Tendrán efectos desde eI día en que se formule la solicitud salvo que se haya producido el ingreso de las cuotas dentro de plazo reglamentario, en cuyo caso eI alta retrotraerá sus efectos a la fecha en que se hayan ingresado las primeras cuotas correspondientes al trabajador de que se trate.</x:v>
      </x:c>
      <x:c r="O214" s="18" t="str">
        <x:v>Tendrán efectos desde el día en que se inicie la actividad, en todo caso.</x:v>
      </x:c>
      <x:c r="P214" s="18" t="str">
        <x:v>Tendrán efectos desde el día en que se formule la solicitud, en todo caso.</x:v>
      </x:c>
      <x:c r="Q214" s="18" t="str">
        <x:v>Tendrán efectos desde el día que determine la Inspección de Trabajo y Seguridad Social.</x:v>
      </x:c>
      <x:c r="R214" s="18" t="str">
        <x:v>S03</x:v>
      </x:c>
      <x:c r="S214" s="18" t="n">
        <x:v>3</x:v>
      </x:c>
      <x:c r="T214" s="18" t="str">
        <x:v>Temario específico Seguridad Social</x:v>
      </x:c>
      <x:c r="U214" s="18" t="str">
        <x:v>Normas sobre afiliación. Altas y bajas en el régimen general. Procedimiento y efectos. El convenio especial y otras situaciones asimiladas a la del alta. Encuadramiento e inscripción.</x:v>
      </x:c>
      <x:c r="V214" s="18" t="str">
        <x:v>S03</x:v>
      </x:c>
      <x:c r="W214" s="18" t="str">
        <x:v>Real Decreto 84/1996</x:v>
      </x:c>
      <x:c r="X214" s="18" t="str">
        <x:v>35</x:v>
      </x:c>
      <x:c r="Y214" s="18" t="str">
        <x:v>Plazos</x:v>
      </x:c>
      <x:c r="Z214" s="18" t="str">
        <x:v>Media</x:v>
      </x:c>
      <x:c r="AA214" s="18" t="str">
        <x:v>S03</x:v>
      </x:c>
      <x:c r="AB214" s="18" t="str"/>
      <x:c r="AC214" s="18" t="str"/>
      <x:c r="AD214" s="18" t="str">
        <x:v>No</x:v>
      </x:c>
      <x:c r="AE214" s="18" t="str">
        <x:v>Teórico</x:v>
      </x:c>
      <x:c r="AF214" s="18" t="str">
        <x:v>A</x:v>
      </x:c>
      <x:c r="AG214" s="18" t="str">
        <x:v>A</x:v>
      </x:c>
      <x:c r="AH214" s="18" t="str">
        <x:v>Válida</x:v>
      </x:c>
      <x:c r="AI214" s="18" t="str">
        <x:v>01. Información oficial de la oposición\Exámenes oficiales anteriores\2025 Convocatoria 2024 - Acceso libre Modelo A.pdf</x:v>
      </x:c>
      <x:c r="AJ214" s="18" t="str">
        <x:v>https://www.seg-social.es/wps/portal/wss/internet/InformacionUtil/9950/88beb45d-ca83-4bab-8162-f94ef2894562/7e46efac-32c8-4cf6-b3d3-d592c3560dff/rdpi_administrativos_2024</x:v>
      </x:c>
      <x:c r="AK214" s="18" t="str">
        <x:v>OCR Windows es-ES sobre PDF oficial</x:v>
      </x:c>
      <x:c r="AL214" s="18" t="n">
        <x:v>100</x:v>
      </x:c>
      <x:c r="AM214" s="18" t="str">
        <x:v>Alta</x:v>
      </x:c>
      <x:c r="AN214" s="18" t="str">
        <x:v>Regla jurídica determinista</x:v>
      </x:c>
      <x:c r="AO214" s="18" t="str">
        <x:v>2025_conv2024_ordinario_A-T31</x:v>
      </x:c>
      <x:c r="AP214" s="18" t="n">
        <x:v>1</x:v>
      </x:c>
    </x:row>
    <x:row r="215">
      <x:c r="A215" s="18" t="str">
        <x:v>2025_conv2024_ordinario_A-T32</x:v>
      </x:c>
      <x:c r="B215" s="18" t="n">
        <x:v>2025</x:v>
      </x:c>
      <x:c r="C215" s="18" t="n">
        <x:v>2024</x:v>
      </x:c>
      <x:c r="D215" s="28" t="n">
        <x:v>45913</x:v>
      </x:c>
      <x:c r="E215" s="18" t="str">
        <x:v>Acceso libre</x:v>
      </x:c>
      <x:c r="F215" s="18" t="str">
        <x:v>Primera parte</x:v>
      </x:c>
      <x:c r="G215" s="18" t="str">
        <x:v>A</x:v>
      </x:c>
      <x:c r="H215" s="18" t="str">
        <x:v>A/B</x:v>
      </x:c>
      <x:c r="I215" s="18" t="str">
        <x:v>Sí</x:v>
      </x:c>
      <x:c r="J215" s="18" t="str">
        <x:v>Modelo A usado como variante canónica; el modelo B oficial está archivado y permuta el orden y/o las opciones.</x:v>
      </x:c>
      <x:c r="K215" s="18" t="n">
        <x:v>32</x:v>
      </x:c>
      <x:c r="L215" s="18" t="str">
        <x:v>No</x:v>
      </x:c>
      <x:c r="M215" s="18" t="str">
        <x:v>Según eI artículo 63 del Real Decreto 84/1996, de 26 de enero, exceptuando eI Convenio Especial ¿cuál es eI plazo para dictar resolución en los procedimientos relativos a la inscripción, afiliación, altas, bajas y variaciones de datos?</x:v>
      </x:c>
      <x:c r="N215" s="18" t="str">
        <x:v>15 días.</x:v>
      </x:c>
      <x:c r="O215" s="18" t="str">
        <x:v>30 días.</x:v>
      </x:c>
      <x:c r="P215" s="18" t="str">
        <x:v>45 días.</x:v>
      </x:c>
      <x:c r="Q215" s="18" t="str">
        <x:v>3 meses.</x:v>
      </x:c>
      <x:c r="R215" s="18" t="str">
        <x:v>S03</x:v>
      </x:c>
      <x:c r="S215" s="18" t="n">
        <x:v>3</x:v>
      </x:c>
      <x:c r="T215" s="18" t="str">
        <x:v>Temario específico Seguridad Social</x:v>
      </x:c>
      <x:c r="U215" s="18" t="str">
        <x:v>Normas sobre afiliación. Altas y bajas en el régimen general. Procedimiento y efectos. El convenio especial y otras situaciones asimiladas a la del alta. Encuadramiento e inscripción.</x:v>
      </x:c>
      <x:c r="V215" s="18" t="str">
        <x:v>afiliación</x:v>
      </x:c>
      <x:c r="W215" s="18" t="str">
        <x:v>Real Decreto 84/1996</x:v>
      </x:c>
      <x:c r="X215" s="18" t="str">
        <x:v>63</x:v>
      </x:c>
      <x:c r="Y215" s="18" t="str">
        <x:v>Plazos</x:v>
      </x:c>
      <x:c r="Z215" s="18" t="str">
        <x:v>Media</x:v>
      </x:c>
      <x:c r="AA215" s="18" t="str">
        <x:v>afiliación</x:v>
      </x:c>
      <x:c r="AB215" s="18" t="str"/>
      <x:c r="AC215" s="18" t="str"/>
      <x:c r="AD215" s="18" t="str">
        <x:v>No</x:v>
      </x:c>
      <x:c r="AE215" s="18" t="str">
        <x:v>Teórico</x:v>
      </x:c>
      <x:c r="AF215" s="18" t="str">
        <x:v>C</x:v>
      </x:c>
      <x:c r="AG215" s="18" t="str">
        <x:v>C</x:v>
      </x:c>
      <x:c r="AH215" s="18" t="str">
        <x:v>Válida</x:v>
      </x:c>
      <x:c r="AI215" s="18" t="str">
        <x:v>01. Información oficial de la oposición\Exámenes oficiales anteriores\2025 Convocatoria 2024 - Acceso libre Modelo A.pdf</x:v>
      </x:c>
      <x:c r="AJ215" s="18" t="str">
        <x:v>https://www.seg-social.es/wps/portal/wss/internet/InformacionUtil/9950/88beb45d-ca83-4bab-8162-f94ef2894562/7e46efac-32c8-4cf6-b3d3-d592c3560dff/rdpi_administrativos_2024</x:v>
      </x:c>
      <x:c r="AK215" s="18" t="str">
        <x:v>OCR Windows es-ES sobre PDF oficial</x:v>
      </x:c>
      <x:c r="AL215" s="18" t="n">
        <x:v>100</x:v>
      </x:c>
      <x:c r="AM215" s="18" t="str">
        <x:v>Alta</x:v>
      </x:c>
      <x:c r="AN215" s="18" t="str">
        <x:v>Regla jurídica determinista</x:v>
      </x:c>
      <x:c r="AO215" s="18" t="str">
        <x:v>2025_conv2024_ordinario_A-T32</x:v>
      </x:c>
      <x:c r="AP215" s="18" t="n">
        <x:v>1</x:v>
      </x:c>
    </x:row>
    <x:row r="216">
      <x:c r="A216" s="18" t="str">
        <x:v>2025_conv2024_ordinario_A-T33</x:v>
      </x:c>
      <x:c r="B216" s="18" t="n">
        <x:v>2025</x:v>
      </x:c>
      <x:c r="C216" s="18" t="n">
        <x:v>2024</x:v>
      </x:c>
      <x:c r="D216" s="28" t="n">
        <x:v>45913</x:v>
      </x:c>
      <x:c r="E216" s="18" t="str">
        <x:v>Acceso libre</x:v>
      </x:c>
      <x:c r="F216" s="18" t="str">
        <x:v>Primera parte</x:v>
      </x:c>
      <x:c r="G216" s="18" t="str">
        <x:v>A</x:v>
      </x:c>
      <x:c r="H216" s="18" t="str">
        <x:v>A/B</x:v>
      </x:c>
      <x:c r="I216" s="18" t="str">
        <x:v>Sí</x:v>
      </x:c>
      <x:c r="J216" s="18" t="str">
        <x:v>Modelo A usado como variante canónica; el modelo B oficial está archivado y permuta el orden y/o las opciones.</x:v>
      </x:c>
      <x:c r="K216" s="18" t="n">
        <x:v>33</x:v>
      </x:c>
      <x:c r="L216" s="18" t="str">
        <x:v>No</x:v>
      </x:c>
      <x:c r="M216" s="18" t="str">
        <x:v>De acuerdo con el artículo 57 del Real Decreto 2064/1995, de 22 de diciembre, por eI que se aprueba eI Reglamento General sobre Cotización y Liquidación de otros Derechos de la Seguridad Social, en eI Régimen Especial de la Minería de Carbón, la cotización adicional por horas extraordinarias:</x:v>
      </x:c>
      <x:c r="N216" s="18" t="str">
        <x:v>Se calculará de acuerdo con eI señalado para el Régimen General.</x:v>
      </x:c>
      <x:c r="O216" s="18" t="str">
        <x:v>No es de aplicación en este Régimen Especial.</x:v>
      </x:c>
      <x:c r="P216" s="18" t="str">
        <x:v>Se calculará de acuerdo con 10 señalado para el Régimen General, aunque se aplicará una reducción del 0,5%.</x:v>
      </x:c>
      <x:c r="Q216" s="18" t="str">
        <x:v>Se calculará de acuerdo con 10 señalado para este Régimen Especial, aunque se aplicará una reducción del 0,5%.</x:v>
      </x:c>
      <x:c r="R216" s="18" t="str">
        <x:v>S04</x:v>
      </x:c>
      <x:c r="S216" s="18" t="n">
        <x:v>4</x:v>
      </x:c>
      <x:c r="T216" s="18" t="str">
        <x:v>Temario específico Seguridad Social</x:v>
      </x:c>
      <x:c r="U216" s="18" t="str">
        <x:v>La cotización a la Seguridad Social: normas comunes del sistema. La liquidación de cuotas. El régimen general de la Seguridad Social. Supuestos especiales. Bases y tipos de cotización. Liquidación de otras deudas.</x:v>
      </x:c>
      <x:c r="V216" s="18" t="str">
        <x:v>S04</x:v>
      </x:c>
      <x:c r="W216" s="18" t="str">
        <x:v>Real Decreto 2064/1995</x:v>
      </x:c>
      <x:c r="X216" s="18" t="str">
        <x:v>57</x:v>
      </x:c>
      <x:c r="Y216" s="18" t="str">
        <x:v>Cotización</x:v>
      </x:c>
      <x:c r="Z216" s="18" t="str">
        <x:v>Media</x:v>
      </x:c>
      <x:c r="AA216" s="18" t="str">
        <x:v>S04</x:v>
      </x:c>
      <x:c r="AB216" s="18" t="str"/>
      <x:c r="AC216" s="18" t="str"/>
      <x:c r="AD216" s="18" t="str">
        <x:v>No</x:v>
      </x:c>
      <x:c r="AE216" s="18" t="str">
        <x:v>Teórico</x:v>
      </x:c>
      <x:c r="AF216" s="18" t="str">
        <x:v>B</x:v>
      </x:c>
      <x:c r="AG216" s="18" t="str">
        <x:v>B</x:v>
      </x:c>
      <x:c r="AH216" s="18" t="str">
        <x:v>Válida</x:v>
      </x:c>
      <x:c r="AI216" s="18" t="str">
        <x:v>01. Información oficial de la oposición\Exámenes oficiales anteriores\2025 Convocatoria 2024 - Acceso libre Modelo A.pdf</x:v>
      </x:c>
      <x:c r="AJ216" s="18" t="str">
        <x:v>https://www.seg-social.es/wps/portal/wss/internet/InformacionUtil/9950/88beb45d-ca83-4bab-8162-f94ef2894562/7e46efac-32c8-4cf6-b3d3-d592c3560dff/rdpi_administrativos_2024</x:v>
      </x:c>
      <x:c r="AK216" s="18" t="str">
        <x:v>OCR Windows es-ES sobre PDF oficial</x:v>
      </x:c>
      <x:c r="AL216" s="18" t="n">
        <x:v>100</x:v>
      </x:c>
      <x:c r="AM216" s="18" t="str">
        <x:v>Alta</x:v>
      </x:c>
      <x:c r="AN216" s="18" t="str">
        <x:v>Regla jurídica determinista</x:v>
      </x:c>
      <x:c r="AO216" s="18" t="str">
        <x:v>2025_conv2024_ordinario_A-T33</x:v>
      </x:c>
      <x:c r="AP216" s="18" t="n">
        <x:v>1</x:v>
      </x:c>
    </x:row>
    <x:row r="217">
      <x:c r="A217" s="18" t="str">
        <x:v>2025_conv2024_ordinario_A-T34</x:v>
      </x:c>
      <x:c r="B217" s="18" t="n">
        <x:v>2025</x:v>
      </x:c>
      <x:c r="C217" s="18" t="n">
        <x:v>2024</x:v>
      </x:c>
      <x:c r="D217" s="28" t="n">
        <x:v>45913</x:v>
      </x:c>
      <x:c r="E217" s="18" t="str">
        <x:v>Acceso libre</x:v>
      </x:c>
      <x:c r="F217" s="18" t="str">
        <x:v>Primera parte</x:v>
      </x:c>
      <x:c r="G217" s="18" t="str">
        <x:v>A</x:v>
      </x:c>
      <x:c r="H217" s="18" t="str">
        <x:v>A/B</x:v>
      </x:c>
      <x:c r="I217" s="18" t="str">
        <x:v>Sí</x:v>
      </x:c>
      <x:c r="J217" s="18" t="str">
        <x:v>Modelo A usado como variante canónica; el modelo B oficial está archivado y permuta el orden y/o las opciones.</x:v>
      </x:c>
      <x:c r="K217" s="18" t="n">
        <x:v>34</x:v>
      </x:c>
      <x:c r="L217" s="18" t="str">
        <x:v>No</x:v>
      </x:c>
      <x:c r="M217" s="18" t="str">
        <x:v>Conforme establece eI artículo 60 del Real Decreto 2064/1995, de 22 de diciembre, por eI que se aprueba el Reglamento General sobre Cotización y Liquidación de otros Derechos de la Seguridad Social, el objeto de la obligación de cotizar al Seguro Escolar comprenderá las aportaciones:</x:v>
      </x:c>
      <x:c r="N217" s="18" t="str">
        <x:v>De los estudiantes asegurados y del Ministerio de Educación y Ciencia.</x:v>
      </x:c>
      <x:c r="O217" s="18" t="str">
        <x:v>De los centros docentes y, además, del Ministerio de Educación y Ciencia.</x:v>
      </x:c>
      <x:c r="P217" s="18" t="str">
        <x:v>De ios estudiantes asegurados y, además, de los centros docentes.</x:v>
      </x:c>
      <x:c r="Q217" s="18" t="str">
        <x:v>De los estudiantes asegurados.</x:v>
      </x:c>
      <x:c r="R217" s="18" t="str">
        <x:v>S04</x:v>
      </x:c>
      <x:c r="S217" s="18" t="n">
        <x:v>4</x:v>
      </x:c>
      <x:c r="T217" s="18" t="str">
        <x:v>Temario específico Seguridad Social</x:v>
      </x:c>
      <x:c r="U217" s="18" t="str">
        <x:v>La cotización a la Seguridad Social: normas comunes del sistema. La liquidación de cuotas. El régimen general de la Seguridad Social. Supuestos especiales. Bases y tipos de cotización. Liquidación de otras deudas.</x:v>
      </x:c>
      <x:c r="V217" s="18" t="str">
        <x:v>S04</x:v>
      </x:c>
      <x:c r="W217" s="18" t="str">
        <x:v>Real Decreto 2064/1995</x:v>
      </x:c>
      <x:c r="X217" s="18" t="str">
        <x:v>60</x:v>
      </x:c>
      <x:c r="Y217" s="18" t="str">
        <x:v>Cotización</x:v>
      </x:c>
      <x:c r="Z217" s="18" t="str">
        <x:v>Media</x:v>
      </x:c>
      <x:c r="AA217" s="18" t="str">
        <x:v>S04</x:v>
      </x:c>
      <x:c r="AB217" s="18" t="str"/>
      <x:c r="AC217" s="18" t="str"/>
      <x:c r="AD217" s="18" t="str">
        <x:v>No</x:v>
      </x:c>
      <x:c r="AE217" s="18" t="str">
        <x:v>Teórico</x:v>
      </x:c>
      <x:c r="AF217" s="18" t="str">
        <x:v>A</x:v>
      </x:c>
      <x:c r="AG217" s="18" t="str">
        <x:v>A</x:v>
      </x:c>
      <x:c r="AH217" s="18" t="str">
        <x:v>Válida</x:v>
      </x:c>
      <x:c r="AI217" s="18" t="str">
        <x:v>01. Información oficial de la oposición\Exámenes oficiales anteriores\2025 Convocatoria 2024 - Acceso libre Modelo A.pdf</x:v>
      </x:c>
      <x:c r="AJ217" s="18" t="str">
        <x:v>https://www.seg-social.es/wps/portal/wss/internet/InformacionUtil/9950/88beb45d-ca83-4bab-8162-f94ef2894562/7e46efac-32c8-4cf6-b3d3-d592c3560dff/rdpi_administrativos_2024</x:v>
      </x:c>
      <x:c r="AK217" s="18" t="str">
        <x:v>OCR Windows es-ES sobre PDF oficial</x:v>
      </x:c>
      <x:c r="AL217" s="18" t="n">
        <x:v>100</x:v>
      </x:c>
      <x:c r="AM217" s="18" t="str">
        <x:v>Alta</x:v>
      </x:c>
      <x:c r="AN217" s="18" t="str">
        <x:v>Regla jurídica determinista</x:v>
      </x:c>
      <x:c r="AO217" s="18" t="str">
        <x:v>2025_conv2024_ordinario_A-T34</x:v>
      </x:c>
      <x:c r="AP217" s="18" t="n">
        <x:v>1</x:v>
      </x:c>
    </x:row>
    <x:row r="218">
      <x:c r="A218" s="18" t="str">
        <x:v>2025_conv2024_ordinario_A-T35</x:v>
      </x:c>
      <x:c r="B218" s="18" t="n">
        <x:v>2025</x:v>
      </x:c>
      <x:c r="C218" s="18" t="n">
        <x:v>2024</x:v>
      </x:c>
      <x:c r="D218" s="28" t="n">
        <x:v>45913</x:v>
      </x:c>
      <x:c r="E218" s="18" t="str">
        <x:v>Acceso libre</x:v>
      </x:c>
      <x:c r="F218" s="18" t="str">
        <x:v>Primera parte</x:v>
      </x:c>
      <x:c r="G218" s="18" t="str">
        <x:v>A</x:v>
      </x:c>
      <x:c r="H218" s="18" t="str">
        <x:v>A/B</x:v>
      </x:c>
      <x:c r="I218" s="18" t="str">
        <x:v>Sí</x:v>
      </x:c>
      <x:c r="J218" s="18" t="str">
        <x:v>Modelo A usado como variante canónica; el modelo B oficial está archivado y permuta el orden y/o las opciones.</x:v>
      </x:c>
      <x:c r="K218" s="18" t="n">
        <x:v>35</x:v>
      </x:c>
      <x:c r="L218" s="18" t="str">
        <x:v>No</x:v>
      </x:c>
      <x:c r="M218" s="18" t="str">
        <x:v>EI artículo 34 del texto refundido de la Ley General de la Seguridad Social, indica que las actas de liquidación extendidas con los requisitos reglamentariamente establecidos se elevarán a definitivas mediante acto administrativo de:</x:v>
      </x:c>
      <x:c r="N218" s="18" t="str">
        <x:v>La Dirección Territorial de la Inspección de Trabajo y Seguridad Social o la respectiva Jefatura Provincial.</x:v>
      </x:c>
      <x:c r="O218" s="18" t="str">
        <x:v>La Dirección General de la Inspección de Trabajo y Seguridad social o la respectiva Jefatura Provincial.</x:v>
      </x:c>
      <x:c r="P218" s="18" t="str">
        <x:v>La Dirección General o de la respectiva Dirección Provincial de la Tesorería General de la Seguridad Social.</x:v>
      </x:c>
      <x:c r="Q218" s="18" t="str">
        <x:v>La Dirección General de la Inspección Trabajo y Seguridad Social o la Dirección General de la Tesorería General de la Seguridad Social.</x:v>
      </x:c>
      <x:c r="R218" s="18" t="str">
        <x:v>S04</x:v>
      </x:c>
      <x:c r="S218" s="18" t="n">
        <x:v>4</x:v>
      </x:c>
      <x:c r="T218" s="18" t="str">
        <x:v>Temario específico Seguridad Social</x:v>
      </x:c>
      <x:c r="U218" s="18" t="str">
        <x:v>La cotización a la Seguridad Social: normas comunes del sistema. La liquidación de cuotas. El régimen general de la Seguridad Social. Supuestos especiales. Bases y tipos de cotización. Liquidación de otras deudas.</x:v>
      </x:c>
      <x:c r="V218" s="18" t="str">
        <x:v>S04</x:v>
      </x:c>
      <x:c r="W218" s="18" t="str">
        <x:v>texto refundido de la Ley General de la Seguridad Social</x:v>
      </x:c>
      <x:c r="X218" s="18" t="str">
        <x:v>34</x:v>
      </x:c>
      <x:c r="Y218" s="18" t="str">
        <x:v>Requisitos</x:v>
      </x:c>
      <x:c r="Z218" s="18" t="str">
        <x:v>Media</x:v>
      </x:c>
      <x:c r="AA218" s="18" t="str">
        <x:v>S04</x:v>
      </x:c>
      <x:c r="AB218" s="18" t="str"/>
      <x:c r="AC218" s="18" t="str"/>
      <x:c r="AD218" s="18" t="str">
        <x:v>No</x:v>
      </x:c>
      <x:c r="AE218" s="18" t="str">
        <x:v>Teórico</x:v>
      </x:c>
      <x:c r="AF218" s="18" t="str">
        <x:v>C</x:v>
      </x:c>
      <x:c r="AG218" s="18" t="str">
        <x:v>C</x:v>
      </x:c>
      <x:c r="AH218" s="18" t="str">
        <x:v>Válida</x:v>
      </x:c>
      <x:c r="AI218" s="18" t="str">
        <x:v>01. Información oficial de la oposición\Exámenes oficiales anteriores\2025 Convocatoria 2024 - Acceso libre Modelo A.pdf</x:v>
      </x:c>
      <x:c r="AJ218" s="18" t="str">
        <x:v>https://www.seg-social.es/wps/portal/wss/internet/InformacionUtil/9950/88beb45d-ca83-4bab-8162-f94ef2894562/7e46efac-32c8-4cf6-b3d3-d592c3560dff/rdpi_administrativos_2024</x:v>
      </x:c>
      <x:c r="AK218" s="18" t="str">
        <x:v>OCR Windows es-ES sobre PDF oficial</x:v>
      </x:c>
      <x:c r="AL218" s="18" t="n">
        <x:v>100</x:v>
      </x:c>
      <x:c r="AM218" s="18" t="str">
        <x:v>Alta</x:v>
      </x:c>
      <x:c r="AN218" s="18" t="str">
        <x:v>Regla jurídica determinista</x:v>
      </x:c>
      <x:c r="AO218" s="18" t="str">
        <x:v>2025_conv2024_ordinario_A-T35</x:v>
      </x:c>
      <x:c r="AP218" s="18" t="n">
        <x:v>1</x:v>
      </x:c>
    </x:row>
    <x:row r="219">
      <x:c r="A219" s="18" t="str">
        <x:v>2025_conv2024_ordinario_A-T36</x:v>
      </x:c>
      <x:c r="B219" s="18" t="n">
        <x:v>2025</x:v>
      </x:c>
      <x:c r="C219" s="18" t="n">
        <x:v>2024</x:v>
      </x:c>
      <x:c r="D219" s="28" t="n">
        <x:v>45913</x:v>
      </x:c>
      <x:c r="E219" s="18" t="str">
        <x:v>Acceso libre</x:v>
      </x:c>
      <x:c r="F219" s="18" t="str">
        <x:v>Primera parte</x:v>
      </x:c>
      <x:c r="G219" s="18" t="str">
        <x:v>A</x:v>
      </x:c>
      <x:c r="H219" s="18" t="str">
        <x:v>A/B</x:v>
      </x:c>
      <x:c r="I219" s="18" t="str">
        <x:v>Sí</x:v>
      </x:c>
      <x:c r="J219" s="18" t="str">
        <x:v>Modelo A usado como variante canónica; el modelo B oficial está archivado y permuta el orden y/o las opciones.</x:v>
      </x:c>
      <x:c r="K219" s="18" t="n">
        <x:v>36</x:v>
      </x:c>
      <x:c r="L219" s="18" t="str">
        <x:v>No</x:v>
      </x:c>
      <x:c r="M219" s="18" t="str">
        <x:v>¿Cuántas veces establece el artículo 45 del Real Decreto 2064/1995, de 22 de diciembre, por el que se aprueba el Reglamento General sobre Cotización y Liquidación de otros Derechos de la Seguridad Social, que eI trabajador incluido en el Régimen Especial de los trabajadores por Cuenta Propia o Autónomos, puede cambiar la base por la que vengan obligados a cotizar?</x:v>
      </x:c>
      <x:c r="N219" s="18" t="str">
        <x:v>Hasta 2 veces al año.</x:v>
      </x:c>
      <x:c r="O219" s="18" t="str">
        <x:v>Hasta seis veces al año.</x:v>
      </x:c>
      <x:c r="P219" s="18" t="str">
        <x:v>Hasta cuatro veces al año.</x:v>
      </x:c>
      <x:c r="Q219" s="18" t="str">
        <x:v>Siete veces al año.</x:v>
      </x:c>
      <x:c r="R219" s="18" t="str">
        <x:v>S04</x:v>
      </x:c>
      <x:c r="S219" s="18" t="n">
        <x:v>4</x:v>
      </x:c>
      <x:c r="T219" s="18" t="str">
        <x:v>Temario específico Seguridad Social</x:v>
      </x:c>
      <x:c r="U219" s="18" t="str">
        <x:v>La cotización a la Seguridad Social: normas comunes del sistema. La liquidación de cuotas. El régimen general de la Seguridad Social. Supuestos especiales. Bases y tipos de cotización. Liquidación de otras deudas.</x:v>
      </x:c>
      <x:c r="V219" s="18" t="str">
        <x:v>S04</x:v>
      </x:c>
      <x:c r="W219" s="18" t="str">
        <x:v>Real Decreto 2064/1995</x:v>
      </x:c>
      <x:c r="X219" s="18" t="str">
        <x:v>45</x:v>
      </x:c>
      <x:c r="Y219" s="18" t="str">
        <x:v>Cotización</x:v>
      </x:c>
      <x:c r="Z219" s="18" t="str">
        <x:v>Alta</x:v>
      </x:c>
      <x:c r="AA219" s="18" t="str">
        <x:v>S04</x:v>
      </x:c>
      <x:c r="AB219" s="18" t="str"/>
      <x:c r="AC219" s="18" t="str"/>
      <x:c r="AD219" s="18" t="str">
        <x:v>No</x:v>
      </x:c>
      <x:c r="AE219" s="18" t="str">
        <x:v>Teórico</x:v>
      </x:c>
      <x:c r="AF219" s="18" t="str">
        <x:v>B</x:v>
      </x:c>
      <x:c r="AG219" s="18" t="str">
        <x:v>B</x:v>
      </x:c>
      <x:c r="AH219" s="18" t="str">
        <x:v>Válida</x:v>
      </x:c>
      <x:c r="AI219" s="18" t="str">
        <x:v>01. Información oficial de la oposición\Exámenes oficiales anteriores\2025 Convocatoria 2024 - Acceso libre Modelo A.pdf</x:v>
      </x:c>
      <x:c r="AJ219" s="18" t="str">
        <x:v>https://www.seg-social.es/wps/portal/wss/internet/InformacionUtil/9950/88beb45d-ca83-4bab-8162-f94ef2894562/7e46efac-32c8-4cf6-b3d3-d592c3560dff/rdpi_administrativos_2024</x:v>
      </x:c>
      <x:c r="AK219" s="18" t="str">
        <x:v>OCR Windows es-ES sobre PDF oficial</x:v>
      </x:c>
      <x:c r="AL219" s="18" t="n">
        <x:v>100</x:v>
      </x:c>
      <x:c r="AM219" s="18" t="str">
        <x:v>Alta</x:v>
      </x:c>
      <x:c r="AN219" s="18" t="str">
        <x:v>Regla jurídica determinista</x:v>
      </x:c>
      <x:c r="AO219" s="18" t="str">
        <x:v>2025_conv2024_ordinario_A-T36</x:v>
      </x:c>
      <x:c r="AP219" s="18" t="n">
        <x:v>1</x:v>
      </x:c>
    </x:row>
    <x:row r="220">
      <x:c r="A220" s="18" t="str">
        <x:v>2025_conv2024_ordinario_A-T37</x:v>
      </x:c>
      <x:c r="B220" s="18" t="n">
        <x:v>2025</x:v>
      </x:c>
      <x:c r="C220" s="18" t="n">
        <x:v>2024</x:v>
      </x:c>
      <x:c r="D220" s="28" t="n">
        <x:v>45913</x:v>
      </x:c>
      <x:c r="E220" s="18" t="str">
        <x:v>Acceso libre</x:v>
      </x:c>
      <x:c r="F220" s="18" t="str">
        <x:v>Primera parte</x:v>
      </x:c>
      <x:c r="G220" s="18" t="str">
        <x:v>A</x:v>
      </x:c>
      <x:c r="H220" s="18" t="str">
        <x:v>A/B</x:v>
      </x:c>
      <x:c r="I220" s="18" t="str">
        <x:v>Sí</x:v>
      </x:c>
      <x:c r="J220" s="18" t="str">
        <x:v>Modelo A usado como variante canónica; el modelo B oficial está archivado y permuta el orden y/o las opciones.</x:v>
      </x:c>
      <x:c r="K220" s="18" t="n">
        <x:v>37</x:v>
      </x:c>
      <x:c r="L220" s="18" t="str">
        <x:v>No</x:v>
      </x:c>
      <x:c r="M220" s="18" t="str">
        <x:v>Conforme establece el artículo 2 del Reglamento General de Recaudación de la Seguridad Social, aprobado por el Real Decreto 1415/2004, de II de junio, la Tesorería General de la Seguridad Social lleva a cabo la gestión recaudatoria a través de:</x:v>
      </x:c>
      <x:c r="N220" s="18" t="str">
        <x:v>Las administraciones de la Seguridad Social y unidades de recaudación ejecutiva, salvo atribución expresa a otros órganos o unidades.</x:v>
      </x:c>
      <x:c r="O220" s="18" t="str">
        <x:v>Las direcciones provinciales, salvo atribución expresa a otros órganos o unidades.</x:v>
      </x:c>
      <x:c r="P220" s="18" t="str">
        <x:v>Las administraciones de la Seguridad Social, salvo atribución expresa a otros órganos o unidades.</x:v>
      </x:c>
      <x:c r="Q220" s="18" t="str">
        <x:v>Las unidades de recaudación ejecutiva, salvo atribución expresa a otros órganos o unidades.</x:v>
      </x:c>
      <x:c r="R220" s="18" t="str">
        <x:v>S05</x:v>
      </x:c>
      <x:c r="S220" s="18" t="n">
        <x:v>5</x:v>
      </x:c>
      <x:c r="T220" s="18" t="str">
        <x:v>Temario específico Seguridad Social</x:v>
      </x:c>
      <x:c r="U220" s="18" t="str">
        <x:v>La gestión recaudatoria: concepto, competencia y objeto. Responsables del pago. Requisitos para el pago. Medios de pago. Control de recaudación. Revisión de los actos de gestión recaudatoria. La recaudación en periodo voluntario. Efectos de la falta de cotización en período reglamentario. Recaudación de otros recursos. Aplazamientos. Devolución de ingresos indebidos. Capital coste de pensiones.</x:v>
      </x:c>
      <x:c r="V220" s="18" t="str">
        <x:v>S05</x:v>
      </x:c>
      <x:c r="W220" s="18" t="str">
        <x:v>Real Decreto 1415/2004</x:v>
      </x:c>
      <x:c r="X220" s="18" t="str">
        <x:v>2</x:v>
      </x:c>
      <x:c r="Y220" s="18" t="str">
        <x:v>Recaudación</x:v>
      </x:c>
      <x:c r="Z220" s="18" t="str">
        <x:v>Media</x:v>
      </x:c>
      <x:c r="AA220" s="18" t="str">
        <x:v>S05</x:v>
      </x:c>
      <x:c r="AB220" s="18" t="str">
        <x:v>Tesorería General de la Seguridad Social</x:v>
      </x:c>
      <x:c r="AC220" s="18" t="str"/>
      <x:c r="AD220" s="18" t="str">
        <x:v>No</x:v>
      </x:c>
      <x:c r="AE220" s="18" t="str">
        <x:v>Teórico</x:v>
      </x:c>
      <x:c r="AF220" s="18" t="str">
        <x:v>B</x:v>
      </x:c>
      <x:c r="AG220" s="18" t="str">
        <x:v>B</x:v>
      </x:c>
      <x:c r="AH220" s="18" t="str">
        <x:v>Válida</x:v>
      </x:c>
      <x:c r="AI220" s="18" t="str">
        <x:v>01. Información oficial de la oposición\Exámenes oficiales anteriores\2025 Convocatoria 2024 - Acceso libre Modelo A.pdf</x:v>
      </x:c>
      <x:c r="AJ220" s="18" t="str">
        <x:v>https://www.seg-social.es/wps/portal/wss/internet/InformacionUtil/9950/88beb45d-ca83-4bab-8162-f94ef2894562/7e46efac-32c8-4cf6-b3d3-d592c3560dff/rdpi_administrativos_2024</x:v>
      </x:c>
      <x:c r="AK220" s="18" t="str">
        <x:v>OCR Windows es-ES sobre PDF oficial</x:v>
      </x:c>
      <x:c r="AL220" s="18" t="n">
        <x:v>100</x:v>
      </x:c>
      <x:c r="AM220" s="18" t="str">
        <x:v>Alta</x:v>
      </x:c>
      <x:c r="AN220" s="18" t="str">
        <x:v>Regla jurídica determinista</x:v>
      </x:c>
      <x:c r="AO220" s="18" t="str">
        <x:v>2025_conv2024_ordinario_A-T37</x:v>
      </x:c>
      <x:c r="AP220" s="18" t="n">
        <x:v>1</x:v>
      </x:c>
    </x:row>
    <x:row r="221">
      <x:c r="A221" s="18" t="str">
        <x:v>2025_conv2024_ordinario_A-T38</x:v>
      </x:c>
      <x:c r="B221" s="18" t="n">
        <x:v>2025</x:v>
      </x:c>
      <x:c r="C221" s="18" t="n">
        <x:v>2024</x:v>
      </x:c>
      <x:c r="D221" s="28" t="n">
        <x:v>45913</x:v>
      </x:c>
      <x:c r="E221" s="18" t="str">
        <x:v>Acceso libre</x:v>
      </x:c>
      <x:c r="F221" s="18" t="str">
        <x:v>Primera parte</x:v>
      </x:c>
      <x:c r="G221" s="18" t="str">
        <x:v>A</x:v>
      </x:c>
      <x:c r="H221" s="18" t="str">
        <x:v>A/B</x:v>
      </x:c>
      <x:c r="I221" s="18" t="str">
        <x:v>Sí</x:v>
      </x:c>
      <x:c r="J221" s="18" t="str">
        <x:v>Modelo A usado como variante canónica; el modelo B oficial está archivado y permuta el orden y/o las opciones.</x:v>
      </x:c>
      <x:c r="K221" s="18" t="n">
        <x:v>38</x:v>
      </x:c>
      <x:c r="L221" s="18" t="str">
        <x:v>No</x:v>
      </x:c>
      <x:c r="M221" s="18" t="str">
        <x:v>Según establece eI artículo 44 del Reglamento General de Recaudación de la Seguridad Social, aprobado por eI Real Decreto 1415/2004, de II de junio, reconocida la procedencia de la devolución de un ingreso indebido de cuotas, el derecho a exigir su pago:</x:v>
      </x:c>
      <x:c r="N221" s="18" t="str">
        <x:v>Caducará a los cuatro años a contar desde la fecha de resolución del acto de reconocimiento.</x:v>
      </x:c>
      <x:c r="O221" s="18" t="str">
        <x:v>Prescribirá a los cuatro años a contar desde la fecha de notificación del acto de reconocimiento.</x:v>
      </x:c>
      <x:c r="P221" s="18" t="str">
        <x:v>Caducará a los cuatro años a contar desde la fecha de notificación del acto de reconocimiento.</x:v>
      </x:c>
      <x:c r="Q221" s="18" t="str">
        <x:v>Prescribirá a los cuatro años a contar desde la fecha de resolución del acto de reconocimiento.</x:v>
      </x:c>
      <x:c r="R221" s="18" t="str">
        <x:v>S05</x:v>
      </x:c>
      <x:c r="S221" s="18" t="n">
        <x:v>5</x:v>
      </x:c>
      <x:c r="T221" s="18" t="str">
        <x:v>Temario específico Seguridad Social</x:v>
      </x:c>
      <x:c r="U221" s="18" t="str">
        <x:v>La gestión recaudatoria: concepto, competencia y objeto. Responsables del pago. Requisitos para el pago. Medios de pago. Control de recaudación. Revisión de los actos de gestión recaudatoria. La recaudación en periodo voluntario. Efectos de la falta de cotización en período reglamentario. Recaudación de otros recursos. Aplazamientos. Devolución de ingresos indebidos. Capital coste de pensiones.</x:v>
      </x:c>
      <x:c r="V221" s="18" t="str">
        <x:v>S05</x:v>
      </x:c>
      <x:c r="W221" s="18" t="str">
        <x:v>Real Decreto 1415/2004</x:v>
      </x:c>
      <x:c r="X221" s="18" t="str">
        <x:v>44</x:v>
      </x:c>
      <x:c r="Y221" s="18" t="str">
        <x:v>Recaudación</x:v>
      </x:c>
      <x:c r="Z221" s="18" t="str">
        <x:v>Media</x:v>
      </x:c>
      <x:c r="AA221" s="18" t="str">
        <x:v>S05</x:v>
      </x:c>
      <x:c r="AB221" s="18" t="str"/>
      <x:c r="AC221" s="18" t="str"/>
      <x:c r="AD221" s="18" t="str">
        <x:v>No</x:v>
      </x:c>
      <x:c r="AE221" s="18" t="str">
        <x:v>Teórico</x:v>
      </x:c>
      <x:c r="AF221" s="18" t="str">
        <x:v>C</x:v>
      </x:c>
      <x:c r="AG221" s="18" t="str">
        <x:v>C</x:v>
      </x:c>
      <x:c r="AH221" s="18" t="str">
        <x:v>Válida</x:v>
      </x:c>
      <x:c r="AI221" s="18" t="str">
        <x:v>01. Información oficial de la oposición\Exámenes oficiales anteriores\2025 Convocatoria 2024 - Acceso libre Modelo A.pdf</x:v>
      </x:c>
      <x:c r="AJ221" s="18" t="str">
        <x:v>https://www.seg-social.es/wps/portal/wss/internet/InformacionUtil/9950/88beb45d-ca83-4bab-8162-f94ef2894562/7e46efac-32c8-4cf6-b3d3-d592c3560dff/rdpi_administrativos_2024</x:v>
      </x:c>
      <x:c r="AK221" s="18" t="str">
        <x:v>OCR Windows es-ES sobre PDF oficial</x:v>
      </x:c>
      <x:c r="AL221" s="18" t="n">
        <x:v>100</x:v>
      </x:c>
      <x:c r="AM221" s="18" t="str">
        <x:v>Alta</x:v>
      </x:c>
      <x:c r="AN221" s="18" t="str">
        <x:v>Regla jurídica determinista</x:v>
      </x:c>
      <x:c r="AO221" s="18" t="str">
        <x:v>2025_conv2024_ordinario_A-T38</x:v>
      </x:c>
      <x:c r="AP221" s="18" t="n">
        <x:v>1</x:v>
      </x:c>
    </x:row>
    <x:row r="222">
      <x:c r="A222" s="18" t="str">
        <x:v>2025_conv2024_ordinario_A-T39</x:v>
      </x:c>
      <x:c r="B222" s="18" t="n">
        <x:v>2025</x:v>
      </x:c>
      <x:c r="C222" s="18" t="n">
        <x:v>2024</x:v>
      </x:c>
      <x:c r="D222" s="28" t="n">
        <x:v>45913</x:v>
      </x:c>
      <x:c r="E222" s="18" t="str">
        <x:v>Acceso libre</x:v>
      </x:c>
      <x:c r="F222" s="18" t="str">
        <x:v>Primera parte</x:v>
      </x:c>
      <x:c r="G222" s="18" t="str">
        <x:v>A</x:v>
      </x:c>
      <x:c r="H222" s="18" t="str">
        <x:v>A/B</x:v>
      </x:c>
      <x:c r="I222" s="18" t="str">
        <x:v>Sí</x:v>
      </x:c>
      <x:c r="J222" s="18" t="str">
        <x:v>Modelo A usado como variante canónica; el modelo B oficial está archivado y permuta el orden y/o las opciones.</x:v>
      </x:c>
      <x:c r="K222" s="18" t="n">
        <x:v>39</x:v>
      </x:c>
      <x:c r="L222" s="18" t="str">
        <x:v>No</x:v>
      </x:c>
      <x:c r="M222" s="18" t="str">
        <x:v>EI artículo 32 del Reglamento General de Recaudación de la Seguridad Social, aprobado por el Real Decreto 1415/2004, de II de junio, establece que las cantidades adeudadas en concepto de recargo sobre prestaciones económicas debidas a accidente de trabajo o enfermedad profesional originado por falta de medidas de seguridad e higiene en el trabajo, podrán ser objeto de aplazamiento siempre que se garantice:</x:v>
      </x:c>
      <x:c r="N222" s="18" t="str">
        <x:v>Íntegramente con cualquier tipo de garantía.</x:v>
      </x:c>
      <x:c r="O222" s="18" t="str">
        <x:v>EI cincuenta por ciento del importe con aval o hipoteca inmobiliaria.</x:v>
      </x:c>
      <x:c r="P222" s="18" t="str">
        <x:v>íntegramente con aval o hipoteca inmobiliaria.</x:v>
      </x:c>
      <x:c r="Q222" s="18" t="str">
        <x:v>íntegramente con aval.</x:v>
      </x:c>
      <x:c r="R222" s="18" t="str">
        <x:v>S05</x:v>
      </x:c>
      <x:c r="S222" s="18" t="n">
        <x:v>5</x:v>
      </x:c>
      <x:c r="T222" s="18" t="str">
        <x:v>Temario específico Seguridad Social</x:v>
      </x:c>
      <x:c r="U222" s="18" t="str">
        <x:v>La gestión recaudatoria: concepto, competencia y objeto. Responsables del pago. Requisitos para el pago. Medios de pago. Control de recaudación. Revisión de los actos de gestión recaudatoria. La recaudación en periodo voluntario. Efectos de la falta de cotización en período reglamentario. Recaudación de otros recursos. Aplazamientos. Devolución de ingresos indebidos. Capital coste de pensiones.</x:v>
      </x:c>
      <x:c r="V222" s="18" t="str">
        <x:v>aplazamiento</x:v>
      </x:c>
      <x:c r="W222" s="18" t="str">
        <x:v>Real Decreto 1415/2004</x:v>
      </x:c>
      <x:c r="X222" s="18" t="str">
        <x:v>32</x:v>
      </x:c>
      <x:c r="Y222" s="18" t="str">
        <x:v>Definiciones</x:v>
      </x:c>
      <x:c r="Z222" s="18" t="str">
        <x:v>Alta</x:v>
      </x:c>
      <x:c r="AA222" s="18" t="str">
        <x:v>aplazamiento</x:v>
      </x:c>
      <x:c r="AB222" s="18" t="str"/>
      <x:c r="AC222" s="18" t="str"/>
      <x:c r="AD222" s="18" t="str">
        <x:v>No</x:v>
      </x:c>
      <x:c r="AE222" s="18" t="str">
        <x:v>Teórico</x:v>
      </x:c>
      <x:c r="AF222" s="18" t="str">
        <x:v>D</x:v>
      </x:c>
      <x:c r="AG222" s="18" t="str">
        <x:v>D</x:v>
      </x:c>
      <x:c r="AH222" s="18" t="str">
        <x:v>Válida</x:v>
      </x:c>
      <x:c r="AI222" s="18" t="str">
        <x:v>01. Información oficial de la oposición\Exámenes oficiales anteriores\2025 Convocatoria 2024 - Acceso libre Modelo A.pdf</x:v>
      </x:c>
      <x:c r="AJ222" s="18" t="str">
        <x:v>https://www.seg-social.es/wps/portal/wss/internet/InformacionUtil/9950/88beb45d-ca83-4bab-8162-f94ef2894562/7e46efac-32c8-4cf6-b3d3-d592c3560dff/rdpi_administrativos_2024</x:v>
      </x:c>
      <x:c r="AK222" s="18" t="str">
        <x:v>OCR Windows es-ES sobre PDF oficial</x:v>
      </x:c>
      <x:c r="AL222" s="18" t="n">
        <x:v>100</x:v>
      </x:c>
      <x:c r="AM222" s="18" t="str">
        <x:v>Alta</x:v>
      </x:c>
      <x:c r="AN222" s="18" t="str">
        <x:v>Regla jurídica determinista</x:v>
      </x:c>
      <x:c r="AO222" s="18" t="str">
        <x:v>2025_conv2024_ordinario_A-T39</x:v>
      </x:c>
      <x:c r="AP222" s="18" t="n">
        <x:v>1</x:v>
      </x:c>
    </x:row>
    <x:row r="223">
      <x:c r="A223" s="18" t="str">
        <x:v>2025_conv2024_ordinario_A-T40</x:v>
      </x:c>
      <x:c r="B223" s="18" t="n">
        <x:v>2025</x:v>
      </x:c>
      <x:c r="C223" s="18" t="n">
        <x:v>2024</x:v>
      </x:c>
      <x:c r="D223" s="28" t="n">
        <x:v>45913</x:v>
      </x:c>
      <x:c r="E223" s="18" t="str">
        <x:v>Acceso libre</x:v>
      </x:c>
      <x:c r="F223" s="18" t="str">
        <x:v>Primera parte</x:v>
      </x:c>
      <x:c r="G223" s="18" t="str">
        <x:v>A</x:v>
      </x:c>
      <x:c r="H223" s="18" t="str">
        <x:v>A/B</x:v>
      </x:c>
      <x:c r="I223" s="18" t="str">
        <x:v>Sí</x:v>
      </x:c>
      <x:c r="J223" s="18" t="str">
        <x:v>Modelo A usado como variante canónica; el modelo B oficial está archivado y permuta el orden y/o las opciones.</x:v>
      </x:c>
      <x:c r="K223" s="18" t="n">
        <x:v>40</x:v>
      </x:c>
      <x:c r="L223" s="18" t="str">
        <x:v>No</x:v>
      </x:c>
      <x:c r="M223" s="18" t="str">
        <x:v>Según establece el artículo 65 del Reglamento General de Recaudación de la Seguridad Social, aprobado por eI Real Decreto 141512004, de II de junio, la Inspección de Trabajo y Seguridad Social, en determinados supuestos, puede formular requerimientos a tos responsables del pago de cuotas adeudas por cualquier causa, previo reconocimiento de la deuda ante el funcionario actuante, y el ingreso se deberá de realizar en el plazo determinado por esta que:</x:v>
      </x:c>
      <x:c r="N223" s="18" t="str">
        <x:v>No podrá ser inferior a un mes ni superior a cuatro meses.</x:v>
      </x:c>
      <x:c r="O223" s="18" t="str">
        <x:v>No podrá ser inferior a un mes ni superior a seis meses.</x:v>
      </x:c>
      <x:c r="P223" s="18" t="str">
        <x:v>No podrá ser inferior a quince días ni superior a tres meses.</x:v>
      </x:c>
      <x:c r="Q223" s="18" t="str">
        <x:v>No podrá ser inferior a un mes ni superior a tres meses.</x:v>
      </x:c>
      <x:c r="R223" s="18" t="str">
        <x:v>S05</x:v>
      </x:c>
      <x:c r="S223" s="18" t="n">
        <x:v>5</x:v>
      </x:c>
      <x:c r="T223" s="18" t="str">
        <x:v>Temario específico Seguridad Social</x:v>
      </x:c>
      <x:c r="U223" s="18" t="str">
        <x:v>La gestión recaudatoria: concepto, competencia y objeto. Responsables del pago. Requisitos para el pago. Medios de pago. Control de recaudación. Revisión de los actos de gestión recaudatoria. La recaudación en periodo voluntario. Efectos de la falta de cotización en período reglamentario. Recaudación de otros recursos. Aplazamientos. Devolución de ingresos indebidos. Capital coste de pensiones.</x:v>
      </x:c>
      <x:c r="V223" s="18" t="str">
        <x:v>S05</x:v>
      </x:c>
      <x:c r="W223" s="18" t="str"/>
      <x:c r="X223" s="18" t="str">
        <x:v>65</x:v>
      </x:c>
      <x:c r="Y223" s="18" t="str">
        <x:v>Plazos</x:v>
      </x:c>
      <x:c r="Z223" s="18" t="str">
        <x:v>Alta</x:v>
      </x:c>
      <x:c r="AA223" s="18" t="str">
        <x:v>S05</x:v>
      </x:c>
      <x:c r="AB223" s="18" t="str">
        <x:v>Inspección de Trabajo y Seguridad Social</x:v>
      </x:c>
      <x:c r="AC223" s="18" t="str"/>
      <x:c r="AD223" s="18" t="str">
        <x:v>No</x:v>
      </x:c>
      <x:c r="AE223" s="18" t="str">
        <x:v>Teórico</x:v>
      </x:c>
      <x:c r="AF223" s="18" t="str">
        <x:v>A</x:v>
      </x:c>
      <x:c r="AG223" s="18" t="str">
        <x:v>A</x:v>
      </x:c>
      <x:c r="AH223" s="18" t="str">
        <x:v>Válida</x:v>
      </x:c>
      <x:c r="AI223" s="18" t="str">
        <x:v>01. Información oficial de la oposición\Exámenes oficiales anteriores\2025 Convocatoria 2024 - Acceso libre Modelo A.pdf</x:v>
      </x:c>
      <x:c r="AJ223" s="18" t="str">
        <x:v>https://www.seg-social.es/wps/portal/wss/internet/InformacionUtil/9950/88beb45d-ca83-4bab-8162-f94ef2894562/7e46efac-32c8-4cf6-b3d3-d592c3560dff/rdpi_administrativos_2024</x:v>
      </x:c>
      <x:c r="AK223" s="18" t="str">
        <x:v>OCR Windows es-ES sobre PDF oficial</x:v>
      </x:c>
      <x:c r="AL223" s="18" t="n">
        <x:v>100</x:v>
      </x:c>
      <x:c r="AM223" s="18" t="str">
        <x:v>Alta</x:v>
      </x:c>
      <x:c r="AN223" s="18" t="str">
        <x:v>Regla jurídica determinista</x:v>
      </x:c>
      <x:c r="AO223" s="18" t="str">
        <x:v>2025_conv2024_ordinario_A-T40</x:v>
      </x:c>
      <x:c r="AP223" s="18" t="n">
        <x:v>1</x:v>
      </x:c>
    </x:row>
    <x:row r="224">
      <x:c r="A224" s="18" t="str">
        <x:v>2025_conv2024_ordinario_A-T41</x:v>
      </x:c>
      <x:c r="B224" s="18" t="n">
        <x:v>2025</x:v>
      </x:c>
      <x:c r="C224" s="18" t="n">
        <x:v>2024</x:v>
      </x:c>
      <x:c r="D224" s="28" t="n">
        <x:v>45913</x:v>
      </x:c>
      <x:c r="E224" s="18" t="str">
        <x:v>Acceso libre</x:v>
      </x:c>
      <x:c r="F224" s="18" t="str">
        <x:v>Primera parte</x:v>
      </x:c>
      <x:c r="G224" s="18" t="str">
        <x:v>A</x:v>
      </x:c>
      <x:c r="H224" s="18" t="str">
        <x:v>A/B</x:v>
      </x:c>
      <x:c r="I224" s="18" t="str">
        <x:v>Sí</x:v>
      </x:c>
      <x:c r="J224" s="18" t="str">
        <x:v>Modelo A usado como variante canónica; el modelo B oficial está archivado y permuta el orden y/o las opciones.</x:v>
      </x:c>
      <x:c r="K224" s="18" t="n">
        <x:v>41</x:v>
      </x:c>
      <x:c r="L224" s="18" t="str">
        <x:v>No</x:v>
      </x:c>
      <x:c r="M224" s="18" t="str">
        <x:v>Según establece el artículo 120 del Reglamento General de Recaudación de la Seguridad Social, aprobado por el Real Decreto 1415/2004, de 11 de junio, en el acto de celebración de subasta podrán presentarse posturas verbales iguales o superiores al:</x:v>
      </x:c>
      <x:c r="N224" s="18" t="str">
        <x:v>75% del tipo de enajenación.</x:v>
      </x:c>
      <x:c r="O224" s="18" t="str">
        <x:v>50% del tipo de enajenación.</x:v>
      </x:c>
      <x:c r="P224" s="18" t="str">
        <x:v>30% del tipo de enajenación.</x:v>
      </x:c>
      <x:c r="Q224" s="18" t="str">
        <x:v>25% del tipo de enajenación.</x:v>
      </x:c>
      <x:c r="R224" s="18" t="str">
        <x:v>S06</x:v>
      </x:c>
      <x:c r="S224" s="18" t="n">
        <x:v>6</x:v>
      </x:c>
      <x:c r="T224" s="18" t="str">
        <x:v>Temario específico Seguridad Social</x:v>
      </x:c>
      <x:c r="U224" s="18" t="str">
        <x:v>La recaudación en vía ejecutiva. Normas generales. Iniciación y título ejecutivo. La providencia de apremio. Oposición y efectos. El embargo de bienes. Enajenación de bienes: modalidades. Créditos incobrables. Tercerías.</x:v>
      </x:c>
      <x:c r="V224" s="18" t="str">
        <x:v>S06</x:v>
      </x:c>
      <x:c r="W224" s="18" t="str">
        <x:v>Real Decreto 1415/2004</x:v>
      </x:c>
      <x:c r="X224" s="18" t="str">
        <x:v>120</x:v>
      </x:c>
      <x:c r="Y224" s="18" t="str">
        <x:v>Recaudación ejecutiva</x:v>
      </x:c>
      <x:c r="Z224" s="18" t="str">
        <x:v>Media</x:v>
      </x:c>
      <x:c r="AA224" s="18" t="str">
        <x:v>S06</x:v>
      </x:c>
      <x:c r="AB224" s="18" t="str"/>
      <x:c r="AC224" s="18" t="str"/>
      <x:c r="AD224" s="18" t="str">
        <x:v>No</x:v>
      </x:c>
      <x:c r="AE224" s="18" t="str">
        <x:v>Teórico</x:v>
      </x:c>
      <x:c r="AF224" s="18" t="str">
        <x:v>A</x:v>
      </x:c>
      <x:c r="AG224" s="18" t="str">
        <x:v>A</x:v>
      </x:c>
      <x:c r="AH224" s="18" t="str">
        <x:v>Válida</x:v>
      </x:c>
      <x:c r="AI224" s="18" t="str">
        <x:v>01. Información oficial de la oposición\Exámenes oficiales anteriores\2025 Convocatoria 2024 - Acceso libre Modelo A.pdf</x:v>
      </x:c>
      <x:c r="AJ224" s="18" t="str">
        <x:v>https://www.seg-social.es/wps/portal/wss/internet/InformacionUtil/9950/88beb45d-ca83-4bab-8162-f94ef2894562/7e46efac-32c8-4cf6-b3d3-d592c3560dff/rdpi_administrativos_2024</x:v>
      </x:c>
      <x:c r="AK224" s="18" t="str">
        <x:v>OCR Windows es-ES sobre PDF oficial</x:v>
      </x:c>
      <x:c r="AL224" s="18" t="n">
        <x:v>100</x:v>
      </x:c>
      <x:c r="AM224" s="18" t="str">
        <x:v>Alta</x:v>
      </x:c>
      <x:c r="AN224" s="18" t="str">
        <x:v>Regla jurídica determinista</x:v>
      </x:c>
      <x:c r="AO224" s="18" t="str">
        <x:v>2025_conv2024_ordinario_A-T41</x:v>
      </x:c>
      <x:c r="AP224" s="18" t="n">
        <x:v>1</x:v>
      </x:c>
    </x:row>
    <x:row r="225">
      <x:c r="A225" s="18" t="str">
        <x:v>2025_conv2024_ordinario_A-T42</x:v>
      </x:c>
      <x:c r="B225" s="18" t="n">
        <x:v>2025</x:v>
      </x:c>
      <x:c r="C225" s="18" t="n">
        <x:v>2024</x:v>
      </x:c>
      <x:c r="D225" s="28" t="n">
        <x:v>45913</x:v>
      </x:c>
      <x:c r="E225" s="18" t="str">
        <x:v>Acceso libre</x:v>
      </x:c>
      <x:c r="F225" s="18" t="str">
        <x:v>Primera parte</x:v>
      </x:c>
      <x:c r="G225" s="18" t="str">
        <x:v>A</x:v>
      </x:c>
      <x:c r="H225" s="18" t="str">
        <x:v>A/B</x:v>
      </x:c>
      <x:c r="I225" s="18" t="str">
        <x:v>Sí</x:v>
      </x:c>
      <x:c r="J225" s="18" t="str">
        <x:v>Modelo A usado como variante canónica; el modelo B oficial está archivado y permuta el orden y/o las opciones.</x:v>
      </x:c>
      <x:c r="K225" s="18" t="n">
        <x:v>42</x:v>
      </x:c>
      <x:c r="L225" s="18" t="str">
        <x:v>No</x:v>
      </x:c>
      <x:c r="M225" s="18" t="str">
        <x:v>EI artículo 120 del Reglamento General de Recaudación de la Seguridad Social, aprobado por eI Real Decreto 1415/2004, de 11 de junio, establece que en ei supuesto de bienes subastados objeto de una segunda subasta:</x:v>
      </x:c>
      <x:c r="N225" s="18" t="str">
        <x:v>Podrá aprobarse el remate en favor de una mejor postura inferior al 30 por ciento y que no cubra el importe adeudado, siempre que supere al menos el 20 por ciento del tipo de subasta, mediante resolución motivada del director provincia! de la Tesorería General de la Seguridad Social.</x:v>
      </x:c>
      <x:c r="O225" s="18" t="str">
        <x:v>Podrá aprobarse el remate en favor de una mejor postura inferior al 50 por ciento y que no cubra el importe adeudado, siempre que supere al menos el 25 por ciento del tipo de subasta, mediante resolución motivada del director provincial de la Tesorería General de la Seguridad Social.</x:v>
      </x:c>
      <x:c r="P225" s="18" t="str">
        <x:v>Podrá aprobarse eE remate en favor de una mejor postura inferior al 30 por ciento y que no cubra el importe adeudado, siempre que supere al menos el 25 por ciento del tipo de subasta, mediante resolución motivada del director general de la Tesorería General de la Seguridad Social.</x:v>
      </x:c>
      <x:c r="Q225" s="18" t="str">
        <x:v>Podrá aprobarse ef remate en favor de una mejor postura inferior at 50 por ciento y que no cubra el importe adeudado, siempre que supere a' menos et 20 por ciento del tipo de subasta, mediante resolución motivada del director general de la Tesorería General de la Seguridad Social.</x:v>
      </x:c>
      <x:c r="R225" s="18" t="str">
        <x:v>S06</x:v>
      </x:c>
      <x:c r="S225" s="18" t="n">
        <x:v>6</x:v>
      </x:c>
      <x:c r="T225" s="18" t="str">
        <x:v>Temario específico Seguridad Social</x:v>
      </x:c>
      <x:c r="U225" s="18" t="str">
        <x:v>La recaudación en vía ejecutiva. Normas generales. Iniciación y título ejecutivo. La providencia de apremio. Oposición y efectos. El embargo de bienes. Enajenación de bienes: modalidades. Créditos incobrables. Tercerías.</x:v>
      </x:c>
      <x:c r="V225" s="18" t="str">
        <x:v>S06</x:v>
      </x:c>
      <x:c r="W225" s="18" t="str">
        <x:v>Real Decreto 1415/2004</x:v>
      </x:c>
      <x:c r="X225" s="18" t="str">
        <x:v>120</x:v>
      </x:c>
      <x:c r="Y225" s="18" t="str">
        <x:v>Recaudación ejecutiva</x:v>
      </x:c>
      <x:c r="Z225" s="18" t="str">
        <x:v>Media</x:v>
      </x:c>
      <x:c r="AA225" s="18" t="str">
        <x:v>S06</x:v>
      </x:c>
      <x:c r="AB225" s="18" t="str"/>
      <x:c r="AC225" s="18" t="str"/>
      <x:c r="AD225" s="18" t="str">
        <x:v>No</x:v>
      </x:c>
      <x:c r="AE225" s="18" t="str">
        <x:v>Teórico</x:v>
      </x:c>
      <x:c r="AF225" s="18" t="str">
        <x:v>B</x:v>
      </x:c>
      <x:c r="AG225" s="18" t="str">
        <x:v>B</x:v>
      </x:c>
      <x:c r="AH225" s="18" t="str">
        <x:v>Válida</x:v>
      </x:c>
      <x:c r="AI225" s="18" t="str">
        <x:v>01. Información oficial de la oposición\Exámenes oficiales anteriores\2025 Convocatoria 2024 - Acceso libre Modelo A.pdf</x:v>
      </x:c>
      <x:c r="AJ225" s="18" t="str">
        <x:v>https://www.seg-social.es/wps/portal/wss/internet/InformacionUtil/9950/88beb45d-ca83-4bab-8162-f94ef2894562/7e46efac-32c8-4cf6-b3d3-d592c3560dff/rdpi_administrativos_2024</x:v>
      </x:c>
      <x:c r="AK225" s="18" t="str">
        <x:v>OCR Windows es-ES sobre PDF oficial</x:v>
      </x:c>
      <x:c r="AL225" s="18" t="n">
        <x:v>100</x:v>
      </x:c>
      <x:c r="AM225" s="18" t="str">
        <x:v>Alta</x:v>
      </x:c>
      <x:c r="AN225" s="18" t="str">
        <x:v>Regla jurídica determinista</x:v>
      </x:c>
      <x:c r="AO225" s="18" t="str">
        <x:v>2025_conv2024_ordinario_A-T42</x:v>
      </x:c>
      <x:c r="AP225" s="18" t="n">
        <x:v>1</x:v>
      </x:c>
    </x:row>
    <x:row r="226">
      <x:c r="A226" s="18" t="str">
        <x:v>2025_conv2024_ordinario_A-T43</x:v>
      </x:c>
      <x:c r="B226" s="18" t="n">
        <x:v>2025</x:v>
      </x:c>
      <x:c r="C226" s="18" t="n">
        <x:v>2024</x:v>
      </x:c>
      <x:c r="D226" s="28" t="n">
        <x:v>45913</x:v>
      </x:c>
      <x:c r="E226" s="18" t="str">
        <x:v>Acceso libre</x:v>
      </x:c>
      <x:c r="F226" s="18" t="str">
        <x:v>Primera parte</x:v>
      </x:c>
      <x:c r="G226" s="18" t="str">
        <x:v>A</x:v>
      </x:c>
      <x:c r="H226" s="18" t="str">
        <x:v>A/B</x:v>
      </x:c>
      <x:c r="I226" s="18" t="str">
        <x:v>Sí</x:v>
      </x:c>
      <x:c r="J226" s="18" t="str">
        <x:v>Modelo A usado como variante canónica; el modelo B oficial está archivado y permuta el orden y/o las opciones.</x:v>
      </x:c>
      <x:c r="K226" s="18" t="n">
        <x:v>43</x:v>
      </x:c>
      <x:c r="L226" s="18" t="str">
        <x:v>No</x:v>
      </x:c>
      <x:c r="M226" s="18" t="str">
        <x:v>De acuerdo con el artículo 117 del Reglamento General de Recaudación de la Seguridad Social, aprobado por eI Real Decreto 1415/2004, de II de junio, eI licitador que resulte adjudicatario deberá abonar la diferencia entre e! precio de ta adjudicación y eI importe del depósito constituido en el plazo de:</x:v>
      </x:c>
      <x:c r="N226" s="18" t="str">
        <x:v>Diez días hábiles siguientes al de dicha adjudicación.</x:v>
      </x:c>
      <x:c r="O226" s="18" t="str">
        <x:v>Quince días hábiles siguientes aE de dicha adjudicación-</x:v>
      </x:c>
      <x:c r="P226" s="18" t="str">
        <x:v>Cinco días hábiles siguientes al de dicha adjudicación.</x:v>
      </x:c>
      <x:c r="Q226" s="18" t="str">
        <x:v>Treinta días hábiles siguientes al de dicha adjudicación.</x:v>
      </x:c>
      <x:c r="R226" s="18" t="str">
        <x:v>S06</x:v>
      </x:c>
      <x:c r="S226" s="18" t="n">
        <x:v>6</x:v>
      </x:c>
      <x:c r="T226" s="18" t="str">
        <x:v>Temario específico Seguridad Social</x:v>
      </x:c>
      <x:c r="U226" s="18" t="str">
        <x:v>La recaudación en vía ejecutiva. Normas generales. Iniciación y título ejecutivo. La providencia de apremio. Oposición y efectos. El embargo de bienes. Enajenación de bienes: modalidades. Créditos incobrables. Tercerías.</x:v>
      </x:c>
      <x:c r="V226" s="18" t="str">
        <x:v>S06</x:v>
      </x:c>
      <x:c r="W226" s="18" t="str">
        <x:v>Real Decreto 1415/2004</x:v>
      </x:c>
      <x:c r="X226" s="18" t="str">
        <x:v>117</x:v>
      </x:c>
      <x:c r="Y226" s="18" t="str">
        <x:v>Cálculos</x:v>
      </x:c>
      <x:c r="Z226" s="18" t="str">
        <x:v>Media</x:v>
      </x:c>
      <x:c r="AA226" s="18" t="str">
        <x:v>S06</x:v>
      </x:c>
      <x:c r="AB226" s="18" t="str"/>
      <x:c r="AC226" s="18" t="str"/>
      <x:c r="AD226" s="18" t="str">
        <x:v>No</x:v>
      </x:c>
      <x:c r="AE226" s="18" t="str">
        <x:v>Teórico</x:v>
      </x:c>
      <x:c r="AF226" s="18" t="str">
        <x:v>C</x:v>
      </x:c>
      <x:c r="AG226" s="18" t="str">
        <x:v>C</x:v>
      </x:c>
      <x:c r="AH226" s="18" t="str">
        <x:v>Válida</x:v>
      </x:c>
      <x:c r="AI226" s="18" t="str">
        <x:v>01. Información oficial de la oposición\Exámenes oficiales anteriores\2025 Convocatoria 2024 - Acceso libre Modelo A.pdf</x:v>
      </x:c>
      <x:c r="AJ226" s="18" t="str">
        <x:v>https://www.seg-social.es/wps/portal/wss/internet/InformacionUtil/9950/88beb45d-ca83-4bab-8162-f94ef2894562/7e46efac-32c8-4cf6-b3d3-d592c3560dff/rdpi_administrativos_2024</x:v>
      </x:c>
      <x:c r="AK226" s="18" t="str">
        <x:v>OCR Windows es-ES sobre PDF oficial</x:v>
      </x:c>
      <x:c r="AL226" s="18" t="n">
        <x:v>100</x:v>
      </x:c>
      <x:c r="AM226" s="18" t="str">
        <x:v>Alta</x:v>
      </x:c>
      <x:c r="AN226" s="18" t="str">
        <x:v>Regla jurídica determinista</x:v>
      </x:c>
      <x:c r="AO226" s="18" t="str">
        <x:v>2025_conv2024_ordinario_A-T43</x:v>
      </x:c>
      <x:c r="AP226" s="18" t="n">
        <x:v>1</x:v>
      </x:c>
    </x:row>
    <x:row r="227">
      <x:c r="A227" s="18" t="str">
        <x:v>2025_conv2024_ordinario_A-T44</x:v>
      </x:c>
      <x:c r="B227" s="18" t="n">
        <x:v>2025</x:v>
      </x:c>
      <x:c r="C227" s="18" t="n">
        <x:v>2024</x:v>
      </x:c>
      <x:c r="D227" s="28" t="n">
        <x:v>45913</x:v>
      </x:c>
      <x:c r="E227" s="18" t="str">
        <x:v>Acceso libre</x:v>
      </x:c>
      <x:c r="F227" s="18" t="str">
        <x:v>Primera parte</x:v>
      </x:c>
      <x:c r="G227" s="18" t="str">
        <x:v>A</x:v>
      </x:c>
      <x:c r="H227" s="18" t="str">
        <x:v>A/B</x:v>
      </x:c>
      <x:c r="I227" s="18" t="str">
        <x:v>Sí</x:v>
      </x:c>
      <x:c r="J227" s="18" t="str">
        <x:v>Modelo A usado como variante canónica; el modelo B oficial está archivado y permuta el orden y/o las opciones.</x:v>
      </x:c>
      <x:c r="K227" s="18" t="n">
        <x:v>44</x:v>
      </x:c>
      <x:c r="L227" s="18" t="str">
        <x:v>No</x:v>
      </x:c>
      <x:c r="M227" s="18" t="str">
        <x:v>Según establece el artículo 84 del Reglamento General de Recaudación de la Seguridad Social, aprobado por eI Real Decreto 1415/2004, de II de junio, los intereses de demora devengados desde la finalización del plazo reglamentario de ingreso serán exigibles:</x:v>
      </x:c>
      <x:c r="N227" s="18" t="str">
        <x:v>Si eI pago no se efectúa dentro del plazo de los 15 días naturales siguientes a Ea notificación de la reclamación de deuda.</x:v>
      </x:c>
      <x:c r="O227" s="18" t="str">
        <x:v>Si el pago no se efectúa dentro del plazo de los 30 días naturates siguientes a [a notificación de la reclamación de deuda.</x:v>
      </x:c>
      <x:c r="P227" s="18" t="str">
        <x:v>Si el pago no se efectúa dentro del plazo de los 30 días naturales siguientes a la notificación de la providencia de apremio.</x:v>
      </x:c>
      <x:c r="Q227" s="18" t="str">
        <x:v>Si el pago no se efectúa dentro del plazo de los 15 días naturales siguientes a Ea notificación de la providencia de apremio.</x:v>
      </x:c>
      <x:c r="R227" s="18" t="str">
        <x:v>S06</x:v>
      </x:c>
      <x:c r="S227" s="18" t="n">
        <x:v>6</x:v>
      </x:c>
      <x:c r="T227" s="18" t="str">
        <x:v>Temario específico Seguridad Social</x:v>
      </x:c>
      <x:c r="U227" s="18" t="str">
        <x:v>La recaudación en vía ejecutiva. Normas generales. Iniciación y título ejecutivo. La providencia de apremio. Oposición y efectos. El embargo de bienes. Enajenación de bienes: modalidades. Créditos incobrables. Tercerías.</x:v>
      </x:c>
      <x:c r="V227" s="18" t="str">
        <x:v>S06</x:v>
      </x:c>
      <x:c r="W227" s="18" t="str">
        <x:v>Real Decreto 1415/2004</x:v>
      </x:c>
      <x:c r="X227" s="18" t="str">
        <x:v>84</x:v>
      </x:c>
      <x:c r="Y227" s="18" t="str">
        <x:v>Plazos</x:v>
      </x:c>
      <x:c r="Z227" s="18" t="str">
        <x:v>Media</x:v>
      </x:c>
      <x:c r="AA227" s="18" t="str">
        <x:v>S06</x:v>
      </x:c>
      <x:c r="AB227" s="18" t="str"/>
      <x:c r="AC227" s="18" t="str"/>
      <x:c r="AD227" s="18" t="str">
        <x:v>No</x:v>
      </x:c>
      <x:c r="AE227" s="18" t="str">
        <x:v>Teórico</x:v>
      </x:c>
      <x:c r="AF227" s="18" t="str">
        <x:v>D</x:v>
      </x:c>
      <x:c r="AG227" s="18" t="str">
        <x:v>D</x:v>
      </x:c>
      <x:c r="AH227" s="18" t="str">
        <x:v>Válida</x:v>
      </x:c>
      <x:c r="AI227" s="18" t="str">
        <x:v>01. Información oficial de la oposición\Exámenes oficiales anteriores\2025 Convocatoria 2024 - Acceso libre Modelo A.pdf</x:v>
      </x:c>
      <x:c r="AJ227" s="18" t="str">
        <x:v>https://www.seg-social.es/wps/portal/wss/internet/InformacionUtil/9950/88beb45d-ca83-4bab-8162-f94ef2894562/7e46efac-32c8-4cf6-b3d3-d592c3560dff/rdpi_administrativos_2024</x:v>
      </x:c>
      <x:c r="AK227" s="18" t="str">
        <x:v>OCR Windows es-ES sobre PDF oficial</x:v>
      </x:c>
      <x:c r="AL227" s="18" t="n">
        <x:v>100</x:v>
      </x:c>
      <x:c r="AM227" s="18" t="str">
        <x:v>Alta</x:v>
      </x:c>
      <x:c r="AN227" s="18" t="str">
        <x:v>Regla jurídica determinista</x:v>
      </x:c>
      <x:c r="AO227" s="18" t="str">
        <x:v>2025_conv2024_ordinario_A-T44</x:v>
      </x:c>
      <x:c r="AP227" s="18" t="n">
        <x:v>1</x:v>
      </x:c>
    </x:row>
    <x:row r="228">
      <x:c r="A228" s="18" t="str">
        <x:v>2025_conv2024_ordinario_A-T45</x:v>
      </x:c>
      <x:c r="B228" s="18" t="n">
        <x:v>2025</x:v>
      </x:c>
      <x:c r="C228" s="18" t="n">
        <x:v>2024</x:v>
      </x:c>
      <x:c r="D228" s="28" t="n">
        <x:v>45913</x:v>
      </x:c>
      <x:c r="E228" s="18" t="str">
        <x:v>Acceso libre</x:v>
      </x:c>
      <x:c r="F228" s="18" t="str">
        <x:v>Primera parte</x:v>
      </x:c>
      <x:c r="G228" s="18" t="str">
        <x:v>A</x:v>
      </x:c>
      <x:c r="H228" s="18" t="str">
        <x:v>A/B</x:v>
      </x:c>
      <x:c r="I228" s="18" t="str">
        <x:v>Sí</x:v>
      </x:c>
      <x:c r="J228" s="18" t="str">
        <x:v>Modelo A usado como variante canónica; el modelo B oficial está archivado y permuta el orden y/o las opciones.</x:v>
      </x:c>
      <x:c r="K228" s="18" t="n">
        <x:v>45</x:v>
      </x:c>
      <x:c r="L228" s="18" t="str">
        <x:v>No</x:v>
      </x:c>
      <x:c r="M228" s="18" t="str">
        <x:v>Según el artículo 61 del texto refundido de la Ley General de la Seguridad Social, eI importe mínimo mensual de las pensiones extraordinarias originadas por actos de terrorismo que se reconozcan y abonen por la Seguridad Social será equivalente:</x:v>
      </x:c>
      <x:c r="N228" s="18" t="str">
        <x:v>AI doble del indicador público de renta de efectos múltiples vigente en cada momento.</x:v>
      </x:c>
      <x:c r="O228" s="18" t="str">
        <x:v>A triple del salario mínimo interprofesional vigente en cada momento.</x:v>
      </x:c>
      <x:c r="P228" s="18" t="str">
        <x:v>A triple del indicador público de renta de efectos múltiples vigente en cada momento.</x:v>
      </x:c>
      <x:c r="Q228" s="18" t="str">
        <x:v>Al doble del salario mínimo interprofesional vigente en cada momento.</x:v>
      </x:c>
      <x:c r="R228" s="18" t="str">
        <x:v>S07</x:v>
      </x:c>
      <x:c r="S228" s="18" t="n">
        <x:v>7</x:v>
      </x:c>
      <x:c r="T228" s="18" t="str">
        <x:v>Temario específico Seguridad Social</x:v>
      </x:c>
      <x:c r="U228" s="18" t="str">
        <x:v>Acción protectora. Contenido y clasificación de las prestaciones. Caracteres de las prestaciones. Incompatibilidades. Reintegro de las prestaciones indebidas. Requisitos generales del derecho a las prestaciones. Responsabilidades en orden a las prestaciones por incumplimiento de las obligaciones de afiliación, altas, bajas y cotización. Automaticidad y anticipo de prestaciones. Riesgo protegido: contingencias comunes y profesionales.</x:v>
      </x:c>
      <x:c r="V228" s="18" t="str">
        <x:v>S07</x:v>
      </x:c>
      <x:c r="W228" s="18" t="str">
        <x:v>texto refundido de la Ley General de la Seguridad Social</x:v>
      </x:c>
      <x:c r="X228" s="18" t="str">
        <x:v>61</x:v>
      </x:c>
      <x:c r="Y228" s="18" t="str">
        <x:v>Cálculos</x:v>
      </x:c>
      <x:c r="Z228" s="18" t="str">
        <x:v>Media</x:v>
      </x:c>
      <x:c r="AA228" s="18" t="str">
        <x:v>S07</x:v>
      </x:c>
      <x:c r="AB228" s="18" t="str">
        <x:v>ISM</x:v>
      </x:c>
      <x:c r="AC228" s="18" t="str"/>
      <x:c r="AD228" s="18" t="str">
        <x:v>No</x:v>
      </x:c>
      <x:c r="AE228" s="18" t="str">
        <x:v>Teórico</x:v>
      </x:c>
      <x:c r="AF228" s="18" t="str">
        <x:v>C</x:v>
      </x:c>
      <x:c r="AG228" s="18" t="str">
        <x:v>C</x:v>
      </x:c>
      <x:c r="AH228" s="18" t="str">
        <x:v>Válida</x:v>
      </x:c>
      <x:c r="AI228" s="18" t="str">
        <x:v>01. Información oficial de la oposición\Exámenes oficiales anteriores\2025 Convocatoria 2024 - Acceso libre Modelo A.pdf</x:v>
      </x:c>
      <x:c r="AJ228" s="18" t="str">
        <x:v>https://www.seg-social.es/wps/portal/wss/internet/InformacionUtil/9950/88beb45d-ca83-4bab-8162-f94ef2894562/7e46efac-32c8-4cf6-b3d3-d592c3560dff/rdpi_administrativos_2024</x:v>
      </x:c>
      <x:c r="AK228" s="18" t="str">
        <x:v>OCR Windows es-ES sobre PDF oficial</x:v>
      </x:c>
      <x:c r="AL228" s="18" t="n">
        <x:v>100</x:v>
      </x:c>
      <x:c r="AM228" s="18" t="str">
        <x:v>Alta</x:v>
      </x:c>
      <x:c r="AN228" s="18" t="str">
        <x:v>Regla jurídica determinista</x:v>
      </x:c>
      <x:c r="AO228" s="18" t="str">
        <x:v>2025_conv2024_ordinario_A-T45</x:v>
      </x:c>
      <x:c r="AP228" s="18" t="n">
        <x:v>1</x:v>
      </x:c>
    </x:row>
    <x:row r="229">
      <x:c r="A229" s="18" t="str">
        <x:v>2025_conv2024_ordinario_A-T46</x:v>
      </x:c>
      <x:c r="B229" s="18" t="n">
        <x:v>2025</x:v>
      </x:c>
      <x:c r="C229" s="18" t="n">
        <x:v>2024</x:v>
      </x:c>
      <x:c r="D229" s="28" t="n">
        <x:v>45913</x:v>
      </x:c>
      <x:c r="E229" s="18" t="str">
        <x:v>Acceso libre</x:v>
      </x:c>
      <x:c r="F229" s="18" t="str">
        <x:v>Primera parte</x:v>
      </x:c>
      <x:c r="G229" s="18" t="str">
        <x:v>A</x:v>
      </x:c>
      <x:c r="H229" s="18" t="str">
        <x:v>A/B</x:v>
      </x:c>
      <x:c r="I229" s="18" t="str">
        <x:v>Sí</x:v>
      </x:c>
      <x:c r="J229" s="18" t="str">
        <x:v>Modelo A usado como variante canónica; el modelo B oficial está archivado y permuta el orden y/o las opciones.</x:v>
      </x:c>
      <x:c r="K229" s="18" t="n">
        <x:v>46</x:v>
      </x:c>
      <x:c r="L229" s="18" t="str">
        <x:v>No</x:v>
      </x:c>
      <x:c r="M229" s="18" t="str">
        <x:v>En relación con eI embargo de prestaciones, el artículo 44 del texto refundido de la Ley General de la Seguridad Social remite a 10 establecido en la Ley de Enjuiciamiento Civil, que en su artículo 607 establece que, en eI caso de pensiones que sean superiores y hasta eI doble del salario mínimo interprofesional podrá embargarse (en la parte que excede SMI) eI siguiente porcentaje:</x:v>
      </x:c>
      <x:c r="N229" s="18" t="str">
        <x:v>30%.</x:v>
      </x:c>
      <x:c r="O229" s="18" t="str">
        <x:v>40%.</x:v>
      </x:c>
      <x:c r="P229" s="18" t="str">
        <x:v>50%.</x:v>
      </x:c>
      <x:c r="Q229" s="18" t="str">
        <x:v>60%.</x:v>
      </x:c>
      <x:c r="R229" s="18" t="str">
        <x:v>S07</x:v>
      </x:c>
      <x:c r="S229" s="18" t="n">
        <x:v>7</x:v>
      </x:c>
      <x:c r="T229" s="18" t="str">
        <x:v>Temario específico Seguridad Social</x:v>
      </x:c>
      <x:c r="U229" s="18" t="str">
        <x:v>Acción protectora. Contenido y clasificación de las prestaciones. Caracteres de las prestaciones. Incompatibilidades. Reintegro de las prestaciones indebidas. Requisitos generales del derecho a las prestaciones. Responsabilidades en orden a las prestaciones por incumplimiento de las obligaciones de afiliación, altas, bajas y cotización. Automaticidad y anticipo de prestaciones. Riesgo protegido: contingencias comunes y profesionales.</x:v>
      </x:c>
      <x:c r="V229" s="18" t="str">
        <x:v>embargo</x:v>
      </x:c>
      <x:c r="W229" s="18" t="str">
        <x:v>texto refundido de la Ley General de la Seguridad Social</x:v>
      </x:c>
      <x:c r="X229" s="18" t="str">
        <x:v>44; 607</x:v>
      </x:c>
      <x:c r="Y229" s="18" t="str">
        <x:v>Artículos literales</x:v>
      </x:c>
      <x:c r="Z229" s="18" t="str">
        <x:v>Alta</x:v>
      </x:c>
      <x:c r="AA229" s="18" t="str">
        <x:v>embargo</x:v>
      </x:c>
      <x:c r="AB229" s="18" t="str"/>
      <x:c r="AC229" s="18" t="str"/>
      <x:c r="AD229" s="18" t="str">
        <x:v>No</x:v>
      </x:c>
      <x:c r="AE229" s="18" t="str">
        <x:v>Teórico</x:v>
      </x:c>
      <x:c r="AF229" s="18" t="str">
        <x:v>A</x:v>
      </x:c>
      <x:c r="AG229" s="18" t="str">
        <x:v>A</x:v>
      </x:c>
      <x:c r="AH229" s="18" t="str">
        <x:v>Válida</x:v>
      </x:c>
      <x:c r="AI229" s="18" t="str">
        <x:v>01. Información oficial de la oposición\Exámenes oficiales anteriores\2025 Convocatoria 2024 - Acceso libre Modelo A.pdf</x:v>
      </x:c>
      <x:c r="AJ229" s="18" t="str">
        <x:v>https://www.seg-social.es/wps/portal/wss/internet/InformacionUtil/9950/88beb45d-ca83-4bab-8162-f94ef2894562/7e46efac-32c8-4cf6-b3d3-d592c3560dff/rdpi_administrativos_2024</x:v>
      </x:c>
      <x:c r="AK229" s="18" t="str">
        <x:v>OCR Windows es-ES sobre PDF oficial</x:v>
      </x:c>
      <x:c r="AL229" s="18" t="n">
        <x:v>100</x:v>
      </x:c>
      <x:c r="AM229" s="18" t="str">
        <x:v>Alta</x:v>
      </x:c>
      <x:c r="AN229" s="18" t="str">
        <x:v>Revisión jurídica individual</x:v>
      </x:c>
      <x:c r="AO229" s="18" t="str">
        <x:v>2025_conv2024_ordinario_A-T46</x:v>
      </x:c>
      <x:c r="AP229" s="18" t="n">
        <x:v>1</x:v>
      </x:c>
    </x:row>
    <x:row r="230">
      <x:c r="A230" s="18" t="str">
        <x:v>2025_conv2024_ordinario_A-T47</x:v>
      </x:c>
      <x:c r="B230" s="18" t="n">
        <x:v>2025</x:v>
      </x:c>
      <x:c r="C230" s="18" t="n">
        <x:v>2024</x:v>
      </x:c>
      <x:c r="D230" s="28" t="n">
        <x:v>45913</x:v>
      </x:c>
      <x:c r="E230" s="18" t="str">
        <x:v>Acceso libre</x:v>
      </x:c>
      <x:c r="F230" s="18" t="str">
        <x:v>Primera parte</x:v>
      </x:c>
      <x:c r="G230" s="18" t="str">
        <x:v>A</x:v>
      </x:c>
      <x:c r="H230" s="18" t="str">
        <x:v>A/B</x:v>
      </x:c>
      <x:c r="I230" s="18" t="str">
        <x:v>Sí</x:v>
      </x:c>
      <x:c r="J230" s="18" t="str">
        <x:v>Modelo A usado como variante canónica; el modelo B oficial está archivado y permuta el orden y/o las opciones.</x:v>
      </x:c>
      <x:c r="K230" s="18" t="n">
        <x:v>47</x:v>
      </x:c>
      <x:c r="L230" s="18" t="str">
        <x:v>No</x:v>
      </x:c>
      <x:c r="M230" s="18" t="str">
        <x:v>Conforme al artículo 54 del texto refundido de la Ley General de la Seguridad Social, en el supuesto de prestaciones periódicas, el derecho al percibo de cada mensualidad caducará:</x:v>
      </x:c>
      <x:c r="N230" s="18" t="str">
        <x:v>A año, a contar desde eI día siguiente al de haber sido notificado en forma al interesado su reconocimiento.</x:v>
      </x:c>
      <x:c r="O230" s="18" t="str">
        <x:v>Al año de su respectivo vencimiento.</x:v>
      </x:c>
      <x:c r="P230" s="18" t="str">
        <x:v>A los cinco años de su respectivo vencimiento.</x:v>
      </x:c>
      <x:c r="Q230" s="18" t="str">
        <x:v>AI año, a contar desde el mismo día de haber sido notificado en forma al interesado su reconocimiento.</x:v>
      </x:c>
      <x:c r="R230" s="18" t="str">
        <x:v>S07</x:v>
      </x:c>
      <x:c r="S230" s="18" t="n">
        <x:v>7</x:v>
      </x:c>
      <x:c r="T230" s="18" t="str">
        <x:v>Temario específico Seguridad Social</x:v>
      </x:c>
      <x:c r="U230" s="18" t="str">
        <x:v>Acción protectora. Contenido y clasificación de las prestaciones. Caracteres de las prestaciones. Incompatibilidades. Reintegro de las prestaciones indebidas. Requisitos generales del derecho a las prestaciones. Responsabilidades en orden a las prestaciones por incumplimiento de las obligaciones de afiliación, altas, bajas y cotización. Automaticidad y anticipo de prestaciones. Riesgo protegido: contingencias comunes y profesionales.</x:v>
      </x:c>
      <x:c r="V230" s="18" t="str">
        <x:v>S07</x:v>
      </x:c>
      <x:c r="W230" s="18" t="str">
        <x:v>texto refundido de la Ley General de la Seguridad Social</x:v>
      </x:c>
      <x:c r="X230" s="18" t="str">
        <x:v>54</x:v>
      </x:c>
      <x:c r="Y230" s="18" t="str">
        <x:v>Artículos literales</x:v>
      </x:c>
      <x:c r="Z230" s="18" t="str">
        <x:v>Media</x:v>
      </x:c>
      <x:c r="AA230" s="18" t="str">
        <x:v>S07</x:v>
      </x:c>
      <x:c r="AB230" s="18" t="str"/>
      <x:c r="AC230" s="18" t="str"/>
      <x:c r="AD230" s="18" t="str">
        <x:v>No</x:v>
      </x:c>
      <x:c r="AE230" s="18" t="str">
        <x:v>Teórico</x:v>
      </x:c>
      <x:c r="AF230" s="18" t="str">
        <x:v>B</x:v>
      </x:c>
      <x:c r="AG230" s="18" t="str">
        <x:v>B</x:v>
      </x:c>
      <x:c r="AH230" s="18" t="str">
        <x:v>Válida</x:v>
      </x:c>
      <x:c r="AI230" s="18" t="str">
        <x:v>01. Información oficial de la oposición\Exámenes oficiales anteriores\2025 Convocatoria 2024 - Acceso libre Modelo A.pdf</x:v>
      </x:c>
      <x:c r="AJ230" s="18" t="str">
        <x:v>https://www.seg-social.es/wps/portal/wss/internet/InformacionUtil/9950/88beb45d-ca83-4bab-8162-f94ef2894562/7e46efac-32c8-4cf6-b3d3-d592c3560dff/rdpi_administrativos_2024</x:v>
      </x:c>
      <x:c r="AK230" s="18" t="str">
        <x:v>OCR Windows es-ES sobre PDF oficial</x:v>
      </x:c>
      <x:c r="AL230" s="18" t="n">
        <x:v>100</x:v>
      </x:c>
      <x:c r="AM230" s="18" t="str">
        <x:v>Alta</x:v>
      </x:c>
      <x:c r="AN230" s="18" t="str">
        <x:v>Regla jurídica determinista</x:v>
      </x:c>
      <x:c r="AO230" s="18" t="str">
        <x:v>2025_conv2024_ordinario_A-T47</x:v>
      </x:c>
      <x:c r="AP230" s="18" t="n">
        <x:v>1</x:v>
      </x:c>
    </x:row>
    <x:row r="231">
      <x:c r="A231" s="18" t="str">
        <x:v>2025_conv2024_ordinario_A-T48</x:v>
      </x:c>
      <x:c r="B231" s="18" t="n">
        <x:v>2025</x:v>
      </x:c>
      <x:c r="C231" s="18" t="n">
        <x:v>2024</x:v>
      </x:c>
      <x:c r="D231" s="28" t="n">
        <x:v>45913</x:v>
      </x:c>
      <x:c r="E231" s="18" t="str">
        <x:v>Acceso libre</x:v>
      </x:c>
      <x:c r="F231" s="18" t="str">
        <x:v>Primera parte</x:v>
      </x:c>
      <x:c r="G231" s="18" t="str">
        <x:v>A</x:v>
      </x:c>
      <x:c r="H231" s="18" t="str">
        <x:v>A/B</x:v>
      </x:c>
      <x:c r="I231" s="18" t="str">
        <x:v>Sí</x:v>
      </x:c>
      <x:c r="J231" s="18" t="str">
        <x:v>Modelo A usado como variante canónica; el modelo B oficial está archivado y permuta el orden y/o las opciones.</x:v>
      </x:c>
      <x:c r="K231" s="18" t="n">
        <x:v>48</x:v>
      </x:c>
      <x:c r="L231" s="18" t="str">
        <x:v>No</x:v>
      </x:c>
      <x:c r="M231" s="18" t="str">
        <x:v>De acuerdo con 10 previsto en el artículo 58 del texto refundido de la Ley General de la Seguridad Social, ¿cuándo se revalorizarán las pensiones contributivas?</x:v>
      </x:c>
      <x:c r="N231" s="18" t="str">
        <x:v>AI comienzo de cada año en el porcentaje equivalente al valor medio de las tasas de variación interanual expresadas en tanto por ciento del índice de Precios al Consumo de los doce meses previos a diciembre del año anterior.</x:v>
      </x:c>
      <x:c r="O231" s="18" t="str">
        <x:v>Al final de cada año con eI porcentaje equivalente al valor medio de las tasas de variación interanual expresada en tanto por ciento del índice de Precios al consumo de los 3 meses previos a diciembre el año anterior.</x:v>
      </x:c>
      <x:c r="P231" s="18" t="str">
        <x:v>AI comienzo de cada año en eI porcentaje equivalente al valor medio de las tasas de variación interanual expresadas en tanto por ciento del índice de Precios al Consumo de los 6 meses previos a diciembre del año anterior.</x:v>
      </x:c>
      <x:c r="Q231" s="18" t="str">
        <x:v>Al comienzo de cada año en eI porcentaje equivalente al valor medio de las tasas de variación interanual expresadas en tanto por ciento del índice de Precios al Consumo de los 9 meses previos a diciembre del año anterior.</x:v>
      </x:c>
      <x:c r="R231" s="18" t="str">
        <x:v>S07</x:v>
      </x:c>
      <x:c r="S231" s="18" t="n">
        <x:v>7</x:v>
      </x:c>
      <x:c r="T231" s="18" t="str">
        <x:v>Temario específico Seguridad Social</x:v>
      </x:c>
      <x:c r="U231" s="18" t="str">
        <x:v>Acción protectora. Contenido y clasificación de las prestaciones. Caracteres de las prestaciones. Incompatibilidades. Reintegro de las prestaciones indebidas. Requisitos generales del derecho a las prestaciones. Responsabilidades en orden a las prestaciones por incumplimiento de las obligaciones de afiliación, altas, bajas y cotización. Automaticidad y anticipo de prestaciones. Riesgo protegido: contingencias comunes y profesionales.</x:v>
      </x:c>
      <x:c r="V231" s="18" t="str">
        <x:v>S07</x:v>
      </x:c>
      <x:c r="W231" s="18" t="str">
        <x:v>texto refundido de la Ley General de la Seguridad Social</x:v>
      </x:c>
      <x:c r="X231" s="18" t="str">
        <x:v>58</x:v>
      </x:c>
      <x:c r="Y231" s="18" t="str">
        <x:v>Artículos literales</x:v>
      </x:c>
      <x:c r="Z231" s="18" t="str">
        <x:v>Media</x:v>
      </x:c>
      <x:c r="AA231" s="18" t="str">
        <x:v>S07</x:v>
      </x:c>
      <x:c r="AB231" s="18" t="str"/>
      <x:c r="AC231" s="18" t="str"/>
      <x:c r="AD231" s="18" t="str">
        <x:v>No</x:v>
      </x:c>
      <x:c r="AE231" s="18" t="str">
        <x:v>Teórico</x:v>
      </x:c>
      <x:c r="AF231" s="18" t="str">
        <x:v>A</x:v>
      </x:c>
      <x:c r="AG231" s="18" t="str">
        <x:v>A</x:v>
      </x:c>
      <x:c r="AH231" s="18" t="str">
        <x:v>Válida</x:v>
      </x:c>
      <x:c r="AI231" s="18" t="str">
        <x:v>01. Información oficial de la oposición\Exámenes oficiales anteriores\2025 Convocatoria 2024 - Acceso libre Modelo A.pdf</x:v>
      </x:c>
      <x:c r="AJ231" s="18" t="str">
        <x:v>https://www.seg-social.es/wps/portal/wss/internet/InformacionUtil/9950/88beb45d-ca83-4bab-8162-f94ef2894562/7e46efac-32c8-4cf6-b3d3-d592c3560dff/rdpi_administrativos_2024</x:v>
      </x:c>
      <x:c r="AK231" s="18" t="str">
        <x:v>OCR Windows es-ES sobre PDF oficial</x:v>
      </x:c>
      <x:c r="AL231" s="18" t="n">
        <x:v>100</x:v>
      </x:c>
      <x:c r="AM231" s="18" t="str">
        <x:v>Alta</x:v>
      </x:c>
      <x:c r="AN231" s="18" t="str">
        <x:v>Regla jurídica determinista</x:v>
      </x:c>
      <x:c r="AO231" s="18" t="str">
        <x:v>2025_conv2024_ordinario_A-T48</x:v>
      </x:c>
      <x:c r="AP231" s="18" t="n">
        <x:v>1</x:v>
      </x:c>
    </x:row>
    <x:row r="232">
      <x:c r="A232" s="18" t="str">
        <x:v>2025_conv2024_ordinario_A-T49</x:v>
      </x:c>
      <x:c r="B232" s="18" t="n">
        <x:v>2025</x:v>
      </x:c>
      <x:c r="C232" s="18" t="n">
        <x:v>2024</x:v>
      </x:c>
      <x:c r="D232" s="28" t="n">
        <x:v>45913</x:v>
      </x:c>
      <x:c r="E232" s="18" t="str">
        <x:v>Acceso libre</x:v>
      </x:c>
      <x:c r="F232" s="18" t="str">
        <x:v>Primera parte</x:v>
      </x:c>
      <x:c r="G232" s="18" t="str">
        <x:v>A</x:v>
      </x:c>
      <x:c r="H232" s="18" t="str">
        <x:v>A/B</x:v>
      </x:c>
      <x:c r="I232" s="18" t="str">
        <x:v>Sí</x:v>
      </x:c>
      <x:c r="J232" s="18" t="str">
        <x:v>Modelo A usado como variante canónica; el modelo B oficial está archivado y permuta el orden y/o las opciones.</x:v>
      </x:c>
      <x:c r="K232" s="18" t="n">
        <x:v>49</x:v>
      </x:c>
      <x:c r="L232" s="18" t="str">
        <x:v>No</x:v>
      </x:c>
      <x:c r="M232" s="18" t="str">
        <x:v>Según establece eI artículo 169 del texto refundido de la Ley General de la Seguridad Social, la gestación de la mujer trabajadora se considera una situación especial de incapacidad temporal:</x:v>
      </x:c>
      <x:c r="N232" s="18" t="str">
        <x:v>Por contingencias profesionales desde el día primero de la semana trigésima novena.</x:v>
      </x:c>
      <x:c r="O232" s="18" t="str">
        <x:v>Por contingencias comunes desde el día primero de la semana trigésima novena.</x:v>
      </x:c>
      <x:c r="P232" s="18" t="str">
        <x:v>Por contingencias profesionales desde el día primero de la semana trigésima octava.</x:v>
      </x:c>
      <x:c r="Q232" s="18" t="str">
        <x:v>Por contingencias comunes desde el día primero de la semana trigésima octava.</x:v>
      </x:c>
      <x:c r="R232" s="18" t="str">
        <x:v>S08</x:v>
      </x:c>
      <x:c r="S232" s="18" t="n">
        <x:v>8</x:v>
      </x:c>
      <x:c r="T232" s="18" t="str">
        <x:v>Temario específico Seguridad Social</x:v>
      </x:c>
      <x:c r="U232" s="18" t="str">
        <x:v>Incapacidad temporal: concepto y causas que motivan esta situación. Beneficiarios. Prestación económica: determinación y cuantía. Nacimiento, duración y extinción del derecho al subsidio. Reconocimiento y pago. Control de la incapacidad. Incapacidad permanente contributiva: concepto. Grados de incapacidad. Prestaciones. Determinación y cuantía. Beneficiarios. Nacimiento, duración y extinción del derecho. Lesiones permanentes no incapacitantes. La calificación y revisión de la incapacidad permanente.</x:v>
      </x:c>
      <x:c r="V232" s="18" t="str">
        <x:v>incapacidad temporal</x:v>
      </x:c>
      <x:c r="W232" s="18" t="str">
        <x:v>texto refundido de la Ley General de la Seguridad Social</x:v>
      </x:c>
      <x:c r="X232" s="18" t="str">
        <x:v>169</x:v>
      </x:c>
      <x:c r="Y232" s="18" t="str">
        <x:v>Incapacidad</x:v>
      </x:c>
      <x:c r="Z232" s="18" t="str">
        <x:v>Media</x:v>
      </x:c>
      <x:c r="AA232" s="18" t="str">
        <x:v>incapacidad temporal</x:v>
      </x:c>
      <x:c r="AB232" s="18" t="str"/>
      <x:c r="AC232" s="18" t="str"/>
      <x:c r="AD232" s="18" t="str">
        <x:v>No</x:v>
      </x:c>
      <x:c r="AE232" s="18" t="str">
        <x:v>Teórico</x:v>
      </x:c>
      <x:c r="AF232" s="18" t="str">
        <x:v>B</x:v>
      </x:c>
      <x:c r="AG232" s="18" t="str">
        <x:v>B</x:v>
      </x:c>
      <x:c r="AH232" s="18" t="str">
        <x:v>Válida</x:v>
      </x:c>
      <x:c r="AI232" s="18" t="str">
        <x:v>01. Información oficial de la oposición\Exámenes oficiales anteriores\2025 Convocatoria 2024 - Acceso libre Modelo A.pdf</x:v>
      </x:c>
      <x:c r="AJ232" s="18" t="str">
        <x:v>https://www.seg-social.es/wps/portal/wss/internet/InformacionUtil/9950/88beb45d-ca83-4bab-8162-f94ef2894562/7e46efac-32c8-4cf6-b3d3-d592c3560dff/rdpi_administrativos_2024</x:v>
      </x:c>
      <x:c r="AK232" s="18" t="str">
        <x:v>OCR Windows es-ES sobre PDF oficial</x:v>
      </x:c>
      <x:c r="AL232" s="18" t="n">
        <x:v>100</x:v>
      </x:c>
      <x:c r="AM232" s="18" t="str">
        <x:v>Alta</x:v>
      </x:c>
      <x:c r="AN232" s="18" t="str">
        <x:v>Regla jurídica determinista</x:v>
      </x:c>
      <x:c r="AO232" s="18" t="str">
        <x:v>2025_conv2024_ordinario_A-T49</x:v>
      </x:c>
      <x:c r="AP232" s="18" t="n">
        <x:v>1</x:v>
      </x:c>
    </x:row>
    <x:row r="233">
      <x:c r="A233" s="18" t="str">
        <x:v>2025_conv2024_ordinario_A-T50</x:v>
      </x:c>
      <x:c r="B233" s="18" t="n">
        <x:v>2025</x:v>
      </x:c>
      <x:c r="C233" s="18" t="n">
        <x:v>2024</x:v>
      </x:c>
      <x:c r="D233" s="28" t="n">
        <x:v>45913</x:v>
      </x:c>
      <x:c r="E233" s="18" t="str">
        <x:v>Acceso libre</x:v>
      </x:c>
      <x:c r="F233" s="18" t="str">
        <x:v>Primera parte</x:v>
      </x:c>
      <x:c r="G233" s="18" t="str">
        <x:v>A</x:v>
      </x:c>
      <x:c r="H233" s="18" t="str">
        <x:v>A/B</x:v>
      </x:c>
      <x:c r="I233" s="18" t="str">
        <x:v>Sí</x:v>
      </x:c>
      <x:c r="J233" s="18" t="str">
        <x:v>Modelo A usado como variante canónica; el modelo B oficial está archivado y permuta el orden y/o las opciones.</x:v>
      </x:c>
      <x:c r="K233" s="18" t="n">
        <x:v>50</x:v>
      </x:c>
      <x:c r="L233" s="18" t="str">
        <x:v>No</x:v>
      </x:c>
      <x:c r="M233" s="18" t="str">
        <x:v>EI artículo 195 del texto refundido de la Ley General de la Seguridad Social, establece que el periodo mínimo de cotización exigible para generar una pensión de incapacidad permanente cuando el sujeto tiene cumplidos 31 años de edad es:</x:v>
      </x:c>
      <x:c r="N233" s="18" t="str">
        <x:v>La tercera parte del tiempo transcurrido entre la fecha en que cumplió los 16 años y la del hecho causante de Ea pensión.</x:v>
      </x:c>
      <x:c r="O233" s="18" t="str">
        <x:v>La cuarta parte del tiempo transcurrido entre la fecha en que cumplió los 16 años y ia del hecho causante de la pensión.</x:v>
      </x:c>
      <x:c r="P233" s="18" t="str">
        <x:v>La tercera parte del tiempo transcurrido entre la fecha en que cumplió tos 20 años y la del hecho causante de la pensión, con un mínimo, en todo caso, de 5 años.</x:v>
      </x:c>
      <x:c r="Q233" s="18" t="str">
        <x:v>La cuarta parte del tiempo transcurrido entre la fecha en que cumplió los 20 años y la del hecho causante de la pensión, con un mínimo, en todo caso, de 5 años.</x:v>
      </x:c>
      <x:c r="R233" s="18" t="str">
        <x:v>S08</x:v>
      </x:c>
      <x:c r="S233" s="18" t="n">
        <x:v>8</x:v>
      </x:c>
      <x:c r="T233" s="18" t="str">
        <x:v>Temario específico Seguridad Social</x:v>
      </x:c>
      <x:c r="U233" s="18" t="str">
        <x:v>Incapacidad temporal: concepto y causas que motivan esta situación. Beneficiarios. Prestación económica: determinación y cuantía. Nacimiento, duración y extinción del derecho al subsidio. Reconocimiento y pago. Control de la incapacidad. Incapacidad permanente contributiva: concepto. Grados de incapacidad. Prestaciones. Determinación y cuantía. Beneficiarios. Nacimiento, duración y extinción del derecho. Lesiones permanentes no incapacitantes. La calificación y revisión de la incapacidad permanente.</x:v>
      </x:c>
      <x:c r="V233" s="18" t="str">
        <x:v>incapacidad permanente</x:v>
      </x:c>
      <x:c r="W233" s="18" t="str">
        <x:v>texto refundido de la Ley General de la Seguridad Social</x:v>
      </x:c>
      <x:c r="X233" s="18" t="str">
        <x:v>195</x:v>
      </x:c>
      <x:c r="Y233" s="18" t="str">
        <x:v>Requisitos</x:v>
      </x:c>
      <x:c r="Z233" s="18" t="str">
        <x:v>Media</x:v>
      </x:c>
      <x:c r="AA233" s="18" t="str">
        <x:v>incapacidad permanente</x:v>
      </x:c>
      <x:c r="AB233" s="18" t="str"/>
      <x:c r="AC233" s="18" t="str">
        <x:v>31 años; 31 años de edad</x:v>
      </x:c>
      <x:c r="AD233" s="18" t="str">
        <x:v>No</x:v>
      </x:c>
      <x:c r="AE233" s="18" t="str">
        <x:v>Teórico</x:v>
      </x:c>
      <x:c r="AF233" s="18" t="str">
        <x:v>D</x:v>
      </x:c>
      <x:c r="AG233" s="18" t="str">
        <x:v>D</x:v>
      </x:c>
      <x:c r="AH233" s="18" t="str">
        <x:v>Válida</x:v>
      </x:c>
      <x:c r="AI233" s="18" t="str">
        <x:v>01. Información oficial de la oposición\Exámenes oficiales anteriores\2025 Convocatoria 2024 - Acceso libre Modelo A.pdf</x:v>
      </x:c>
      <x:c r="AJ233" s="18" t="str">
        <x:v>https://www.seg-social.es/wps/portal/wss/internet/InformacionUtil/9950/88beb45d-ca83-4bab-8162-f94ef2894562/7e46efac-32c8-4cf6-b3d3-d592c3560dff/rdpi_administrativos_2024</x:v>
      </x:c>
      <x:c r="AK233" s="18" t="str">
        <x:v>OCR Windows es-ES sobre PDF oficial</x:v>
      </x:c>
      <x:c r="AL233" s="18" t="n">
        <x:v>100</x:v>
      </x:c>
      <x:c r="AM233" s="18" t="str">
        <x:v>Alta</x:v>
      </x:c>
      <x:c r="AN233" s="18" t="str">
        <x:v>Regla jurídica determinista</x:v>
      </x:c>
      <x:c r="AO233" s="18" t="str">
        <x:v>2025_conv2024_ordinario_A-T50</x:v>
      </x:c>
      <x:c r="AP233" s="18" t="n">
        <x:v>1</x:v>
      </x:c>
    </x:row>
    <x:row r="234">
      <x:c r="A234" s="18" t="str">
        <x:v>2025_conv2024_ordinario_A-T51</x:v>
      </x:c>
      <x:c r="B234" s="18" t="n">
        <x:v>2025</x:v>
      </x:c>
      <x:c r="C234" s="18" t="n">
        <x:v>2024</x:v>
      </x:c>
      <x:c r="D234" s="28" t="n">
        <x:v>45913</x:v>
      </x:c>
      <x:c r="E234" s="18" t="str">
        <x:v>Acceso libre</x:v>
      </x:c>
      <x:c r="F234" s="18" t="str">
        <x:v>Primera parte</x:v>
      </x:c>
      <x:c r="G234" s="18" t="str">
        <x:v>A</x:v>
      </x:c>
      <x:c r="H234" s="18" t="str">
        <x:v>A/B</x:v>
      </x:c>
      <x:c r="I234" s="18" t="str">
        <x:v>Sí</x:v>
      </x:c>
      <x:c r="J234" s="18" t="str">
        <x:v>Modelo A usado como variante canónica; el modelo B oficial está archivado y permuta el orden y/o las opciones.</x:v>
      </x:c>
      <x:c r="K234" s="18" t="n">
        <x:v>51</x:v>
      </x:c>
      <x:c r="L234" s="18" t="str">
        <x:v>No</x:v>
      </x:c>
      <x:c r="M234" s="18" t="str">
        <x:v>De acuerdo con el artículo 14 del Reglamento General de Recaudación de la Seguridad Social, aprobado por eE Real Decreto 141512004, de II de junio, la alegación por el responsable subsidiario de la existencia de bienes realizables del deudor principal no producirá más efecto, en su caso, que la suspensión de la ejecución forzosa sobre eI patrimonio de aquél, hasta tanto se realicen dichos bienes y requerirá con carácter general:</x:v>
      </x:c>
      <x:c r="N234" s="18" t="str">
        <x:v>Que no se hubiera autorizado ya la enajenación de los bienes del responsable subsidiario, y que los bienes se identifiquen suficientemente para proceder a su traba y alcancen una valoración que suponga el diez por ciento del importe de la deuda.</x:v>
      </x:c>
      <x:c r="O234" s="18" t="str">
        <x:v>Que se hubiera autorizado la enajenación de los bienes del responsable subsidiario, y que los bienes señalados por éste se identifiquen suficientemente para proceder a su traba, radiquen en territorio nacional y alcancen una valoración que sea el doble del importe adeudado.</x:v>
      </x:c>
      <x:c r="P234" s="18" t="str">
        <x:v>Que no se hubiera autorizado ya la enajenación de los bienes del responsable subsidiario, y que los bienes se identifiquen suficientemente para proceder a su traba, radiquen en territorio nacional y alcancen una valoración que, en relación con la deuda y descontadas las cargas, justifique su enajenación forzosa.</x:v>
      </x:c>
      <x:c r="Q234" s="18" t="str">
        <x:v>Que se hubiera autorizado ya la enajenación de los bienes det responsable subsidiario; y que los bienes se identifiquen suficientemente para proceder a su traba y alcancen una valoración que suponga eI cincuenta por ciento del importe de la deuda reclamada.</x:v>
      </x:c>
      <x:c r="R234" s="18" t="str">
        <x:v>S05</x:v>
      </x:c>
      <x:c r="S234" s="18" t="n">
        <x:v>5</x:v>
      </x:c>
      <x:c r="T234" s="18" t="str">
        <x:v>Temario específico Seguridad Social</x:v>
      </x:c>
      <x:c r="U234" s="18" t="str">
        <x:v>La gestión recaudatoria: concepto, competencia y objeto. Responsables del pago. Requisitos para el pago. Medios de pago. Control de recaudación. Revisión de los actos de gestión recaudatoria. La recaudación en periodo voluntario. Efectos de la falta de cotización en período reglamentario. Recaudación de otros recursos. Aplazamientos. Devolución de ingresos indebidos. Capital coste de pensiones.</x:v>
      </x:c>
      <x:c r="V234" s="18" t="str">
        <x:v>S05</x:v>
      </x:c>
      <x:c r="W234" s="18" t="str"/>
      <x:c r="X234" s="18" t="str">
        <x:v>14</x:v>
      </x:c>
      <x:c r="Y234" s="18" t="str">
        <x:v>Causas de suspensión</x:v>
      </x:c>
      <x:c r="Z234" s="18" t="str">
        <x:v>Alta</x:v>
      </x:c>
      <x:c r="AA234" s="18" t="str">
        <x:v>S05</x:v>
      </x:c>
      <x:c r="AB234" s="18" t="str"/>
      <x:c r="AC234" s="18" t="str"/>
      <x:c r="AD234" s="18" t="str">
        <x:v>No</x:v>
      </x:c>
      <x:c r="AE234" s="18" t="str">
        <x:v>Teórico</x:v>
      </x:c>
      <x:c r="AF234" s="18" t="str">
        <x:v>C</x:v>
      </x:c>
      <x:c r="AG234" s="18" t="str">
        <x:v>C</x:v>
      </x:c>
      <x:c r="AH234" s="18" t="str">
        <x:v>Válida</x:v>
      </x:c>
      <x:c r="AI234" s="18" t="str">
        <x:v>01. Información oficial de la oposición\Exámenes oficiales anteriores\2025 Convocatoria 2024 - Acceso libre Modelo A.pdf</x:v>
      </x:c>
      <x:c r="AJ234" s="18" t="str">
        <x:v>https://www.seg-social.es/wps/portal/wss/internet/InformacionUtil/9950/88beb45d-ca83-4bab-8162-f94ef2894562/7e46efac-32c8-4cf6-b3d3-d592c3560dff/rdpi_administrativos_2024</x:v>
      </x:c>
      <x:c r="AK234" s="18" t="str">
        <x:v>OCR Windows es-ES sobre PDF oficial</x:v>
      </x:c>
      <x:c r="AL234" s="18" t="n">
        <x:v>100</x:v>
      </x:c>
      <x:c r="AM234" s="18" t="str">
        <x:v>Alta</x:v>
      </x:c>
      <x:c r="AN234" s="18" t="str">
        <x:v>Regla jurídica determinista</x:v>
      </x:c>
      <x:c r="AO234" s="18" t="str">
        <x:v>2025_conv2024_ordinario_A-T51</x:v>
      </x:c>
      <x:c r="AP234" s="18" t="n">
        <x:v>1</x:v>
      </x:c>
    </x:row>
    <x:row r="235">
      <x:c r="A235" s="18" t="str">
        <x:v>2025_conv2024_ordinario_A-T52</x:v>
      </x:c>
      <x:c r="B235" s="18" t="n">
        <x:v>2025</x:v>
      </x:c>
      <x:c r="C235" s="18" t="n">
        <x:v>2024</x:v>
      </x:c>
      <x:c r="D235" s="28" t="n">
        <x:v>45913</x:v>
      </x:c>
      <x:c r="E235" s="18" t="str">
        <x:v>Acceso libre</x:v>
      </x:c>
      <x:c r="F235" s="18" t="str">
        <x:v>Primera parte</x:v>
      </x:c>
      <x:c r="G235" s="18" t="str">
        <x:v>A</x:v>
      </x:c>
      <x:c r="H235" s="18" t="str">
        <x:v>A/B</x:v>
      </x:c>
      <x:c r="I235" s="18" t="str">
        <x:v>Sí</x:v>
      </x:c>
      <x:c r="J235" s="18" t="str">
        <x:v>Modelo A usado como variante canónica; el modelo B oficial está archivado y permuta el orden y/o las opciones.</x:v>
      </x:c>
      <x:c r="K235" s="18" t="n">
        <x:v>52</x:v>
      </x:c>
      <x:c r="L235" s="18" t="str">
        <x:v>No</x:v>
      </x:c>
      <x:c r="M235" s="18" t="str">
        <x:v>EI artículo 201 del texto refundido de la Ley General de la Seguridad Social define las lesiones permanentes no incapacitantes como aquellas lesiones, mutilaciones y deformidades:</x:v>
      </x:c>
      <x:c r="N235" s="18" t="str">
        <x:v>De carácter definitivo, causadas por accidentes de trabajo o enfermedades profesionales que, sin llegar a constituir una incapacidad permanente, supongan una disminución o alteración de la integridad física o psíquica del trabajador.</x:v>
      </x:c>
      <x:c r="O235" s="18" t="str">
        <x:v>De carácter temporal, causadas por contingencias comunes o profesionales que, sin llegar a constituir una incapacidad permanente, supongan una disminución o alteración de la integridad física det trabajador.</x:v>
      </x:c>
      <x:c r="P235" s="18" t="str">
        <x:v>De carácter definitivo, causadas por contingencias comunes o profesionales que: sin llegar a constituir una incapacidad permanente, supongan una disminución o alteración de la integridad física o psíquica del trabajador.</x:v>
      </x:c>
      <x:c r="Q235" s="18" t="str">
        <x:v>De carácter definitivo, causadas por accidentes de trabajo o enfermedades profesionales que, sin llegar a constituir una incapacidad permanente, supongan una disminución o alteración de la integridad física del trabajador.</x:v>
      </x:c>
      <x:c r="R235" s="18" t="str">
        <x:v>S08</x:v>
      </x:c>
      <x:c r="S235" s="18" t="n">
        <x:v>8</x:v>
      </x:c>
      <x:c r="T235" s="18" t="str">
        <x:v>Temario específico Seguridad Social</x:v>
      </x:c>
      <x:c r="U235" s="18" t="str">
        <x:v>Incapacidad temporal: concepto y causas que motivan esta situación. Beneficiarios. Prestación económica: determinación y cuantía. Nacimiento, duración y extinción del derecho al subsidio. Reconocimiento y pago. Control de la incapacidad. Incapacidad permanente contributiva: concepto. Grados de incapacidad. Prestaciones. Determinación y cuantía. Beneficiarios. Nacimiento, duración y extinción del derecho. Lesiones permanentes no incapacitantes. La calificación y revisión de la incapacidad permanente.</x:v>
      </x:c>
      <x:c r="V235" s="18" t="str">
        <x:v>S08</x:v>
      </x:c>
      <x:c r="W235" s="18" t="str">
        <x:v>texto refundido de la Ley General de la Seguridad Social</x:v>
      </x:c>
      <x:c r="X235" s="18" t="str">
        <x:v>201</x:v>
      </x:c>
      <x:c r="Y235" s="18" t="str">
        <x:v>Incapacidad</x:v>
      </x:c>
      <x:c r="Z235" s="18" t="str">
        <x:v>Media</x:v>
      </x:c>
      <x:c r="AA235" s="18" t="str">
        <x:v>S08</x:v>
      </x:c>
      <x:c r="AB235" s="18" t="str"/>
      <x:c r="AC235" s="18" t="str"/>
      <x:c r="AD235" s="18" t="str">
        <x:v>No</x:v>
      </x:c>
      <x:c r="AE235" s="18" t="str">
        <x:v>Teórico</x:v>
      </x:c>
      <x:c r="AF235" s="18" t="str">
        <x:v>D</x:v>
      </x:c>
      <x:c r="AG235" s="18" t="str">
        <x:v>D</x:v>
      </x:c>
      <x:c r="AH235" s="18" t="str">
        <x:v>Válida</x:v>
      </x:c>
      <x:c r="AI235" s="18" t="str">
        <x:v>01. Información oficial de la oposición\Exámenes oficiales anteriores\2025 Convocatoria 2024 - Acceso libre Modelo A.pdf</x:v>
      </x:c>
      <x:c r="AJ235" s="18" t="str">
        <x:v>https://www.seg-social.es/wps/portal/wss/internet/InformacionUtil/9950/88beb45d-ca83-4bab-8162-f94ef2894562/7e46efac-32c8-4cf6-b3d3-d592c3560dff/rdpi_administrativos_2024</x:v>
      </x:c>
      <x:c r="AK235" s="18" t="str">
        <x:v>OCR Windows es-ES sobre PDF oficial</x:v>
      </x:c>
      <x:c r="AL235" s="18" t="n">
        <x:v>100</x:v>
      </x:c>
      <x:c r="AM235" s="18" t="str">
        <x:v>Alta</x:v>
      </x:c>
      <x:c r="AN235" s="18" t="str">
        <x:v>Regla jurídica determinista</x:v>
      </x:c>
      <x:c r="AO235" s="18" t="str">
        <x:v>2025_conv2024_ordinario_A-T52</x:v>
      </x:c>
      <x:c r="AP235" s="18" t="n">
        <x:v>1</x:v>
      </x:c>
    </x:row>
    <x:row r="236">
      <x:c r="A236" s="18" t="str">
        <x:v>2025_conv2024_ordinario_A-T53</x:v>
      </x:c>
      <x:c r="B236" s="18" t="n">
        <x:v>2025</x:v>
      </x:c>
      <x:c r="C236" s="18" t="n">
        <x:v>2024</x:v>
      </x:c>
      <x:c r="D236" s="28" t="n">
        <x:v>45913</x:v>
      </x:c>
      <x:c r="E236" s="18" t="str">
        <x:v>Acceso libre</x:v>
      </x:c>
      <x:c r="F236" s="18" t="str">
        <x:v>Primera parte</x:v>
      </x:c>
      <x:c r="G236" s="18" t="str">
        <x:v>A</x:v>
      </x:c>
      <x:c r="H236" s="18" t="str">
        <x:v>A/B</x:v>
      </x:c>
      <x:c r="I236" s="18" t="str">
        <x:v>Sí</x:v>
      </x:c>
      <x:c r="J236" s="18" t="str">
        <x:v>Modelo A usado como variante canónica; el modelo B oficial está archivado y permuta el orden y/o las opciones.</x:v>
      </x:c>
      <x:c r="K236" s="18" t="n">
        <x:v>53</x:v>
      </x:c>
      <x:c r="L236" s="18" t="str">
        <x:v>No</x:v>
      </x:c>
      <x:c r="M236" s="18" t="str">
        <x:v>Según el artículo 360 del texto refundido de la Ley General de la Seguridad Social, ¿cuál es la cuantía de la prestación económica por parto o adopción múltiples cuando eI número de hijos nacido o adoptados es de tres?</x:v>
      </x:c>
      <x:c r="N236" s="18" t="str">
        <x:v>Dos veces el Salario Mínimo Interprofesional.</x:v>
      </x:c>
      <x:c r="O236" s="18" t="str">
        <x:v>Seis veces el Indicador Público de Renta de Efectos Múltiples.</x:v>
      </x:c>
      <x:c r="P236" s="18" t="str">
        <x:v>Seis veces el Salario Minimo Interprofesional.</x:v>
      </x:c>
      <x:c r="Q236" s="18" t="str">
        <x:v>Ocho veces el Salario Mínimo Interprofesional.</x:v>
      </x:c>
      <x:c r="R236" s="18" t="str">
        <x:v>S09</x:v>
      </x:c>
      <x:c r="S236" s="18" t="n">
        <x:v>9</x:v>
      </x:c>
      <x:c r="T236" s="18" t="str">
        <x:v>Temario específico Seguridad Social</x:v>
      </x:c>
      <x:c r="U236" s="18" t="str">
        <x:v>Nacimiento y cuidado de menor. Ejercicio corresponsable del cuidado del lactante. Prestación por riesgo durante el embarazo. Prestación por riesgo durante la lactancia natural. Asignación económica por hijo o menor acogido a cargo. Prestación económica por nacimiento o adopción de hijo en supuestos de familias numerosas o monoparentales y en los casos de madres o padres con discapacidad. Prestación por parto o adopción Subsidio por cuidado de menores afectados por cáncer u otra enfermedad grave.</x:v>
      </x:c>
      <x:c r="V236" s="18" t="str">
        <x:v>S09</x:v>
      </x:c>
      <x:c r="W236" s="18" t="str">
        <x:v>texto refundido de la Ley General de la Seguridad Social</x:v>
      </x:c>
      <x:c r="X236" s="18" t="str">
        <x:v>360</x:v>
      </x:c>
      <x:c r="Y236" s="18" t="str">
        <x:v>Cálculos</x:v>
      </x:c>
      <x:c r="Z236" s="18" t="str">
        <x:v>Media</x:v>
      </x:c>
      <x:c r="AA236" s="18" t="str">
        <x:v>S09</x:v>
      </x:c>
      <x:c r="AB236" s="18" t="str"/>
      <x:c r="AC236" s="18" t="str"/>
      <x:c r="AD236" s="18" t="str">
        <x:v>No</x:v>
      </x:c>
      <x:c r="AE236" s="18" t="str">
        <x:v>Teórico</x:v>
      </x:c>
      <x:c r="AF236" s="18" t="str">
        <x:v>D</x:v>
      </x:c>
      <x:c r="AG236" s="18" t="str">
        <x:v>D</x:v>
      </x:c>
      <x:c r="AH236" s="18" t="str">
        <x:v>Válida</x:v>
      </x:c>
      <x:c r="AI236" s="18" t="str">
        <x:v>01. Información oficial de la oposición\Exámenes oficiales anteriores\2025 Convocatoria 2024 - Acceso libre Modelo A.pdf</x:v>
      </x:c>
      <x:c r="AJ236" s="18" t="str">
        <x:v>https://www.seg-social.es/wps/portal/wss/internet/InformacionUtil/9950/88beb45d-ca83-4bab-8162-f94ef2894562/7e46efac-32c8-4cf6-b3d3-d592c3560dff/rdpi_administrativos_2024</x:v>
      </x:c>
      <x:c r="AK236" s="18" t="str">
        <x:v>OCR Windows es-ES sobre PDF oficial</x:v>
      </x:c>
      <x:c r="AL236" s="18" t="n">
        <x:v>100</x:v>
      </x:c>
      <x:c r="AM236" s="18" t="str">
        <x:v>Alta</x:v>
      </x:c>
      <x:c r="AN236" s="18" t="str">
        <x:v>Regla jurídica determinista</x:v>
      </x:c>
      <x:c r="AO236" s="18" t="str">
        <x:v>2025_conv2024_ordinario_A-T53</x:v>
      </x:c>
      <x:c r="AP236" s="18" t="n">
        <x:v>1</x:v>
      </x:c>
    </x:row>
    <x:row r="237">
      <x:c r="A237" s="18" t="str">
        <x:v>2025_conv2024_ordinario_A-T54</x:v>
      </x:c>
      <x:c r="B237" s="18" t="n">
        <x:v>2025</x:v>
      </x:c>
      <x:c r="C237" s="18" t="n">
        <x:v>2024</x:v>
      </x:c>
      <x:c r="D237" s="28" t="n">
        <x:v>45913</x:v>
      </x:c>
      <x:c r="E237" s="18" t="str">
        <x:v>Acceso libre</x:v>
      </x:c>
      <x:c r="F237" s="18" t="str">
        <x:v>Primera parte</x:v>
      </x:c>
      <x:c r="G237" s="18" t="str">
        <x:v>A</x:v>
      </x:c>
      <x:c r="H237" s="18" t="str">
        <x:v>A/B</x:v>
      </x:c>
      <x:c r="I237" s="18" t="str">
        <x:v>Sí</x:v>
      </x:c>
      <x:c r="J237" s="18" t="str">
        <x:v>Modelo A usado como variante canónica; el modelo B oficial está archivado y permuta el orden y/o las opciones.</x:v>
      </x:c>
      <x:c r="K237" s="18" t="n">
        <x:v>54</x:v>
      </x:c>
      <x:c r="L237" s="18" t="str">
        <x:v>No</x:v>
      </x:c>
      <x:c r="M237" s="18" t="str">
        <x:v>Tal y como se regula en el artículo 185 del texto refundido de la Ley Genera! de la Seguridad Social ¿cuál de las siguientes prestaciones económicas consiste en un subsidio equivalente al 100 por ciento de la base reguladora establecida para la prestación de incapacidad temporal derivada de contingencias comunes?:</x:v>
      </x:c>
      <x:c r="N237" s="18" t="str">
        <x:v>Corresponsabilidad en e] cuidado del lactante.</x:v>
      </x:c>
      <x:c r="O237" s="18" t="str">
        <x:v>Riesgo durante el embarazo.</x:v>
      </x:c>
      <x:c r="P237" s="18" t="str">
        <x:v>Riesgo durante la lactancia natural.</x:v>
      </x:c>
      <x:c r="Q237" s="18" t="str">
        <x:v>Cuidado de menores afectados por cáncer u otra enfermedad grave.</x:v>
      </x:c>
      <x:c r="R237" s="18" t="str">
        <x:v>S09</x:v>
      </x:c>
      <x:c r="S237" s="18" t="n">
        <x:v>9</x:v>
      </x:c>
      <x:c r="T237" s="18" t="str">
        <x:v>Temario específico Seguridad Social</x:v>
      </x:c>
      <x:c r="U237" s="18" t="str">
        <x:v>Nacimiento y cuidado de menor. Ejercicio corresponsable del cuidado del lactante. Prestación por riesgo durante el embarazo. Prestación por riesgo durante la lactancia natural. Asignación económica por hijo o menor acogido a cargo. Prestación económica por nacimiento o adopción de hijo en supuestos de familias numerosas o monoparentales y en los casos de madres o padres con discapacidad. Prestación por parto o adopción Subsidio por cuidado de menores afectados por cáncer u otra enfermedad grave.</x:v>
      </x:c>
      <x:c r="V237" s="18" t="str">
        <x:v>incapacidad temporal</x:v>
      </x:c>
      <x:c r="W237" s="18" t="str"/>
      <x:c r="X237" s="18" t="str">
        <x:v>185</x:v>
      </x:c>
      <x:c r="Y237" s="18" t="str">
        <x:v>Cálculos</x:v>
      </x:c>
      <x:c r="Z237" s="18" t="str">
        <x:v>Media</x:v>
      </x:c>
      <x:c r="AA237" s="18" t="str">
        <x:v>incapacidad temporal</x:v>
      </x:c>
      <x:c r="AB237" s="18" t="str"/>
      <x:c r="AC237" s="18" t="str">
        <x:v>100 por ciento</x:v>
      </x:c>
      <x:c r="AD237" s="18" t="str">
        <x:v>No</x:v>
      </x:c>
      <x:c r="AE237" s="18" t="str">
        <x:v>Teórico</x:v>
      </x:c>
      <x:c r="AF237" s="18" t="str">
        <x:v>A</x:v>
      </x:c>
      <x:c r="AG237" s="18" t="str">
        <x:v>A</x:v>
      </x:c>
      <x:c r="AH237" s="18" t="str">
        <x:v>Válida</x:v>
      </x:c>
      <x:c r="AI237" s="18" t="str">
        <x:v>01. Información oficial de la oposición\Exámenes oficiales anteriores\2025 Convocatoria 2024 - Acceso libre Modelo A.pdf</x:v>
      </x:c>
      <x:c r="AJ237" s="18" t="str">
        <x:v>https://www.seg-social.es/wps/portal/wss/internet/InformacionUtil/9950/88beb45d-ca83-4bab-8162-f94ef2894562/7e46efac-32c8-4cf6-b3d3-d592c3560dff/rdpi_administrativos_2024</x:v>
      </x:c>
      <x:c r="AK237" s="18" t="str">
        <x:v>OCR Windows es-ES sobre PDF oficial</x:v>
      </x:c>
      <x:c r="AL237" s="18" t="n">
        <x:v>100</x:v>
      </x:c>
      <x:c r="AM237" s="18" t="str">
        <x:v>Alta</x:v>
      </x:c>
      <x:c r="AN237" s="18" t="str">
        <x:v>Revisión jurídica individual</x:v>
      </x:c>
      <x:c r="AO237" s="18" t="str">
        <x:v>2025_conv2024_ordinario_A-T54</x:v>
      </x:c>
      <x:c r="AP237" s="18" t="n">
        <x:v>1</x:v>
      </x:c>
    </x:row>
    <x:row r="238">
      <x:c r="A238" s="18" t="str">
        <x:v>2025_conv2024_ordinario_A-T55</x:v>
      </x:c>
      <x:c r="B238" s="18" t="n">
        <x:v>2025</x:v>
      </x:c>
      <x:c r="C238" s="18" t="n">
        <x:v>2024</x:v>
      </x:c>
      <x:c r="D238" s="28" t="n">
        <x:v>45913</x:v>
      </x:c>
      <x:c r="E238" s="18" t="str">
        <x:v>Acceso libre</x:v>
      </x:c>
      <x:c r="F238" s="18" t="str">
        <x:v>Primera parte</x:v>
      </x:c>
      <x:c r="G238" s="18" t="str">
        <x:v>A</x:v>
      </x:c>
      <x:c r="H238" s="18" t="str">
        <x:v>A/B</x:v>
      </x:c>
      <x:c r="I238" s="18" t="str">
        <x:v>Sí</x:v>
      </x:c>
      <x:c r="J238" s="18" t="str">
        <x:v>Modelo A usado como variante canónica; el modelo B oficial está archivado y permuta el orden y/o las opciones.</x:v>
      </x:c>
      <x:c r="K238" s="18" t="n">
        <x:v>55</x:v>
      </x:c>
      <x:c r="L238" s="18" t="str">
        <x:v>No</x:v>
      </x:c>
      <x:c r="M238" s="18" t="str">
        <x:v>Conforme con eI artículo 358 del texto refundido de la Ley General de la Seguridad Social, ¿Cuál es la cuantía de la prestación económica en los casos de nacimiento o adopción de hijo en España en una familia numerosa o que, con tal motivo, adquiera dicha condición, en una familia monoparental o en los supuestos de madres o padres que tengan reconocido un grado de discapacidad igual o superior al 65 por ciento? :</x:v>
      </x:c>
      <x:c r="N238" s="18" t="str">
        <x:v>La cuantía de la prestación por nacimiento o adopción se fijará, en su importe anual: en la correspondiente ley de presupuestos generales del Estado.</x:v>
      </x:c>
      <x:c r="O238" s="18" t="str">
        <x:v>La prestación por nacimiento o adopción de hijo consistirá en un pago único de 1.000 euros.</x:v>
      </x:c>
      <x:c r="P238" s="18" t="str">
        <x:v>La cuantía de la prestación será de un pago equivalente a 4 veces el salario mínimo interprofesional</x:v>
      </x:c>
      <x:c r="Q238" s="18" t="str">
        <x:v>La cuantía de la prestación será igual al 100 por ciento del indicador público de renta de efectos múltiples (IPREM) vigente en cada momento.</x:v>
      </x:c>
      <x:c r="R238" s="18" t="str">
        <x:v>S09</x:v>
      </x:c>
      <x:c r="S238" s="18" t="n">
        <x:v>9</x:v>
      </x:c>
      <x:c r="T238" s="18" t="str">
        <x:v>Temario específico Seguridad Social</x:v>
      </x:c>
      <x:c r="U238" s="18" t="str">
        <x:v>Nacimiento y cuidado de menor. Ejercicio corresponsable del cuidado del lactante. Prestación por riesgo durante el embarazo. Prestación por riesgo durante la lactancia natural. Asignación económica por hijo o menor acogido a cargo. Prestación económica por nacimiento o adopción de hijo en supuestos de familias numerosas o monoparentales y en los casos de madres o padres con discapacidad. Prestación por parto o adopción Subsidio por cuidado de menores afectados por cáncer u otra enfermedad grave.</x:v>
      </x:c>
      <x:c r="V238" s="18" t="str">
        <x:v>S09</x:v>
      </x:c>
      <x:c r="W238" s="18" t="str">
        <x:v>texto refundido de la Ley General de la Seguridad Social</x:v>
      </x:c>
      <x:c r="X238" s="18" t="str">
        <x:v>358</x:v>
      </x:c>
      <x:c r="Y238" s="18" t="str">
        <x:v>Cálculos</x:v>
      </x:c>
      <x:c r="Z238" s="18" t="str">
        <x:v>Alta</x:v>
      </x:c>
      <x:c r="AA238" s="18" t="str">
        <x:v>S09</x:v>
      </x:c>
      <x:c r="AB238" s="18" t="str"/>
      <x:c r="AC238" s="18" t="str">
        <x:v>65 por ciento</x:v>
      </x:c>
      <x:c r="AD238" s="18" t="str">
        <x:v>No</x:v>
      </x:c>
      <x:c r="AE238" s="18" t="str">
        <x:v>Teórico</x:v>
      </x:c>
      <x:c r="AF238" s="18" t="str">
        <x:v>B</x:v>
      </x:c>
      <x:c r="AG238" s="18" t="str">
        <x:v>B</x:v>
      </x:c>
      <x:c r="AH238" s="18" t="str">
        <x:v>Válida</x:v>
      </x:c>
      <x:c r="AI238" s="18" t="str">
        <x:v>01. Información oficial de la oposición\Exámenes oficiales anteriores\2025 Convocatoria 2024 - Acceso libre Modelo A.pdf</x:v>
      </x:c>
      <x:c r="AJ238" s="18" t="str">
        <x:v>https://www.seg-social.es/wps/portal/wss/internet/InformacionUtil/9950/88beb45d-ca83-4bab-8162-f94ef2894562/7e46efac-32c8-4cf6-b3d3-d592c3560dff/rdpi_administrativos_2024</x:v>
      </x:c>
      <x:c r="AK238" s="18" t="str">
        <x:v>OCR Windows es-ES sobre PDF oficial</x:v>
      </x:c>
      <x:c r="AL238" s="18" t="n">
        <x:v>100</x:v>
      </x:c>
      <x:c r="AM238" s="18" t="str">
        <x:v>Alta</x:v>
      </x:c>
      <x:c r="AN238" s="18" t="str">
        <x:v>Regla jurídica determinista</x:v>
      </x:c>
      <x:c r="AO238" s="18" t="str">
        <x:v>2025_conv2024_ordinario_A-T55</x:v>
      </x:c>
      <x:c r="AP238" s="18" t="n">
        <x:v>1</x:v>
      </x:c>
    </x:row>
    <x:row r="239">
      <x:c r="A239" s="18" t="str">
        <x:v>2025_conv2024_ordinario_A-T56</x:v>
      </x:c>
      <x:c r="B239" s="18" t="n">
        <x:v>2025</x:v>
      </x:c>
      <x:c r="C239" s="18" t="n">
        <x:v>2024</x:v>
      </x:c>
      <x:c r="D239" s="28" t="n">
        <x:v>45913</x:v>
      </x:c>
      <x:c r="E239" s="18" t="str">
        <x:v>Acceso libre</x:v>
      </x:c>
      <x:c r="F239" s="18" t="str">
        <x:v>Primera parte</x:v>
      </x:c>
      <x:c r="G239" s="18" t="str">
        <x:v>A</x:v>
      </x:c>
      <x:c r="H239" s="18" t="str">
        <x:v>A/B</x:v>
      </x:c>
      <x:c r="I239" s="18" t="str">
        <x:v>Sí</x:v>
      </x:c>
      <x:c r="J239" s="18" t="str">
        <x:v>Modelo A usado como variante canónica; el modelo B oficial está archivado y permuta el orden y/o las opciones.</x:v>
      </x:c>
      <x:c r="K239" s="18" t="n">
        <x:v>56</x:v>
      </x:c>
      <x:c r="L239" s="18" t="str">
        <x:v>No</x:v>
      </x:c>
      <x:c r="M239" s="18" t="str">
        <x:v>EI artículo 48 del texto refundido de la Ley del Estatuto de los Trabajadores establece que en los casos de parto prematuro con falta de peso y en aquellos otros en que el neonato precise, por alguna condición clínica, hospitalización a continuación del parto, por un período superior a siete días, ¿en cuantos días se ampliará el período de suspensión con reserva de puesto de trabajo?:</x:v>
      </x:c>
      <x:c r="N239" s="18" t="str">
        <x:v>En tantos días como el nacido se encuentre hospitalizado, con un máximo de doce semanas adicionales, y en los términos en que reglamentariamente se desarrolle.</x:v>
      </x:c>
      <x:c r="O239" s="18" t="str">
        <x:v>En tantos días como eE nacido se encuentre hospitalizado, con un máximo de trece semanas adicionales, y en los términos en que reglamentariamente se desarrolle.</x:v>
      </x:c>
      <x:c r="P239" s="18" t="str">
        <x:v>En tantos días como el nacido se encuentre hospitalizado, con un máximo de quince semanas adicionales, y en los términos en que reglamentariamente se desarrolle.</x:v>
      </x:c>
      <x:c r="Q239" s="18" t="str">
        <x:v>En tantos días como el nacido se encuentre hospitalizado, con un máximo de dieciséis semanas adicionales, y en los términos en que reglamentariamente se desarrolle.</x:v>
      </x:c>
      <x:c r="R239" s="18" t="str">
        <x:v>S09</x:v>
      </x:c>
      <x:c r="S239" s="18" t="n">
        <x:v>9</x:v>
      </x:c>
      <x:c r="T239" s="18" t="str">
        <x:v>Temario específico Seguridad Social</x:v>
      </x:c>
      <x:c r="U239" s="18" t="str">
        <x:v>Nacimiento y cuidado de menor. Ejercicio corresponsable del cuidado del lactante. Prestación por riesgo durante el embarazo. Prestación por riesgo durante la lactancia natural. Asignación económica por hijo o menor acogido a cargo. Prestación económica por nacimiento o adopción de hijo en supuestos de familias numerosas o monoparentales y en los casos de madres o padres con discapacidad. Prestación por parto o adopción Subsidio por cuidado de menores afectados por cáncer u otra enfermedad grave.</x:v>
      </x:c>
      <x:c r="V239" s="18" t="str">
        <x:v>S09</x:v>
      </x:c>
      <x:c r="W239" s="18" t="str"/>
      <x:c r="X239" s="18" t="str">
        <x:v>48</x:v>
      </x:c>
      <x:c r="Y239" s="18" t="str">
        <x:v>Plazos</x:v>
      </x:c>
      <x:c r="Z239" s="18" t="str">
        <x:v>Alta</x:v>
      </x:c>
      <x:c r="AA239" s="18" t="str">
        <x:v>S09</x:v>
      </x:c>
      <x:c r="AB239" s="18" t="str"/>
      <x:c r="AC239" s="18" t="str"/>
      <x:c r="AD239" s="18" t="str">
        <x:v>No</x:v>
      </x:c>
      <x:c r="AE239" s="18" t="str">
        <x:v>Teórico</x:v>
      </x:c>
      <x:c r="AF239" s="18" t="str">
        <x:v>B</x:v>
      </x:c>
      <x:c r="AG239" s="18" t="str">
        <x:v>B</x:v>
      </x:c>
      <x:c r="AH239" s="18" t="str">
        <x:v>Válida</x:v>
      </x:c>
      <x:c r="AI239" s="18" t="str">
        <x:v>01. Información oficial de la oposición\Exámenes oficiales anteriores\2025 Convocatoria 2024 - Acceso libre Modelo A.pdf</x:v>
      </x:c>
      <x:c r="AJ239" s="18" t="str">
        <x:v>https://www.seg-social.es/wps/portal/wss/internet/InformacionUtil/9950/88beb45d-ca83-4bab-8162-f94ef2894562/7e46efac-32c8-4cf6-b3d3-d592c3560dff/rdpi_administrativos_2024</x:v>
      </x:c>
      <x:c r="AK239" s="18" t="str">
        <x:v>OCR Windows es-ES sobre PDF oficial</x:v>
      </x:c>
      <x:c r="AL239" s="18" t="n">
        <x:v>100</x:v>
      </x:c>
      <x:c r="AM239" s="18" t="str">
        <x:v>Alta</x:v>
      </x:c>
      <x:c r="AN239" s="18" t="str">
        <x:v>Revisión jurídica individual</x:v>
      </x:c>
      <x:c r="AO239" s="18" t="str">
        <x:v>2025_conv2024_ordinario_A-T56</x:v>
      </x:c>
      <x:c r="AP239" s="18" t="n">
        <x:v>1</x:v>
      </x:c>
    </x:row>
    <x:row r="240">
      <x:c r="A240" s="18" t="str">
        <x:v>2025_conv2024_ordinario_A-T57</x:v>
      </x:c>
      <x:c r="B240" s="18" t="n">
        <x:v>2025</x:v>
      </x:c>
      <x:c r="C240" s="18" t="n">
        <x:v>2024</x:v>
      </x:c>
      <x:c r="D240" s="28" t="n">
        <x:v>45913</x:v>
      </x:c>
      <x:c r="E240" s="18" t="str">
        <x:v>Acceso libre</x:v>
      </x:c>
      <x:c r="F240" s="18" t="str">
        <x:v>Primera parte</x:v>
      </x:c>
      <x:c r="G240" s="18" t="str">
        <x:v>A</x:v>
      </x:c>
      <x:c r="H240" s="18" t="str">
        <x:v>A/B</x:v>
      </x:c>
      <x:c r="I240" s="18" t="str">
        <x:v>Sí</x:v>
      </x:c>
      <x:c r="J240" s="18" t="str">
        <x:v>Modelo A usado como variante canónica; el modelo B oficial está archivado y permuta el orden y/o las opciones.</x:v>
      </x:c>
      <x:c r="K240" s="18" t="n">
        <x:v>57</x:v>
      </x:c>
      <x:c r="L240" s="18" t="str">
        <x:v>No</x:v>
      </x:c>
      <x:c r="M240" s="18" t="str">
        <x:v>En la jubilación anticipada regulada en el artículo 215 del texto refundido de ta Ley General de la Seguridad Social, para poder acceder a la misma sin necesidad de la celebración simultánea de un contrato de relevo, entre otros requisitas:</x:v>
      </x:c>
      <x:c r="N240" s="18" t="str">
        <x:v>Se deberá producir una reducción de la jornada de trabajo comprendida entre un mínimo del 25 por ciento y un máximo del 75 por ciento.</x:v>
      </x:c>
      <x:c r="O240" s="18" t="str">
        <x:v>Se deberá producir una reducción de la jornada de trabajo comprendida entre un mínimo del 25 por ciento y un máximo del 65 por ciento.</x:v>
      </x:c>
      <x:c r="P240" s="18" t="str">
        <x:v>Se deberá producir una reducción de la jornada de trabajo comprendida entre un mínimo del 1 5 por ciento y un máximo del 50 por ciento,</x:v>
      </x:c>
      <x:c r="Q240" s="18" t="str">
        <x:v>Se deberá producir una reducción de la jornada de trabajo comprendida entre un mínimo del 50 por ciento y un máximo del 95 por ciento.</x:v>
      </x:c>
      <x:c r="R240" s="18" t="str">
        <x:v>S10</x:v>
      </x:c>
      <x:c r="S240" s="18" t="n">
        <x:v>10</x:v>
      </x:c>
      <x:c r="T240" s="18" t="str">
        <x:v>Temario específico Seguridad Social</x:v>
      </x:c>
      <x:c r="U240" s="18" t="str">
        <x:v>Jubilación en la modalidad contributiva: concepto. Jubilación ordinaria: requisitos: especial referencia a la edad de jubilación. Determinación de la cuantía de la prestación: base reguladora y porcentaje. Jubilación anticipada, jubilación parcial y jubilación flexible. Compatibilidad de la pensión de jubilación y el trabajo. Suspensión y extinción de la prestación. Especial referencia a la aplicación de la normativa anterior a la Ley 27/2011.</x:v>
      </x:c>
      <x:c r="V240" s="18" t="str">
        <x:v>jubilación anticipada</x:v>
      </x:c>
      <x:c r="W240" s="18" t="str"/>
      <x:c r="X240" s="18" t="str">
        <x:v>215</x:v>
      </x:c>
      <x:c r="Y240" s="18" t="str">
        <x:v>Jubilación</x:v>
      </x:c>
      <x:c r="Z240" s="18" t="str">
        <x:v>Media</x:v>
      </x:c>
      <x:c r="AA240" s="18" t="str">
        <x:v>jubilación anticipada</x:v>
      </x:c>
      <x:c r="AB240" s="18" t="str">
        <x:v>ISM</x:v>
      </x:c>
      <x:c r="AC240" s="18" t="str"/>
      <x:c r="AD240" s="18" t="str">
        <x:v>No</x:v>
      </x:c>
      <x:c r="AE240" s="18" t="str">
        <x:v>Teórico</x:v>
      </x:c>
      <x:c r="AF240" s="18" t="str">
        <x:v>A</x:v>
      </x:c>
      <x:c r="AG240" s="18" t="str">
        <x:v>A</x:v>
      </x:c>
      <x:c r="AH240" s="18" t="str">
        <x:v>Válida</x:v>
      </x:c>
      <x:c r="AI240" s="18" t="str">
        <x:v>01. Información oficial de la oposición\Exámenes oficiales anteriores\2025 Convocatoria 2024 - Acceso libre Modelo A.pdf</x:v>
      </x:c>
      <x:c r="AJ240" s="18" t="str">
        <x:v>https://www.seg-social.es/wps/portal/wss/internet/InformacionUtil/9950/88beb45d-ca83-4bab-8162-f94ef2894562/7e46efac-32c8-4cf6-b3d3-d592c3560dff/rdpi_administrativos_2024</x:v>
      </x:c>
      <x:c r="AK240" s="18" t="str">
        <x:v>OCR Windows es-ES sobre PDF oficial</x:v>
      </x:c>
      <x:c r="AL240" s="18" t="n">
        <x:v>100</x:v>
      </x:c>
      <x:c r="AM240" s="18" t="str">
        <x:v>Alta</x:v>
      </x:c>
      <x:c r="AN240" s="18" t="str">
        <x:v>Regla jurídica determinista</x:v>
      </x:c>
      <x:c r="AO240" s="18" t="str">
        <x:v>2025_conv2024_ordinario_A-T57</x:v>
      </x:c>
      <x:c r="AP240" s="18" t="n">
        <x:v>1</x:v>
      </x:c>
    </x:row>
    <x:row r="241">
      <x:c r="A241" s="18" t="str">
        <x:v>2025_conv2024_ordinario_A-T58</x:v>
      </x:c>
      <x:c r="B241" s="18" t="n">
        <x:v>2025</x:v>
      </x:c>
      <x:c r="C241" s="18" t="n">
        <x:v>2024</x:v>
      </x:c>
      <x:c r="D241" s="28" t="n">
        <x:v>45913</x:v>
      </x:c>
      <x:c r="E241" s="18" t="str">
        <x:v>Acceso libre</x:v>
      </x:c>
      <x:c r="F241" s="18" t="str">
        <x:v>Primera parte</x:v>
      </x:c>
      <x:c r="G241" s="18" t="str">
        <x:v>A</x:v>
      </x:c>
      <x:c r="H241" s="18" t="str">
        <x:v>A/B</x:v>
      </x:c>
      <x:c r="I241" s="18" t="str">
        <x:v>Sí</x:v>
      </x:c>
      <x:c r="J241" s="18" t="str">
        <x:v>Modelo A usado como variante canónica; el modelo B oficial está archivado y permuta el orden y/o las opciones.</x:v>
      </x:c>
      <x:c r="K241" s="18" t="n">
        <x:v>58</x:v>
      </x:c>
      <x:c r="L241" s="18" t="str">
        <x:v>No</x:v>
      </x:c>
      <x:c r="M241" s="18" t="str">
        <x:v>Según el artículo 212 del texto refundida de la Ley General de la Seguridad Social, eI derecho al reconocimiento de la pensión de jubilación:</x:v>
      </x:c>
      <x:c r="N241" s="18" t="str">
        <x:v>Es imprescriptible, sin perjuicio de que, en los supuestos de jubilación en situación de alta, los efectos de tal reconocimiento se produzcan a partir de los tres meses anteriores a la fecha en que se presente la correspondiente solicitud.</x:v>
      </x:c>
      <x:c r="O241" s="18" t="str">
        <x:v>Prescribe a los tres meses de la fecha en que se causa eI derecho.</x:v>
      </x:c>
      <x:c r="P241" s="18" t="str">
        <x:v>Prescribe a los seis meses de la fecha en que se causa el derecho.</x:v>
      </x:c>
      <x:c r="Q241" s="18" t="str">
        <x:v>Prescribe al año de la fecha en que se causa el derecho.</x:v>
      </x:c>
      <x:c r="R241" s="18" t="str">
        <x:v>S10</x:v>
      </x:c>
      <x:c r="S241" s="18" t="n">
        <x:v>10</x:v>
      </x:c>
      <x:c r="T241" s="18" t="str">
        <x:v>Temario específico Seguridad Social</x:v>
      </x:c>
      <x:c r="U241" s="18" t="str">
        <x:v>Jubilación en la modalidad contributiva: concepto. Jubilación ordinaria: requisitos: especial referencia a la edad de jubilación. Determinación de la cuantía de la prestación: base reguladora y porcentaje. Jubilación anticipada, jubilación parcial y jubilación flexible. Compatibilidad de la pensión de jubilación y el trabajo. Suspensión y extinción de la prestación. Especial referencia a la aplicación de la normativa anterior a la Ley 27/2011.</x:v>
      </x:c>
      <x:c r="V241" s="18" t="str">
        <x:v>jubilación</x:v>
      </x:c>
      <x:c r="W241" s="18" t="str"/>
      <x:c r="X241" s="18" t="str">
        <x:v>212</x:v>
      </x:c>
      <x:c r="Y241" s="18" t="str">
        <x:v>Jubilación</x:v>
      </x:c>
      <x:c r="Z241" s="18" t="str">
        <x:v>Media</x:v>
      </x:c>
      <x:c r="AA241" s="18" t="str">
        <x:v>jubilación</x:v>
      </x:c>
      <x:c r="AB241" s="18" t="str"/>
      <x:c r="AC241" s="18" t="str"/>
      <x:c r="AD241" s="18" t="str">
        <x:v>No</x:v>
      </x:c>
      <x:c r="AE241" s="18" t="str">
        <x:v>Teórico</x:v>
      </x:c>
      <x:c r="AF241" s="18" t="str">
        <x:v>A</x:v>
      </x:c>
      <x:c r="AG241" s="18" t="str">
        <x:v>A</x:v>
      </x:c>
      <x:c r="AH241" s="18" t="str">
        <x:v>Válida</x:v>
      </x:c>
      <x:c r="AI241" s="18" t="str">
        <x:v>01. Información oficial de la oposición\Exámenes oficiales anteriores\2025 Convocatoria 2024 - Acceso libre Modelo A.pdf</x:v>
      </x:c>
      <x:c r="AJ241" s="18" t="str">
        <x:v>https://www.seg-social.es/wps/portal/wss/internet/InformacionUtil/9950/88beb45d-ca83-4bab-8162-f94ef2894562/7e46efac-32c8-4cf6-b3d3-d592c3560dff/rdpi_administrativos_2024</x:v>
      </x:c>
      <x:c r="AK241" s="18" t="str">
        <x:v>OCR Windows es-ES sobre PDF oficial</x:v>
      </x:c>
      <x:c r="AL241" s="18" t="n">
        <x:v>100</x:v>
      </x:c>
      <x:c r="AM241" s="18" t="str">
        <x:v>Alta</x:v>
      </x:c>
      <x:c r="AN241" s="18" t="str">
        <x:v>Regla jurídica determinista</x:v>
      </x:c>
      <x:c r="AO241" s="18" t="str">
        <x:v>2025_conv2024_ordinario_A-T58</x:v>
      </x:c>
      <x:c r="AP241" s="18" t="n">
        <x:v>1</x:v>
      </x:c>
    </x:row>
    <x:row r="242">
      <x:c r="A242" s="18" t="str">
        <x:v>2025_conv2024_ordinario_A-T59</x:v>
      </x:c>
      <x:c r="B242" s="18" t="n">
        <x:v>2025</x:v>
      </x:c>
      <x:c r="C242" s="18" t="n">
        <x:v>2024</x:v>
      </x:c>
      <x:c r="D242" s="28" t="n">
        <x:v>45913</x:v>
      </x:c>
      <x:c r="E242" s="18" t="str">
        <x:v>Acceso libre</x:v>
      </x:c>
      <x:c r="F242" s="18" t="str">
        <x:v>Primera parte</x:v>
      </x:c>
      <x:c r="G242" s="18" t="str">
        <x:v>A</x:v>
      </x:c>
      <x:c r="H242" s="18" t="str">
        <x:v>A/B</x:v>
      </x:c>
      <x:c r="I242" s="18" t="str">
        <x:v>Sí</x:v>
      </x:c>
      <x:c r="J242" s="18" t="str">
        <x:v>Modelo A usado como variante canónica; el modelo B oficial está archivado y permuta el orden y/o las opciones.</x:v>
      </x:c>
      <x:c r="K242" s="18" t="n">
        <x:v>59</x:v>
      </x:c>
      <x:c r="L242" s="18" t="str">
        <x:v>No</x:v>
      </x:c>
      <x:c r="M242" s="18" t="str">
        <x:v>Según el artículo 124 del Reglamento General de Recaudación de Ea Seguridad Social, aprobado por ei Real Decreto 1415/2004, de 11 de junio, a efectos de su vagoración, la adjudicación de bienes a la Tesorería General de la Seguridad Sociae se realizará por valor igual:</x:v>
      </x:c>
      <x:c r="N242" s="18" t="str">
        <x:v>A! débito perseguido pero sin que exceda del 75% del valor que sirvió de tipo para la enajenación.</x:v>
      </x:c>
      <x:c r="O242" s="18" t="str">
        <x:v>A débito perseguido pero sin que exceda del 80% del valor que sirvió de tipo para la enajenación.</x:v>
      </x:c>
      <x:c r="P242" s="18" t="str">
        <x:v>A débito perseguido pero sin que exceda del 600/0 del valor que sirvió de tipo pera la enajenación-</x:v>
      </x:c>
      <x:c r="Q242" s="18" t="str">
        <x:v>Al débito perseguido pero sin que exceda de valor total que sirvió de tipo pare la enajenación.</x:v>
      </x:c>
      <x:c r="R242" s="18" t="str">
        <x:v>S06</x:v>
      </x:c>
      <x:c r="S242" s="18" t="n">
        <x:v>6</x:v>
      </x:c>
      <x:c r="T242" s="18" t="str">
        <x:v>Temario específico Seguridad Social</x:v>
      </x:c>
      <x:c r="U242" s="18" t="str">
        <x:v>La recaudación en vía ejecutiva. Normas generales. Iniciación y título ejecutivo. La providencia de apremio. Oposición y efectos. El embargo de bienes. Enajenación de bienes: modalidades. Créditos incobrables. Tercerías.</x:v>
      </x:c>
      <x:c r="V242" s="18" t="str">
        <x:v>S06</x:v>
      </x:c>
      <x:c r="W242" s="18" t="str">
        <x:v>Real Decreto 1415/2004</x:v>
      </x:c>
      <x:c r="X242" s="18" t="str">
        <x:v>124</x:v>
      </x:c>
      <x:c r="Y242" s="18" t="str">
        <x:v>Recaudación ejecutiva</x:v>
      </x:c>
      <x:c r="Z242" s="18" t="str">
        <x:v>Media</x:v>
      </x:c>
      <x:c r="AA242" s="18" t="str">
        <x:v>S06</x:v>
      </x:c>
      <x:c r="AB242" s="18" t="str"/>
      <x:c r="AC242" s="18" t="str"/>
      <x:c r="AD242" s="18" t="str">
        <x:v>No</x:v>
      </x:c>
      <x:c r="AE242" s="18" t="str">
        <x:v>Teórico</x:v>
      </x:c>
      <x:c r="AF242" s="18" t="str">
        <x:v>B</x:v>
      </x:c>
      <x:c r="AG242" s="18" t="str">
        <x:v>B</x:v>
      </x:c>
      <x:c r="AH242" s="18" t="str">
        <x:v>Válida</x:v>
      </x:c>
      <x:c r="AI242" s="18" t="str">
        <x:v>01. Información oficial de la oposición\Exámenes oficiales anteriores\2025 Convocatoria 2024 - Acceso libre Modelo A.pdf</x:v>
      </x:c>
      <x:c r="AJ242" s="18" t="str">
        <x:v>https://www.seg-social.es/wps/portal/wss/internet/InformacionUtil/9950/88beb45d-ca83-4bab-8162-f94ef2894562/7e46efac-32c8-4cf6-b3d3-d592c3560dff/rdpi_administrativos_2024</x:v>
      </x:c>
      <x:c r="AK242" s="18" t="str">
        <x:v>OCR Windows es-ES sobre PDF oficial</x:v>
      </x:c>
      <x:c r="AL242" s="18" t="n">
        <x:v>100</x:v>
      </x:c>
      <x:c r="AM242" s="18" t="str">
        <x:v>Alta</x:v>
      </x:c>
      <x:c r="AN242" s="18" t="str">
        <x:v>Regla jurídica determinista</x:v>
      </x:c>
      <x:c r="AO242" s="18" t="str">
        <x:v>2025_conv2024_ordinario_A-T59</x:v>
      </x:c>
      <x:c r="AP242" s="18" t="n">
        <x:v>1</x:v>
      </x:c>
    </x:row>
    <x:row r="243">
      <x:c r="A243" s="18" t="str">
        <x:v>2025_conv2024_ordinario_A-T60</x:v>
      </x:c>
      <x:c r="B243" s="18" t="n">
        <x:v>2025</x:v>
      </x:c>
      <x:c r="C243" s="18" t="n">
        <x:v>2024</x:v>
      </x:c>
      <x:c r="D243" s="28" t="n">
        <x:v>45913</x:v>
      </x:c>
      <x:c r="E243" s="18" t="str">
        <x:v>Acceso libre</x:v>
      </x:c>
      <x:c r="F243" s="18" t="str">
        <x:v>Primera parte</x:v>
      </x:c>
      <x:c r="G243" s="18" t="str">
        <x:v>A</x:v>
      </x:c>
      <x:c r="H243" s="18" t="str">
        <x:v>A/B</x:v>
      </x:c>
      <x:c r="I243" s="18" t="str">
        <x:v>Sí</x:v>
      </x:c>
      <x:c r="J243" s="18" t="str">
        <x:v>Modelo A usado como variante canónica; el modelo B oficial está archivado y permuta el orden y/o las opciones.</x:v>
      </x:c>
      <x:c r="K243" s="18" t="n">
        <x:v>60</x:v>
      </x:c>
      <x:c r="L243" s="18" t="str">
        <x:v>No</x:v>
      </x:c>
      <x:c r="M243" s="18" t="str">
        <x:v>En eI supuesto de que hubiera más de una persona beneficiaria de la prestación de orfandad, de acuerdo con el artículo 224 del texto refundido de la Ley General de la Seguridad Social, el importe conjunto de la misma podrá situarse:</x:v>
      </x:c>
      <x:c r="N243" s="18" t="str">
        <x:v>En eI 120 por ciento de aa base reguladora, y nunca será inferior al minimo equivalente a la pensión de viudedad sin cargas familiares.</x:v>
      </x:c>
      <x:c r="O243" s="18" t="str">
        <x:v>En el 1 18 por ciento de la base reguladora, y nunca será inferior a! mínimo equivalente a la pensión de viudedad sin cargas familiares.</x:v>
      </x:c>
      <x:c r="P243" s="18" t="str">
        <x:v>En el 1 1 8 por ciento de la base reguladore, y nunca será inferior al minimo equivalente a la pensión de viudedad con cargas familiares.</x:v>
      </x:c>
      <x:c r="Q243" s="18" t="str">
        <x:v>En el 120 por ciento de la base reguladora, y nunca será inferior al mínimo equivalente a la pensión de viudedad con cargas familiares.</x:v>
      </x:c>
      <x:c r="R243" s="18" t="str">
        <x:v>S11</x:v>
      </x:c>
      <x:c r="S243" s="18" t="n">
        <x:v>11</x:v>
      </x:c>
      <x:c r="T243" s="18" t="str">
        <x:v>Temario específico Seguridad Social</x:v>
      </x:c>
      <x:c r="U243" s="18" t="str">
        <x:v>La protección por muerte y supervivencia. Hecho causante. Requisitos para las prestaciones de viudedad, orfandad y en favor de familiares. Cuantía de las prestaciones. Compatibilidad. Suspensión y Extinción. Normas específicas en caso de muerte derivada de accidente de trabajo o enfermedad profesional. Efectividad económica de las prestaciones. El auxilio por defunción.</x:v>
      </x:c>
      <x:c r="V243" s="18" t="str">
        <x:v>orfandad</x:v>
      </x:c>
      <x:c r="W243" s="18" t="str">
        <x:v>texto refundido de la Ley General de la Seguridad Social</x:v>
      </x:c>
      <x:c r="X243" s="18" t="str">
        <x:v>224</x:v>
      </x:c>
      <x:c r="Y243" s="18" t="str">
        <x:v>Cálculos</x:v>
      </x:c>
      <x:c r="Z243" s="18" t="str">
        <x:v>Media</x:v>
      </x:c>
      <x:c r="AA243" s="18" t="str">
        <x:v>orfandad</x:v>
      </x:c>
      <x:c r="AB243" s="18" t="str">
        <x:v>ISM</x:v>
      </x:c>
      <x:c r="AC243" s="18" t="str"/>
      <x:c r="AD243" s="18" t="str">
        <x:v>No</x:v>
      </x:c>
      <x:c r="AE243" s="18" t="str">
        <x:v>Teórico</x:v>
      </x:c>
      <x:c r="AF243" s="18" t="str">
        <x:v>C</x:v>
      </x:c>
      <x:c r="AG243" s="18" t="str">
        <x:v>C</x:v>
      </x:c>
      <x:c r="AH243" s="18" t="str">
        <x:v>Válida</x:v>
      </x:c>
      <x:c r="AI243" s="18" t="str">
        <x:v>01. Información oficial de la oposición\Exámenes oficiales anteriores\2025 Convocatoria 2024 - Acceso libre Modelo A.pdf</x:v>
      </x:c>
      <x:c r="AJ243" s="18" t="str">
        <x:v>https://www.seg-social.es/wps/portal/wss/internet/InformacionUtil/9950/88beb45d-ca83-4bab-8162-f94ef2894562/7e46efac-32c8-4cf6-b3d3-d592c3560dff/rdpi_administrativos_2024</x:v>
      </x:c>
      <x:c r="AK243" s="18" t="str">
        <x:v>OCR Windows es-ES sobre PDF oficial</x:v>
      </x:c>
      <x:c r="AL243" s="18" t="n">
        <x:v>100</x:v>
      </x:c>
      <x:c r="AM243" s="18" t="str">
        <x:v>Alta</x:v>
      </x:c>
      <x:c r="AN243" s="18" t="str">
        <x:v>Regla jurídica determinista</x:v>
      </x:c>
      <x:c r="AO243" s="18" t="str">
        <x:v>2025_conv2024_ordinario_A-T60</x:v>
      </x:c>
      <x:c r="AP243" s="18" t="n">
        <x:v>1</x:v>
      </x:c>
    </x:row>
    <x:row r="244">
      <x:c r="A244" s="18" t="str">
        <x:v>2025_conv2024_ordinario_A-T61</x:v>
      </x:c>
      <x:c r="B244" s="18" t="n">
        <x:v>2025</x:v>
      </x:c>
      <x:c r="C244" s="18" t="n">
        <x:v>2024</x:v>
      </x:c>
      <x:c r="D244" s="28" t="n">
        <x:v>45913</x:v>
      </x:c>
      <x:c r="E244" s="18" t="str">
        <x:v>Acceso libre</x:v>
      </x:c>
      <x:c r="F244" s="18" t="str">
        <x:v>Primera parte</x:v>
      </x:c>
      <x:c r="G244" s="18" t="str">
        <x:v>A</x:v>
      </x:c>
      <x:c r="H244" s="18" t="str">
        <x:v>A/B</x:v>
      </x:c>
      <x:c r="I244" s="18" t="str">
        <x:v>Sí</x:v>
      </x:c>
      <x:c r="J244" s="18" t="str">
        <x:v>Modelo A usado como variante canónica; el modelo B oficial está archivado y permuta el orden y/o las opciones.</x:v>
      </x:c>
      <x:c r="K244" s="18" t="n">
        <x:v>61</x:v>
      </x:c>
      <x:c r="L244" s="18" t="str">
        <x:v>No</x:v>
      </x:c>
      <x:c r="M244" s="18" t="str">
        <x:v>La entidad gestora podrá revisar, por sí misma, según ei artículo 231 del texto refundido de la Ley General de ia Seguridad Social, ia resolución por la cual hubiera reconocido el derecho a una prestación de muerte y supervivencia a quien fuera condenado por sentencia firme en e! supuesto indicado. Esta facultad de revisión de oficio estará sujeta a:</x:v>
      </x:c>
      <x:c r="N244" s="18" t="str">
        <x:v>Un plazo no superior a 6 meses desde la sentencie firme.</x:v>
      </x:c>
      <x:c r="O244" s="18" t="str">
        <x:v>Un plazo no superior a 12 meses desde la sentencia firme.</x:v>
      </x:c>
      <x:c r="P244" s="18" t="str">
        <x:v>Un plazo no superior a 4 años desde la sentencia firme.</x:v>
      </x:c>
      <x:c r="Q244" s="18" t="str">
        <x:v>No está sujeta a plazo alguno.</x:v>
      </x:c>
      <x:c r="R244" s="18" t="str">
        <x:v>S11</x:v>
      </x:c>
      <x:c r="S244" s="18" t="n">
        <x:v>11</x:v>
      </x:c>
      <x:c r="T244" s="18" t="str">
        <x:v>Temario específico Seguridad Social</x:v>
      </x:c>
      <x:c r="U244" s="18" t="str">
        <x:v>La protección por muerte y supervivencia. Hecho causante. Requisitos para las prestaciones de viudedad, orfandad y en favor de familiares. Cuantía de las prestaciones. Compatibilidad. Suspensión y Extinción. Normas específicas en caso de muerte derivada de accidente de trabajo o enfermedad profesional. Efectividad económica de las prestaciones. El auxilio por defunción.</x:v>
      </x:c>
      <x:c r="V244" s="18" t="str">
        <x:v>S11</x:v>
      </x:c>
      <x:c r="W244" s="18" t="str"/>
      <x:c r="X244" s="18" t="str">
        <x:v>231</x:v>
      </x:c>
      <x:c r="Y244" s="18" t="str">
        <x:v>Muerte y supervivencia</x:v>
      </x:c>
      <x:c r="Z244" s="18" t="str">
        <x:v>Alta</x:v>
      </x:c>
      <x:c r="AA244" s="18" t="str">
        <x:v>S11</x:v>
      </x:c>
      <x:c r="AB244" s="18" t="str">
        <x:v>ISM</x:v>
      </x:c>
      <x:c r="AC244" s="18" t="str"/>
      <x:c r="AD244" s="18" t="str">
        <x:v>No</x:v>
      </x:c>
      <x:c r="AE244" s="18" t="str">
        <x:v>Teórico</x:v>
      </x:c>
      <x:c r="AF244" s="18" t="str">
        <x:v>D</x:v>
      </x:c>
      <x:c r="AG244" s="18" t="str">
        <x:v>D</x:v>
      </x:c>
      <x:c r="AH244" s="18" t="str">
        <x:v>Válida</x:v>
      </x:c>
      <x:c r="AI244" s="18" t="str">
        <x:v>01. Información oficial de la oposición\Exámenes oficiales anteriores\2025 Convocatoria 2024 - Acceso libre Modelo A.pdf</x:v>
      </x:c>
      <x:c r="AJ244" s="18" t="str">
        <x:v>https://www.seg-social.es/wps/portal/wss/internet/InformacionUtil/9950/88beb45d-ca83-4bab-8162-f94ef2894562/7e46efac-32c8-4cf6-b3d3-d592c3560dff/rdpi_administrativos_2024</x:v>
      </x:c>
      <x:c r="AK244" s="18" t="str">
        <x:v>OCR Windows es-ES sobre PDF oficial</x:v>
      </x:c>
      <x:c r="AL244" s="18" t="n">
        <x:v>100</x:v>
      </x:c>
      <x:c r="AM244" s="18" t="str">
        <x:v>Alta</x:v>
      </x:c>
      <x:c r="AN244" s="18" t="str">
        <x:v>Regla jurídica determinista</x:v>
      </x:c>
      <x:c r="AO244" s="18" t="str">
        <x:v>2025_conv2024_ordinario_A-T61</x:v>
      </x:c>
      <x:c r="AP244" s="18" t="n">
        <x:v>1</x:v>
      </x:c>
    </x:row>
    <x:row r="245">
      <x:c r="A245" s="18" t="str">
        <x:v>2025_conv2024_ordinario_A-T62</x:v>
      </x:c>
      <x:c r="B245" s="18" t="n">
        <x:v>2025</x:v>
      </x:c>
      <x:c r="C245" s="18" t="n">
        <x:v>2024</x:v>
      </x:c>
      <x:c r="D245" s="28" t="n">
        <x:v>45913</x:v>
      </x:c>
      <x:c r="E245" s="18" t="str">
        <x:v>Acceso libre</x:v>
      </x:c>
      <x:c r="F245" s="18" t="str">
        <x:v>Primera parte</x:v>
      </x:c>
      <x:c r="G245" s="18" t="str">
        <x:v>A</x:v>
      </x:c>
      <x:c r="H245" s="18" t="str">
        <x:v>A/B</x:v>
      </x:c>
      <x:c r="I245" s="18" t="str">
        <x:v>Sí</x:v>
      </x:c>
      <x:c r="J245" s="18" t="str">
        <x:v>Modelo A usado como variante canónica; el modelo B oficial está archivado y permuta el orden y/o las opciones.</x:v>
      </x:c>
      <x:c r="K245" s="18" t="n">
        <x:v>62</x:v>
      </x:c>
      <x:c r="L245" s="18" t="str">
        <x:v>No</x:v>
      </x:c>
      <x:c r="M245" s="18" t="str">
        <x:v>Se considerará situación asimilada a Ea de afta según el artículo 2 de la Orden de 13 de febrero de 1967, a efectos de causar has prestaciones de muerte y supervivencia, siempre que concurran en ella las condiciones que se determinen en las disposiciones de aplicación y desarrollo relativas a la acción protectora del Régimen General de ka Seguridad Social:</x:v>
      </x:c>
      <x:c r="N245" s="18" t="str">
        <x:v>EI traslado del trabajador, por su Empresa, a centros de trabajo ya sean dentro o fuera del territorio nacional.</x:v>
      </x:c>
      <x:c r="O245" s="18" t="str">
        <x:v>EI desempleo voluntario.</x:v>
      </x:c>
      <x:c r="P245" s="18" t="str">
        <x:v>EI cese en la condición de trabajador por cuenta ajena, con la suscripción del oportuno convenio especial con la Mutualidad correspondiente.</x:v>
      </x:c>
      <x:c r="Q245" s="18" t="str">
        <x:v>La excedencia voluntaria del trabajador por cuenta ajena, motivada por su designación para ocupar un cargo público, con obligación por parte de la Empresa de readmitirle al cesar ert el desempeño de dicho cargo de conformidad con la legislación laboral aplicable</x:v>
      </x:c>
      <x:c r="R245" s="18" t="str">
        <x:v>S11</x:v>
      </x:c>
      <x:c r="S245" s="18" t="n">
        <x:v>11</x:v>
      </x:c>
      <x:c r="T245" s="18" t="str">
        <x:v>Temario específico Seguridad Social</x:v>
      </x:c>
      <x:c r="U245" s="18" t="str">
        <x:v>La protección por muerte y supervivencia. Hecho causante. Requisitos para las prestaciones de viudedad, orfandad y en favor de familiares. Cuantía de las prestaciones. Compatibilidad. Suspensión y Extinción. Normas específicas en caso de muerte derivada de accidente de trabajo o enfermedad profesional. Efectividad económica de las prestaciones. El auxilio por defunción.</x:v>
      </x:c>
      <x:c r="V245" s="18" t="str">
        <x:v>S11</x:v>
      </x:c>
      <x:c r="W245" s="18" t="str"/>
      <x:c r="X245" s="18" t="str">
        <x:v>2</x:v>
      </x:c>
      <x:c r="Y245" s="18" t="str">
        <x:v>Muerte y supervivencia</x:v>
      </x:c>
      <x:c r="Z245" s="18" t="str">
        <x:v>Alta</x:v>
      </x:c>
      <x:c r="AA245" s="18" t="str">
        <x:v>S11</x:v>
      </x:c>
      <x:c r="AB245" s="18" t="str"/>
      <x:c r="AC245" s="18" t="str"/>
      <x:c r="AD245" s="18" t="str">
        <x:v>No</x:v>
      </x:c>
      <x:c r="AE245" s="18" t="str">
        <x:v>Teórico</x:v>
      </x:c>
      <x:c r="AF245" s="18" t="str">
        <x:v>C</x:v>
      </x:c>
      <x:c r="AG245" s="18" t="str">
        <x:v>ANULADA</x:v>
      </x:c>
      <x:c r="AH245" s="18" t="str">
        <x:v>Anulada</x:v>
      </x:c>
      <x:c r="AI245" s="18" t="str">
        <x:v>01. Información oficial de la oposición\Exámenes oficiales anteriores\2025 Convocatoria 2024 - Acceso libre Modelo A.pdf</x:v>
      </x:c>
      <x:c r="AJ245" s="18" t="str">
        <x:v>https://www.seg-social.es/wps/portal/wss/internet/InformacionUtil/9950/88beb45d-ca83-4bab-8162-f94ef2894562/7e46efac-32c8-4cf6-b3d3-d592c3560dff/rdpi_administrativos_2024</x:v>
      </x:c>
      <x:c r="AK245" s="18" t="str">
        <x:v>OCR Windows es-ES sobre PDF oficial</x:v>
      </x:c>
      <x:c r="AL245" s="18" t="n">
        <x:v>100</x:v>
      </x:c>
      <x:c r="AM245" s="18" t="str">
        <x:v>Alta</x:v>
      </x:c>
      <x:c r="AN245" s="18" t="str">
        <x:v>Regla jurídica determinista</x:v>
      </x:c>
      <x:c r="AO245" s="18" t="str">
        <x:v>2025_conv2024_ordinario_A-T62</x:v>
      </x:c>
      <x:c r="AP245" s="18" t="n">
        <x:v>1</x:v>
      </x:c>
    </x:row>
    <x:row r="246">
      <x:c r="A246" s="18" t="str">
        <x:v>2025_conv2024_ordinario_A-T63</x:v>
      </x:c>
      <x:c r="B246" s="18" t="n">
        <x:v>2025</x:v>
      </x:c>
      <x:c r="C246" s="18" t="n">
        <x:v>2024</x:v>
      </x:c>
      <x:c r="D246" s="28" t="n">
        <x:v>45913</x:v>
      </x:c>
      <x:c r="E246" s="18" t="str">
        <x:v>Acceso libre</x:v>
      </x:c>
      <x:c r="F246" s="18" t="str">
        <x:v>Primera parte</x:v>
      </x:c>
      <x:c r="G246" s="18" t="str">
        <x:v>A</x:v>
      </x:c>
      <x:c r="H246" s="18" t="str">
        <x:v>A/B</x:v>
      </x:c>
      <x:c r="I246" s="18" t="str">
        <x:v>Sí</x:v>
      </x:c>
      <x:c r="J246" s="18" t="str">
        <x:v>Modelo A usado como variante canónica; el modelo B oficial está archivado y permuta el orden y/o las opciones.</x:v>
      </x:c>
      <x:c r="K246" s="18" t="n">
        <x:v>63</x:v>
      </x:c>
      <x:c r="L246" s="18" t="str">
        <x:v>No</x:v>
      </x:c>
      <x:c r="M246" s="18" t="str">
        <x:v>Conforme eE artículo 7 del Real Decreto 8/2003, de II de enero, por eI que se regula Ea prestación por razón de necesidad a favor de los españoles residentes en ef exterior y retornados, la base de cálculo de las prestaciones económicas correspondiente a cada país de residencia se fijará de acuerdo con los indicadores económicos y de protección socia/ de cada país de residencia. A estos efectos, señale cuál de los siguientes indicadores económicos NO se tendrán en cuenta:</x:v>
      </x:c>
      <x:c r="N246" s="18" t="str">
        <x:v>Renta per cápita.</x:v>
      </x:c>
      <x:c r="O246" s="18" t="str">
        <x:v>Salario mínimo interprofesional.</x:v>
      </x:c>
      <x:c r="P246" s="18" t="str">
        <x:v>EI umbral de riesgo de pobreza del país.</x:v>
      </x:c>
      <x:c r="Q246" s="18" t="str">
        <x:v>Pensión mínima de Seguridad Social.</x:v>
      </x:c>
      <x:c r="R246" s="18" t="str">
        <x:v>S12</x:v>
      </x:c>
      <x:c r="S246" s="18" t="n">
        <x:v>12</x:v>
      </x:c>
      <x:c r="T246" s="18" t="str">
        <x:v>Temario específico Seguridad Social</x:v>
      </x:c>
      <x:c r="U246" s="18" t="str">
        <x:v>Prestaciones no contributivas y asistenciales. El ingreso mínimo vital: beneficiarios, requisitos y duración. Obligaciones de las personas beneficiarias. Cuantía, pago, reintegro de prestaciones indebidas. Prestaciones familiares múltiples. Prestaciones familiares en la modalidad contributiva. Las pensiones no contributivas: Invalidez no contributiva: Jubilación no contributiva.</x:v>
      </x:c>
      <x:c r="V246" s="18" t="str">
        <x:v>S12</x:v>
      </x:c>
      <x:c r="W246" s="18" t="str">
        <x:v>Real Decreto 8/2003</x:v>
      </x:c>
      <x:c r="X246" s="18" t="str">
        <x:v>7</x:v>
      </x:c>
      <x:c r="Y246" s="18" t="str">
        <x:v>Prestaciones no contributivas</x:v>
      </x:c>
      <x:c r="Z246" s="18" t="str">
        <x:v>Alta</x:v>
      </x:c>
      <x:c r="AA246" s="18" t="str">
        <x:v>S12</x:v>
      </x:c>
      <x:c r="AB246" s="18" t="str"/>
      <x:c r="AC246" s="18" t="str"/>
      <x:c r="AD246" s="18" t="str">
        <x:v>No</x:v>
      </x:c>
      <x:c r="AE246" s="18" t="str">
        <x:v>Teórico</x:v>
      </x:c>
      <x:c r="AF246" s="18" t="str">
        <x:v>C</x:v>
      </x:c>
      <x:c r="AG246" s="18" t="str">
        <x:v>C</x:v>
      </x:c>
      <x:c r="AH246" s="18" t="str">
        <x:v>Válida</x:v>
      </x:c>
      <x:c r="AI246" s="18" t="str">
        <x:v>01. Información oficial de la oposición\Exámenes oficiales anteriores\2025 Convocatoria 2024 - Acceso libre Modelo A.pdf</x:v>
      </x:c>
      <x:c r="AJ246" s="18" t="str">
        <x:v>https://www.seg-social.es/wps/portal/wss/internet/InformacionUtil/9950/88beb45d-ca83-4bab-8162-f94ef2894562/7e46efac-32c8-4cf6-b3d3-d592c3560dff/rdpi_administrativos_2024</x:v>
      </x:c>
      <x:c r="AK246" s="18" t="str">
        <x:v>OCR Windows es-ES sobre PDF oficial</x:v>
      </x:c>
      <x:c r="AL246" s="18" t="n">
        <x:v>100</x:v>
      </x:c>
      <x:c r="AM246" s="18" t="str">
        <x:v>Alta</x:v>
      </x:c>
      <x:c r="AN246" s="18" t="str">
        <x:v>Regla jurídica determinista</x:v>
      </x:c>
      <x:c r="AO246" s="18" t="str">
        <x:v>2025_conv2024_ordinario_A-T63</x:v>
      </x:c>
      <x:c r="AP246" s="18" t="n">
        <x:v>1</x:v>
      </x:c>
    </x:row>
    <x:row r="247">
      <x:c r="A247" s="18" t="str">
        <x:v>2025_conv2024_ordinario_A-T64</x:v>
      </x:c>
      <x:c r="B247" s="18" t="n">
        <x:v>2025</x:v>
      </x:c>
      <x:c r="C247" s="18" t="n">
        <x:v>2024</x:v>
      </x:c>
      <x:c r="D247" s="28" t="n">
        <x:v>45913</x:v>
      </x:c>
      <x:c r="E247" s="18" t="str">
        <x:v>Acceso libre</x:v>
      </x:c>
      <x:c r="F247" s="18" t="str">
        <x:v>Primera parte</x:v>
      </x:c>
      <x:c r="G247" s="18" t="str">
        <x:v>A</x:v>
      </x:c>
      <x:c r="H247" s="18" t="str">
        <x:v>A/B</x:v>
      </x:c>
      <x:c r="I247" s="18" t="str">
        <x:v>Sí</x:v>
      </x:c>
      <x:c r="J247" s="18" t="str">
        <x:v>Modelo A usado como variante canónica; el modelo B oficial está archivado y permuta el orden y/o las opciones.</x:v>
      </x:c>
      <x:c r="K247" s="18" t="n">
        <x:v>64</x:v>
      </x:c>
      <x:c r="L247" s="18" t="str">
        <x:v>No</x:v>
      </x:c>
      <x:c r="M247" s="18" t="str">
        <x:v>EI artículo 4 de la Ley 19/2021, de 20 de diciembre, que regula el ingreso mínimo vital, establece que podrán ser beneficiaros de esta prestación:</x:v>
      </x:c>
      <x:c r="N247" s="18" t="str">
        <x:v>Las personas que sean usuarias permanentes de una prestación de servicio residencial, de carácter social, sanitario o socio-sanitario.</x:v>
      </x:c>
      <x:c r="O247" s="18" t="str">
        <x:v>Las personas de entre 18 y 22 años que hayan sido liberadas de un centro penitenciario, y cuya privación de libertad haya sido por un periodo superior a seis meses.</x:v>
      </x:c>
      <x:c r="P247" s="18" t="str">
        <x:v>Las personas de al menos veintiséis años que no se integren en una unidad de convivencia en los términos establecidos en esta ley, siempre que no estén unidas a otra por vínculo matrimonial o como pareja de hecho, salvo las que hayan iniciado los trámites de separación o divorcio.</x:v>
      </x:c>
      <x:c r="Q247" s="18" t="str">
        <x:v>Las personas de entre 16 y 22 años que hayan permanecido un mínimo de 12 meses en centros de internamiento para extranjeros, o que hayan estado en centros de acogida para menores dentro de los cuatro años anteriores a la mayoría de edad.</x:v>
      </x:c>
      <x:c r="R247" s="18" t="str">
        <x:v>S12</x:v>
      </x:c>
      <x:c r="S247" s="18" t="n">
        <x:v>12</x:v>
      </x:c>
      <x:c r="T247" s="18" t="str">
        <x:v>Temario específico Seguridad Social</x:v>
      </x:c>
      <x:c r="U247" s="18" t="str">
        <x:v>Prestaciones no contributivas y asistenciales. El ingreso mínimo vital: beneficiarios, requisitos y duración. Obligaciones de las personas beneficiarias. Cuantía, pago, reintegro de prestaciones indebidas. Prestaciones familiares múltiples. Prestaciones familiares en la modalidad contributiva. Las pensiones no contributivas: Invalidez no contributiva: Jubilación no contributiva.</x:v>
      </x:c>
      <x:c r="V247" s="18" t="str">
        <x:v>ingreso mínimo vital</x:v>
      </x:c>
      <x:c r="W247" s="18" t="str">
        <x:v>Ley 19/2021</x:v>
      </x:c>
      <x:c r="X247" s="18" t="str">
        <x:v>4</x:v>
      </x:c>
      <x:c r="Y247" s="18" t="str">
        <x:v>Prestaciones no contributivas</x:v>
      </x:c>
      <x:c r="Z247" s="18" t="str">
        <x:v>Media</x:v>
      </x:c>
      <x:c r="AA247" s="18" t="str">
        <x:v>ingreso mínimo vital</x:v>
      </x:c>
      <x:c r="AB247" s="18" t="str"/>
      <x:c r="AC247" s="18" t="str"/>
      <x:c r="AD247" s="18" t="str">
        <x:v>No</x:v>
      </x:c>
      <x:c r="AE247" s="18" t="str">
        <x:v>Teórico</x:v>
      </x:c>
      <x:c r="AF247" s="18" t="str">
        <x:v>B</x:v>
      </x:c>
      <x:c r="AG247" s="18" t="str">
        <x:v>B</x:v>
      </x:c>
      <x:c r="AH247" s="18" t="str">
        <x:v>Válida</x:v>
      </x:c>
      <x:c r="AI247" s="18" t="str">
        <x:v>01. Información oficial de la oposición\Exámenes oficiales anteriores\2025 Convocatoria 2024 - Acceso libre Modelo A.pdf</x:v>
      </x:c>
      <x:c r="AJ247" s="18" t="str">
        <x:v>https://www.seg-social.es/wps/portal/wss/internet/InformacionUtil/9950/88beb45d-ca83-4bab-8162-f94ef2894562/7e46efac-32c8-4cf6-b3d3-d592c3560dff/rdpi_administrativos_2024</x:v>
      </x:c>
      <x:c r="AK247" s="18" t="str">
        <x:v>OCR Windows es-ES sobre PDF oficial</x:v>
      </x:c>
      <x:c r="AL247" s="18" t="n">
        <x:v>100</x:v>
      </x:c>
      <x:c r="AM247" s="18" t="str">
        <x:v>Alta</x:v>
      </x:c>
      <x:c r="AN247" s="18" t="str">
        <x:v>Regla jurídica determinista</x:v>
      </x:c>
      <x:c r="AO247" s="18" t="str">
        <x:v>2025_conv2024_ordinario_A-T64</x:v>
      </x:c>
      <x:c r="AP247" s="18" t="n">
        <x:v>1</x:v>
      </x:c>
    </x:row>
    <x:row r="248">
      <x:c r="A248" s="18" t="str">
        <x:v>2025_conv2024_ordinario_A-T65</x:v>
      </x:c>
      <x:c r="B248" s="18" t="n">
        <x:v>2025</x:v>
      </x:c>
      <x:c r="C248" s="18" t="n">
        <x:v>2024</x:v>
      </x:c>
      <x:c r="D248" s="28" t="n">
        <x:v>45913</x:v>
      </x:c>
      <x:c r="E248" s="18" t="str">
        <x:v>Acceso libre</x:v>
      </x:c>
      <x:c r="F248" s="18" t="str">
        <x:v>Primera parte</x:v>
      </x:c>
      <x:c r="G248" s="18" t="str">
        <x:v>A</x:v>
      </x:c>
      <x:c r="H248" s="18" t="str">
        <x:v>A/B</x:v>
      </x:c>
      <x:c r="I248" s="18" t="str">
        <x:v>Sí</x:v>
      </x:c>
      <x:c r="J248" s="18" t="str">
        <x:v>Modelo A usado como variante canónica; el modelo B oficial está archivado y permuta el orden y/o las opciones.</x:v>
      </x:c>
      <x:c r="K248" s="18" t="n">
        <x:v>65</x:v>
      </x:c>
      <x:c r="L248" s="18" t="str">
        <x:v>No</x:v>
      </x:c>
      <x:c r="M248" s="18" t="str">
        <x:v>Según el artículo 9 de la Orden de 13 de febrero de 1967 cuando el causante fuese trabajador en activo o se encontrase en situación asimilada al alta, al tiempo de su fallecimiento, y éste no sea debido a accidente de trabajo o enfermedad profesional, la base reguladora será eI cociente que resulte de dividir por veintiocho la suma de las bases de cotización del causante durante un período ininterrumpido de veinticuatro meses naturales aun cuando dentro del mismo existan lapsos en los que no haya habido obligación de cotizar. Dicho periodo de veinticuatro meses:</x:v>
      </x:c>
      <x:c r="N248" s="18" t="str">
        <x:v>Será elegido por el beneficiario dentro de los dos años inmediatamente anteriores a la fecha en que se cause eI derecho a la pensión.</x:v>
      </x:c>
      <x:c r="O248" s="18" t="str">
        <x:v>Será elegido por eI beneficiario dentro de los siete años inmediatamente anteriores a la fecha en que se cause eI derecho a la pensión.</x:v>
      </x:c>
      <x:c r="P248" s="18" t="str">
        <x:v>Será elegido por el beneficiario dentro de los cinco años inmediatamente anteriores a la fecha en que se cause el derecho a la pensión.</x:v>
      </x:c>
      <x:c r="Q248" s="18" t="str">
        <x:v>Será elegido por eI beneficiario dentro de los diez años inmediatamente anteriores a la fecha en que se cause el derecho a la pensión.</x:v>
      </x:c>
      <x:c r="R248" s="18" t="str">
        <x:v>S11</x:v>
      </x:c>
      <x:c r="S248" s="18" t="n">
        <x:v>11</x:v>
      </x:c>
      <x:c r="T248" s="18" t="str">
        <x:v>Temario específico Seguridad Social</x:v>
      </x:c>
      <x:c r="U248" s="18" t="str">
        <x:v>La protección por muerte y supervivencia. Hecho causante. Requisitos para las prestaciones de viudedad, orfandad y en favor de familiares. Cuantía de las prestaciones. Compatibilidad. Suspensión y Extinción. Normas específicas en caso de muerte derivada de accidente de trabajo o enfermedad profesional. Efectividad económica de las prestaciones. El auxilio por defunción.</x:v>
      </x:c>
      <x:c r="V248" s="18" t="str">
        <x:v>alta</x:v>
      </x:c>
      <x:c r="W248" s="18" t="str"/>
      <x:c r="X248" s="18" t="str">
        <x:v>9</x:v>
      </x:c>
      <x:c r="Y248" s="18" t="str">
        <x:v>Cálculos</x:v>
      </x:c>
      <x:c r="Z248" s="18" t="str">
        <x:v>Alta</x:v>
      </x:c>
      <x:c r="AA248" s="18" t="str">
        <x:v>alta</x:v>
      </x:c>
      <x:c r="AB248" s="18" t="str">
        <x:v>ISM</x:v>
      </x:c>
      <x:c r="AC248" s="18" t="str"/>
      <x:c r="AD248" s="18" t="str">
        <x:v>No</x:v>
      </x:c>
      <x:c r="AE248" s="18" t="str">
        <x:v>Teórico</x:v>
      </x:c>
      <x:c r="AF248" s="18" t="str">
        <x:v>ANULADA</x:v>
      </x:c>
      <x:c r="AG248" s="18" t="str">
        <x:v>ANULADA</x:v>
      </x:c>
      <x:c r="AH248" s="18" t="str">
        <x:v>Anulada</x:v>
      </x:c>
      <x:c r="AI248" s="18" t="str">
        <x:v>01. Información oficial de la oposición\Exámenes oficiales anteriores\2025 Convocatoria 2024 - Acceso libre Modelo A.pdf</x:v>
      </x:c>
      <x:c r="AJ248" s="18" t="str">
        <x:v>https://www.seg-social.es/wps/portal/wss/internet/InformacionUtil/9950/88beb45d-ca83-4bab-8162-f94ef2894562/7e46efac-32c8-4cf6-b3d3-d592c3560dff/rdpi_administrativos_2024</x:v>
      </x:c>
      <x:c r="AK248" s="18" t="str">
        <x:v>OCR Windows es-ES sobre PDF oficial</x:v>
      </x:c>
      <x:c r="AL248" s="18" t="n">
        <x:v>100</x:v>
      </x:c>
      <x:c r="AM248" s="18" t="str">
        <x:v>Alta</x:v>
      </x:c>
      <x:c r="AN248" s="18" t="str">
        <x:v>Revisión jurídica individual</x:v>
      </x:c>
      <x:c r="AO248" s="18" t="str">
        <x:v>2025_conv2024_ordinario_A-T65</x:v>
      </x:c>
      <x:c r="AP248" s="18" t="n">
        <x:v>1</x:v>
      </x:c>
    </x:row>
    <x:row r="249">
      <x:c r="A249" s="18" t="str">
        <x:v>2025_conv2024_ordinario_A-T66</x:v>
      </x:c>
      <x:c r="B249" s="18" t="n">
        <x:v>2025</x:v>
      </x:c>
      <x:c r="C249" s="18" t="n">
        <x:v>2024</x:v>
      </x:c>
      <x:c r="D249" s="28" t="n">
        <x:v>45913</x:v>
      </x:c>
      <x:c r="E249" s="18" t="str">
        <x:v>Acceso libre</x:v>
      </x:c>
      <x:c r="F249" s="18" t="str">
        <x:v>Primera parte</x:v>
      </x:c>
      <x:c r="G249" s="18" t="str">
        <x:v>A</x:v>
      </x:c>
      <x:c r="H249" s="18" t="str">
        <x:v>A/B</x:v>
      </x:c>
      <x:c r="I249" s="18" t="str">
        <x:v>Sí</x:v>
      </x:c>
      <x:c r="J249" s="18" t="str">
        <x:v>Modelo A usado como variante canónica; el modelo B oficial está archivado y permuta el orden y/o las opciones.</x:v>
      </x:c>
      <x:c r="K249" s="18" t="n">
        <x:v>66</x:v>
      </x:c>
      <x:c r="L249" s="18" t="str">
        <x:v>No</x:v>
      </x:c>
      <x:c r="M249" s="18" t="str">
        <x:v>EI artículo 13 de la Ley 19/2021, de 20 de diciembre, por la que se establece el ingreso mínimo vital, dispone que la cuantía mensual de la prestación que corresponde a la persona beneficiaria individual o a la unidad de convivencia vendrá determinada por la diferencia entre la cuantía de la renta garantizada, y eI conjunto de todas las rentas e ingresos de la persona beneficiaria o de los miembros que componen esa unidad de convivencia del ejercicio anterior, siempre que la cuantía resultante sea igual o superior a 10 euros mensuales. Señale la respuesta correcta:</x:v>
      </x:c>
      <x:c r="N249" s="18" t="str">
        <x:v>En el caso de una persona beneficiaria individual, la cuantía mensual de renta garantizada ascenderá al 100% del importe anual de las pensiones no contributivas fijadas anualmente en la Ley de Presupuestos Generales del Estado, dividido por catorce.</x:v>
      </x:c>
      <x:c r="O249" s="18" t="str">
        <x:v>En el caso de que el beneficiario individual tenga reconocida una discapacidad, en cualquiera de sus grados, a la renta mínima garantizada se Ie sumará un complemento equivalente al 22%.</x:v>
      </x:c>
      <x:c r="P249" s="18" t="str">
        <x:v>En el caso de las unidades de convivencia, la cuantía mensual para un beneficiario individual se incrementará en un 30% por miembro adicional a partir del segundo hasta un máximo del 220%.</x:v>
      </x:c>
      <x:c r="Q249" s="18" t="str">
        <x:v>En eI caso de unidades de convivencia que tengan la consideración de monoparentales, se establece un complemento adicional de carácter mensual equivalente al 45% del importe mensual de la pensión no contributiva fijada en la Ley de Presupuestos Generales del Estado.</x:v>
      </x:c>
      <x:c r="R249" s="18" t="str">
        <x:v>S12</x:v>
      </x:c>
      <x:c r="S249" s="18" t="n">
        <x:v>12</x:v>
      </x:c>
      <x:c r="T249" s="18" t="str">
        <x:v>Temario específico Seguridad Social</x:v>
      </x:c>
      <x:c r="U249" s="18" t="str">
        <x:v>Prestaciones no contributivas y asistenciales. El ingreso mínimo vital: beneficiarios, requisitos y duración. Obligaciones de las personas beneficiarias. Cuantía, pago, reintegro de prestaciones indebidas. Prestaciones familiares múltiples. Prestaciones familiares en la modalidad contributiva. Las pensiones no contributivas: Invalidez no contributiva: Jubilación no contributiva.</x:v>
      </x:c>
      <x:c r="V249" s="18" t="str">
        <x:v>ingreso mínimo vital</x:v>
      </x:c>
      <x:c r="W249" s="18" t="str">
        <x:v>Ley 19/2021</x:v>
      </x:c>
      <x:c r="X249" s="18" t="str">
        <x:v>13</x:v>
      </x:c>
      <x:c r="Y249" s="18" t="str">
        <x:v>Cálculos</x:v>
      </x:c>
      <x:c r="Z249" s="18" t="str">
        <x:v>Alta</x:v>
      </x:c>
      <x:c r="AA249" s="18" t="str">
        <x:v>ingreso mínimo vital</x:v>
      </x:c>
      <x:c r="AB249" s="18" t="str"/>
      <x:c r="AC249" s="18" t="str"/>
      <x:c r="AD249" s="18" t="str">
        <x:v>No</x:v>
      </x:c>
      <x:c r="AE249" s="18" t="str">
        <x:v>Teórico</x:v>
      </x:c>
      <x:c r="AF249" s="18" t="str">
        <x:v>C</x:v>
      </x:c>
      <x:c r="AG249" s="18" t="str">
        <x:v>C</x:v>
      </x:c>
      <x:c r="AH249" s="18" t="str">
        <x:v>Válida</x:v>
      </x:c>
      <x:c r="AI249" s="18" t="str">
        <x:v>01. Información oficial de la oposición\Exámenes oficiales anteriores\2025 Convocatoria 2024 - Acceso libre Modelo A.pdf</x:v>
      </x:c>
      <x:c r="AJ249" s="18" t="str">
        <x:v>https://www.seg-social.es/wps/portal/wss/internet/InformacionUtil/9950/88beb45d-ca83-4bab-8162-f94ef2894562/7e46efac-32c8-4cf6-b3d3-d592c3560dff/rdpi_administrativos_2024</x:v>
      </x:c>
      <x:c r="AK249" s="18" t="str">
        <x:v>OCR Windows es-ES sobre PDF oficial</x:v>
      </x:c>
      <x:c r="AL249" s="18" t="n">
        <x:v>100</x:v>
      </x:c>
      <x:c r="AM249" s="18" t="str">
        <x:v>Alta</x:v>
      </x:c>
      <x:c r="AN249" s="18" t="str">
        <x:v>Regla jurídica determinista</x:v>
      </x:c>
      <x:c r="AO249" s="18" t="str">
        <x:v>2025_conv2024_ordinario_A-T66</x:v>
      </x:c>
      <x:c r="AP249" s="18" t="n">
        <x:v>1</x:v>
      </x:c>
    </x:row>
    <x:row r="250">
      <x:c r="A250" s="18" t="str">
        <x:v>2025_conv2024_ordinario_A-T67</x:v>
      </x:c>
      <x:c r="B250" s="18" t="n">
        <x:v>2025</x:v>
      </x:c>
      <x:c r="C250" s="18" t="n">
        <x:v>2024</x:v>
      </x:c>
      <x:c r="D250" s="28" t="n">
        <x:v>45913</x:v>
      </x:c>
      <x:c r="E250" s="18" t="str">
        <x:v>Acceso libre</x:v>
      </x:c>
      <x:c r="F250" s="18" t="str">
        <x:v>Primera parte</x:v>
      </x:c>
      <x:c r="G250" s="18" t="str">
        <x:v>A</x:v>
      </x:c>
      <x:c r="H250" s="18" t="str">
        <x:v>A/B</x:v>
      </x:c>
      <x:c r="I250" s="18" t="str">
        <x:v>Sí</x:v>
      </x:c>
      <x:c r="J250" s="18" t="str">
        <x:v>Modelo A usado como variante canónica; el modelo B oficial está archivado y permuta el orden y/o las opciones.</x:v>
      </x:c>
      <x:c r="K250" s="18" t="n">
        <x:v>67</x:v>
      </x:c>
      <x:c r="L250" s="18" t="str">
        <x:v>No</x:v>
      </x:c>
      <x:c r="M250" s="18" t="str">
        <x:v>De acuerdo con eI artículo 363 del texto refundido de la Ley General de la Seguridad Social, uno de los requisitos para ser beneficiario de la prestación de incapacidad no contributiva es carecer de rentas o ingresos suficientes. A este respecto, señale la afirmación correcta respecto al límite de acumulación de recursos:</x:v>
      </x:c>
      <x:c r="N250" s="18" t="str">
        <x:v>Los límites de acumulación de recursos, en el supuesto de unidad económica, serán equivalentes a la cuantía, en cómputo anual, de la pensión, más eI resultado de multiplicar el 60% de dicha cifra por el número de convivientes, menos uno.</x:v>
      </x:c>
      <x:c r="O250" s="18" t="str">
        <x:v>Cuando la convivencia, dentro de une misma unidad económica, se produzca entre el solicitante y sus descendientes o ascendientes hasta segundo grado, los límites de acumulación de recursos serán equivalentes a 3 veces la cuantía que resulte de la suma de la cuantía, en cómputo anual, de la pensión, más el 60% de dicha cuantía multiplicado por eI número de convivientes, menos uno.</x:v>
      </x:c>
      <x:c r="P250" s="18" t="str">
        <x:v>Los límites de acumulación de recursos, en eI supuesto de unidad económica: serán equivalentes a la cuantía, en cómputo anual, de la pensión, más el resultado de multiplicar el 70% de dicha cifra por el número de convivientes, menos dos.</x:v>
      </x:c>
      <x:c r="Q250" s="18" t="str">
        <x:v>Cuando la convivencia, dentro de una misma unidad económica, se produzca entre el solicitante y sus descendientes o ascendientes en primer grado, los límites de acumulación de recursos serán equivalentes a 2,5 veces la cuantía que resulte de la suma de la cuantía, en cómputo anual, de la pensión, más el 70% de dicha cuantía multiplicado por el número de convivientes, menos uno.</x:v>
      </x:c>
      <x:c r="R250" s="18" t="str">
        <x:v>S12</x:v>
      </x:c>
      <x:c r="S250" s="18" t="n">
        <x:v>12</x:v>
      </x:c>
      <x:c r="T250" s="18" t="str">
        <x:v>Temario específico Seguridad Social</x:v>
      </x:c>
      <x:c r="U250" s="18" t="str">
        <x:v>Prestaciones no contributivas y asistenciales. El ingreso mínimo vital: beneficiarios, requisitos y duración. Obligaciones de las personas beneficiarias. Cuantía, pago, reintegro de prestaciones indebidas. Prestaciones familiares múltiples. Prestaciones familiares en la modalidad contributiva. Las pensiones no contributivas: Invalidez no contributiva: Jubilación no contributiva.</x:v>
      </x:c>
      <x:c r="V250" s="18" t="str">
        <x:v>S12</x:v>
      </x:c>
      <x:c r="W250" s="18" t="str">
        <x:v>texto refundido de la Ley General de la Seguridad Social</x:v>
      </x:c>
      <x:c r="X250" s="18" t="str">
        <x:v>363</x:v>
      </x:c>
      <x:c r="Y250" s="18" t="str">
        <x:v>Personas beneficiarias</x:v>
      </x:c>
      <x:c r="Z250" s="18" t="str">
        <x:v>Alta</x:v>
      </x:c>
      <x:c r="AA250" s="18" t="str">
        <x:v>S12</x:v>
      </x:c>
      <x:c r="AB250" s="18" t="str"/>
      <x:c r="AC250" s="18" t="str"/>
      <x:c r="AD250" s="18" t="str">
        <x:v>No</x:v>
      </x:c>
      <x:c r="AE250" s="18" t="str">
        <x:v>Teórico</x:v>
      </x:c>
      <x:c r="AF250" s="18" t="str">
        <x:v>D</x:v>
      </x:c>
      <x:c r="AG250" s="18" t="str">
        <x:v>D</x:v>
      </x:c>
      <x:c r="AH250" s="18" t="str">
        <x:v>Válida</x:v>
      </x:c>
      <x:c r="AI250" s="18" t="str">
        <x:v>01. Información oficial de la oposición\Exámenes oficiales anteriores\2025 Convocatoria 2024 - Acceso libre Modelo A.pdf</x:v>
      </x:c>
      <x:c r="AJ250" s="18" t="str">
        <x:v>https://www.seg-social.es/wps/portal/wss/internet/InformacionUtil/9950/88beb45d-ca83-4bab-8162-f94ef2894562/7e46efac-32c8-4cf6-b3d3-d592c3560dff/rdpi_administrativos_2024</x:v>
      </x:c>
      <x:c r="AK250" s="18" t="str">
        <x:v>OCR Windows es-ES sobre PDF oficial</x:v>
      </x:c>
      <x:c r="AL250" s="18" t="n">
        <x:v>100</x:v>
      </x:c>
      <x:c r="AM250" s="18" t="str">
        <x:v>Alta</x:v>
      </x:c>
      <x:c r="AN250" s="18" t="str">
        <x:v>Regla jurídica determinista</x:v>
      </x:c>
      <x:c r="AO250" s="18" t="str">
        <x:v>2025_conv2024_ordinario_A-T67</x:v>
      </x:c>
      <x:c r="AP250" s="18" t="n">
        <x:v>1</x:v>
      </x:c>
    </x:row>
    <x:row r="251">
      <x:c r="A251" s="18" t="str">
        <x:v>2025_conv2024_ordinario_A-T68</x:v>
      </x:c>
      <x:c r="B251" s="18" t="n">
        <x:v>2025</x:v>
      </x:c>
      <x:c r="C251" s="18" t="n">
        <x:v>2024</x:v>
      </x:c>
      <x:c r="D251" s="28" t="n">
        <x:v>45913</x:v>
      </x:c>
      <x:c r="E251" s="18" t="str">
        <x:v>Acceso libre</x:v>
      </x:c>
      <x:c r="F251" s="18" t="str">
        <x:v>Primera parte</x:v>
      </x:c>
      <x:c r="G251" s="18" t="str">
        <x:v>A</x:v>
      </x:c>
      <x:c r="H251" s="18" t="str">
        <x:v>A/B</x:v>
      </x:c>
      <x:c r="I251" s="18" t="str">
        <x:v>Sí</x:v>
      </x:c>
      <x:c r="J251" s="18" t="str">
        <x:v>Modelo A usado como variante canónica; el modelo B oficial está archivado y permuta el orden y/o las opciones.</x:v>
      </x:c>
      <x:c r="K251" s="18" t="n">
        <x:v>68</x:v>
      </x:c>
      <x:c r="L251" s="18" t="str">
        <x:v>No</x:v>
      </x:c>
      <x:c r="M251" s="18" t="str">
        <x:v>Según el artículo 123 del texto refundido de la Ley General de la Seguridad Social, en relación con eI Comité de Gestión del Fondo de Reserva de la Seguridad Social:</x:v>
      </x:c>
      <x:c r="N251" s="18" t="str">
        <x:v>Está presidido por la persona que ostente la titularidad de la Secretaría de Estado de la Seguridad Social y Pensiones.</x:v>
      </x:c>
      <x:c r="O251" s="18" t="str">
        <x:v>Su vicepresidente primero es la persona que ostente la titularidad de la Dirección General de la Tesorería General de la Seguridad Social.</x:v>
      </x:c>
      <x:c r="P251" s="18" t="str">
        <x:v>Su vicepresidente primero es la persona que ostente la titularidad de la Dirección General del Instituto Nacional de la Seguridad Social.</x:v>
      </x:c>
      <x:c r="Q251" s="18" t="str">
        <x:v>Está presidido por la persona titular del Ministerio de Inclusión, Seguridad Social y Migraciones.</x:v>
      </x:c>
      <x:c r="R251" s="18" t="str">
        <x:v>S13</x:v>
      </x:c>
      <x:c r="S251" s="18" t="n">
        <x:v>13</x:v>
      </x:c>
      <x:c r="T251" s="18" t="str">
        <x:v>Temario específico Seguridad Social</x:v>
      </x:c>
      <x:c r="U251" s="18" t="str">
        <x:v>Recursos generales del sistema de la Seguridad Social. El patrimonio único de la seguridad social: titularidad, adscripción, administración y custodia. Los negocios jurídicos patrimoniales: adquisición, enajenación, arrendamiento y cesión. El Fondo de Reserva de la Seguridad Social: constitución, dotación y disposición. Gestión de los recursos financieros: atribución de funciones. Pago de prestaciones de la Seguridad Social.</x:v>
      </x:c>
      <x:c r="V251" s="18" t="str">
        <x:v>Fondo de Reserva</x:v>
      </x:c>
      <x:c r="W251" s="18" t="str">
        <x:v>texto refundido de la Ley General de la Seguridad Social</x:v>
      </x:c>
      <x:c r="X251" s="18" t="str">
        <x:v>123</x:v>
      </x:c>
      <x:c r="Y251" s="18" t="str">
        <x:v>Artículos literales</x:v>
      </x:c>
      <x:c r="Z251" s="18" t="str">
        <x:v>Media</x:v>
      </x:c>
      <x:c r="AA251" s="18" t="str">
        <x:v>Fondo de Reserva</x:v>
      </x:c>
      <x:c r="AB251" s="18" t="str"/>
      <x:c r="AC251" s="18" t="str"/>
      <x:c r="AD251" s="18" t="str">
        <x:v>No</x:v>
      </x:c>
      <x:c r="AE251" s="18" t="str">
        <x:v>Teórico</x:v>
      </x:c>
      <x:c r="AF251" s="18" t="str">
        <x:v>A</x:v>
      </x:c>
      <x:c r="AG251" s="18" t="str">
        <x:v>A</x:v>
      </x:c>
      <x:c r="AH251" s="18" t="str">
        <x:v>Válida</x:v>
      </x:c>
      <x:c r="AI251" s="18" t="str">
        <x:v>01. Información oficial de la oposición\Exámenes oficiales anteriores\2025 Convocatoria 2024 - Acceso libre Modelo A.pdf</x:v>
      </x:c>
      <x:c r="AJ251" s="18" t="str">
        <x:v>https://www.seg-social.es/wps/portal/wss/internet/InformacionUtil/9950/88beb45d-ca83-4bab-8162-f94ef2894562/7e46efac-32c8-4cf6-b3d3-d592c3560dff/rdpi_administrativos_2024</x:v>
      </x:c>
      <x:c r="AK251" s="18" t="str">
        <x:v>OCR Windows es-ES sobre PDF oficial</x:v>
      </x:c>
      <x:c r="AL251" s="18" t="n">
        <x:v>100</x:v>
      </x:c>
      <x:c r="AM251" s="18" t="str">
        <x:v>Alta</x:v>
      </x:c>
      <x:c r="AN251" s="18" t="str">
        <x:v>Regla jurídica determinista</x:v>
      </x:c>
      <x:c r="AO251" s="18" t="str">
        <x:v>2025_conv2024_ordinario_A-T68</x:v>
      </x:c>
      <x:c r="AP251" s="18" t="n">
        <x:v>1</x:v>
      </x:c>
    </x:row>
    <x:row r="252">
      <x:c r="A252" s="18" t="str">
        <x:v>2025_conv2024_ordinario_A-T69</x:v>
      </x:c>
      <x:c r="B252" s="18" t="n">
        <x:v>2025</x:v>
      </x:c>
      <x:c r="C252" s="18" t="n">
        <x:v>2024</x:v>
      </x:c>
      <x:c r="D252" s="28" t="n">
        <x:v>45913</x:v>
      </x:c>
      <x:c r="E252" s="18" t="str">
        <x:v>Acceso libre</x:v>
      </x:c>
      <x:c r="F252" s="18" t="str">
        <x:v>Primera parte</x:v>
      </x:c>
      <x:c r="G252" s="18" t="str">
        <x:v>A</x:v>
      </x:c>
      <x:c r="H252" s="18" t="str">
        <x:v>A/B</x:v>
      </x:c>
      <x:c r="I252" s="18" t="str">
        <x:v>Sí</x:v>
      </x:c>
      <x:c r="J252" s="18" t="str">
        <x:v>Modelo A usado como variante canónica; el modelo B oficial está archivado y permuta el orden y/o las opciones.</x:v>
      </x:c>
      <x:c r="K252" s="18" t="n">
        <x:v>69</x:v>
      </x:c>
      <x:c r="L252" s="18" t="str">
        <x:v>No</x:v>
      </x:c>
      <x:c r="M252" s="18" t="str">
        <x:v>De conformidad con el artículo 12 bis del Real Decreto 122111992, de 9 de octubre, ¿a quién compete adscribir los bienes inmuebles del patrimonio de la Seguridad Social a otras administraciones públicas o a entidades de derecho público con personalidad jurídica propia o vinculadas o dependientes de las mismas, distintas de las entidades gestoras y los servicios comunes de la Seguridad Social, para el cumplimiento de sus fines propios, que se presumen de utilidad pública?</x:v>
      </x:c>
      <x:c r="N252" s="18" t="str">
        <x:v>Ala persona que ostente la titularidad de la Secretaria de Estado de Seguridad Social y Pensiones.</x:v>
      </x:c>
      <x:c r="O252" s="18" t="str">
        <x:v>A la persona titular del Ministerio de Inclusión, Seguridad Social y Migraciones.</x:v>
      </x:c>
      <x:c r="P252" s="18" t="str">
        <x:v>A la persona que ostente la titularidad de la Subsecretaría del Ministerio de Inclusión, Seguridad Social y Migraciones.</x:v>
      </x:c>
      <x:c r="Q252" s="18" t="str">
        <x:v>A cada Entidad Gestora o Servicio Común.</x:v>
      </x:c>
      <x:c r="R252" s="18" t="str">
        <x:v>S13</x:v>
      </x:c>
      <x:c r="S252" s="18" t="n">
        <x:v>13</x:v>
      </x:c>
      <x:c r="T252" s="18" t="str">
        <x:v>Temario específico Seguridad Social</x:v>
      </x:c>
      <x:c r="U252" s="18" t="str">
        <x:v>Recursos generales del sistema de la Seguridad Social. El patrimonio único de la seguridad social: titularidad, adscripción, administración y custodia. Los negocios jurídicos patrimoniales: adquisición, enajenación, arrendamiento y cesión. El Fondo de Reserva de la Seguridad Social: constitución, dotación y disposición. Gestión de los recursos financieros: atribución de funciones. Pago de prestaciones de la Seguridad Social.</x:v>
      </x:c>
      <x:c r="V252" s="18" t="str">
        <x:v>S13</x:v>
      </x:c>
      <x:c r="W252" s="18" t="str"/>
      <x:c r="X252" s="18" t="str">
        <x:v>12</x:v>
      </x:c>
      <x:c r="Y252" s="18" t="str">
        <x:v>Artículos literales</x:v>
      </x:c>
      <x:c r="Z252" s="18" t="str">
        <x:v>Alta</x:v>
      </x:c>
      <x:c r="AA252" s="18" t="str">
        <x:v>S13</x:v>
      </x:c>
      <x:c r="AB252" s="18" t="str">
        <x:v>ISM</x:v>
      </x:c>
      <x:c r="AC252" s="18" t="str"/>
      <x:c r="AD252" s="18" t="str">
        <x:v>No</x:v>
      </x:c>
      <x:c r="AE252" s="18" t="str">
        <x:v>Teórico</x:v>
      </x:c>
      <x:c r="AF252" s="18" t="str">
        <x:v>B</x:v>
      </x:c>
      <x:c r="AG252" s="18" t="str">
        <x:v>B</x:v>
      </x:c>
      <x:c r="AH252" s="18" t="str">
        <x:v>Válida</x:v>
      </x:c>
      <x:c r="AI252" s="18" t="str">
        <x:v>01. Información oficial de la oposición\Exámenes oficiales anteriores\2025 Convocatoria 2024 - Acceso libre Modelo A.pdf</x:v>
      </x:c>
      <x:c r="AJ252" s="18" t="str">
        <x:v>https://www.seg-social.es/wps/portal/wss/internet/InformacionUtil/9950/88beb45d-ca83-4bab-8162-f94ef2894562/7e46efac-32c8-4cf6-b3d3-d592c3560dff/rdpi_administrativos_2024</x:v>
      </x:c>
      <x:c r="AK252" s="18" t="str">
        <x:v>OCR Windows es-ES sobre PDF oficial</x:v>
      </x:c>
      <x:c r="AL252" s="18" t="n">
        <x:v>12</x:v>
      </x:c>
      <x:c r="AM252" s="18" t="str">
        <x:v>Alta</x:v>
      </x:c>
      <x:c r="AN252" s="18" t="str">
        <x:v>Ponderación de palabras clave</x:v>
      </x:c>
      <x:c r="AO252" s="18" t="str">
        <x:v>2025_conv2024_ordinario_A-T69</x:v>
      </x:c>
      <x:c r="AP252" s="18" t="n">
        <x:v>1</x:v>
      </x:c>
    </x:row>
    <x:row r="253">
      <x:c r="A253" s="18" t="str">
        <x:v>2025_conv2024_ordinario_A-T70</x:v>
      </x:c>
      <x:c r="B253" s="18" t="n">
        <x:v>2025</x:v>
      </x:c>
      <x:c r="C253" s="18" t="n">
        <x:v>2024</x:v>
      </x:c>
      <x:c r="D253" s="28" t="n">
        <x:v>45913</x:v>
      </x:c>
      <x:c r="E253" s="18" t="str">
        <x:v>Acceso libre</x:v>
      </x:c>
      <x:c r="F253" s="18" t="str">
        <x:v>Primera parte</x:v>
      </x:c>
      <x:c r="G253" s="18" t="str">
        <x:v>A</x:v>
      </x:c>
      <x:c r="H253" s="18" t="str">
        <x:v>A/B</x:v>
      </x:c>
      <x:c r="I253" s="18" t="str">
        <x:v>Sí</x:v>
      </x:c>
      <x:c r="J253" s="18" t="str">
        <x:v>Modelo A usado como variante canónica; el modelo B oficial está archivado y permuta el orden y/o las opciones.</x:v>
      </x:c>
      <x:c r="K253" s="18" t="n">
        <x:v>70</x:v>
      </x:c>
      <x:c r="L253" s="18" t="str">
        <x:v>No</x:v>
      </x:c>
      <x:c r="M253" s="18" t="str">
        <x:v>De conformidad con eI artículo 18 del Real Decreto 1221/1992, de 9 de octubre, sobre el patrimonio de la Seguridad Social:</x:v>
      </x:c>
      <x:c r="N253" s="18" t="str">
        <x:v>Los bienes muebles necesarios para el desenvolvimiento de los servicios, eI ornato y la decoración de las distintas dependencias de la Seguridad Social, podrán ser adquiridos por el Director general de la Entidad Gestora o Servicio Común que haya de utilizarlos, siendo atribuida su titularidad a dicha Entidad Gestora siempre y en todo caso.</x:v>
      </x:c>
      <x:c r="O253" s="18" t="str">
        <x:v>Los bienes muebles necesarios para el desenvolvimiento de los servicios, el omato y la decoración de las distintas dependencias de la Seguridad Social, podrán ser adquiridos por el Director general de la Entidad Gestora o Servicio Común que haya de utilizarlos, sin perjuicio de su atribución genérica a la Secretaría de Estado de Seguridad Social y Pensiones.</x:v>
      </x:c>
      <x:c r="P253" s="18" t="str">
        <x:v>Los bienes muebles necesarios para el desenvolvimiento de los servicios, el omato y la decoración de las distintas dependencias de la Seguridad Social, podrán ser adquiridos por eI Director general de la Entidad Gestora o Servicio Común que haya de utilizarlos, sin perjuicio de su atribución genérica al Ministerio de Inclusión, Seguridad Social y Migraciones.</x:v>
      </x:c>
      <x:c r="Q253" s="18" t="str">
        <x:v>Los bienes muebles necesarios para el desenvolvimiento de los servicios, eI omato y la decoración de las distintas dependencias de la Seguridad Social, podrán ser adquiridos por el Director general de ia Entidad Gestora o Servicio Común que haya de utilizarlos, sin perjuicio de su atribución genérica a la Tesorería General de la Seguridad Social.</x:v>
      </x:c>
      <x:c r="R253" s="18" t="str">
        <x:v>S13</x:v>
      </x:c>
      <x:c r="S253" s="18" t="n">
        <x:v>13</x:v>
      </x:c>
      <x:c r="T253" s="18" t="str">
        <x:v>Temario específico Seguridad Social</x:v>
      </x:c>
      <x:c r="U253" s="18" t="str">
        <x:v>Recursos generales del sistema de la Seguridad Social. El patrimonio único de la seguridad social: titularidad, adscripción, administración y custodia. Los negocios jurídicos patrimoniales: adquisición, enajenación, arrendamiento y cesión. El Fondo de Reserva de la Seguridad Social: constitución, dotación y disposición. Gestión de los recursos financieros: atribución de funciones. Pago de prestaciones de la Seguridad Social.</x:v>
      </x:c>
      <x:c r="V253" s="18" t="str">
        <x:v>S13</x:v>
      </x:c>
      <x:c r="W253" s="18" t="str">
        <x:v>Real Decreto 1221/1992</x:v>
      </x:c>
      <x:c r="X253" s="18" t="str">
        <x:v>18</x:v>
      </x:c>
      <x:c r="Y253" s="18" t="str">
        <x:v>Artículos literales</x:v>
      </x:c>
      <x:c r="Z253" s="18" t="str">
        <x:v>Media</x:v>
      </x:c>
      <x:c r="AA253" s="18" t="str">
        <x:v>S13</x:v>
      </x:c>
      <x:c r="AB253" s="18" t="str"/>
      <x:c r="AC253" s="18" t="str"/>
      <x:c r="AD253" s="18" t="str">
        <x:v>No</x:v>
      </x:c>
      <x:c r="AE253" s="18" t="str">
        <x:v>Teórico</x:v>
      </x:c>
      <x:c r="AF253" s="18" t="str">
        <x:v>D</x:v>
      </x:c>
      <x:c r="AG253" s="18" t="str">
        <x:v>D</x:v>
      </x:c>
      <x:c r="AH253" s="18" t="str">
        <x:v>Válida</x:v>
      </x:c>
      <x:c r="AI253" s="18" t="str">
        <x:v>01. Información oficial de la oposición\Exámenes oficiales anteriores\2025 Convocatoria 2024 - Acceso libre Modelo A.pdf</x:v>
      </x:c>
      <x:c r="AJ253" s="18" t="str">
        <x:v>https://www.seg-social.es/wps/portal/wss/internet/InformacionUtil/9950/88beb45d-ca83-4bab-8162-f94ef2894562/7e46efac-32c8-4cf6-b3d3-d592c3560dff/rdpi_administrativos_2024</x:v>
      </x:c>
      <x:c r="AK253" s="18" t="str">
        <x:v>OCR Windows es-ES sobre PDF oficial</x:v>
      </x:c>
      <x:c r="AL253" s="18" t="n">
        <x:v>12</x:v>
      </x:c>
      <x:c r="AM253" s="18" t="str">
        <x:v>Alta</x:v>
      </x:c>
      <x:c r="AN253" s="18" t="str">
        <x:v>Ponderación de palabras clave</x:v>
      </x:c>
      <x:c r="AO253" s="18" t="str">
        <x:v>2025_conv2024_ordinario_A-T70</x:v>
      </x:c>
      <x:c r="AP253" s="18" t="n">
        <x:v>1</x:v>
      </x:c>
    </x:row>
    <x:row r="254">
      <x:c r="A254" s="18" t="str">
        <x:v>2025_conv2024_ordinario_A-T71</x:v>
      </x:c>
      <x:c r="B254" s="18" t="n">
        <x:v>2025</x:v>
      </x:c>
      <x:c r="C254" s="18" t="n">
        <x:v>2024</x:v>
      </x:c>
      <x:c r="D254" s="28" t="n">
        <x:v>45913</x:v>
      </x:c>
      <x:c r="E254" s="18" t="str">
        <x:v>Acceso libre</x:v>
      </x:c>
      <x:c r="F254" s="18" t="str">
        <x:v>Primera parte</x:v>
      </x:c>
      <x:c r="G254" s="18" t="str">
        <x:v>A</x:v>
      </x:c>
      <x:c r="H254" s="18" t="str">
        <x:v>A/B</x:v>
      </x:c>
      <x:c r="I254" s="18" t="str">
        <x:v>Sí</x:v>
      </x:c>
      <x:c r="J254" s="18" t="str">
        <x:v>Modelo A usado como variante canónica; el modelo B oficial está archivado y permuta el orden y/o las opciones.</x:v>
      </x:c>
      <x:c r="K254" s="18" t="n">
        <x:v>71</x:v>
      </x:c>
      <x:c r="L254" s="18" t="str">
        <x:v>Sí</x:v>
      </x:c>
      <x:c r="M254" s="18" t="str">
        <x:v>De acuerdo con 10 establecido en el artículo 122 de la Constitución Española, el Consejo General del Poder Judicial:</x:v>
      </x:c>
      <x:c r="N254" s="18" t="str">
        <x:v>Es el órgano de administración del mismo. La ley orgánica establecerá su estatuto y el régimen de incompatibilidades de sus miembros y sus funciones, en particular en materia de nombramientos, ascensos, inspección y régimen disciplinario.</x:v>
      </x:c>
      <x:c r="O254" s="18" t="str">
        <x:v>Es el órgano de gobiemo del mismo. La ley ordinaria establecerá su estatuto y eI régimen de incompatibilidades de sus miembros y sus funciones, en particular en materia de nombramientos, ascensos, inspección y régimen disciplinario.</x:v>
      </x:c>
      <x:c r="P254" s="18" t="str">
        <x:v>Es el órgano de gobiemo del mismo. Un Real Decreto Legislativo establecerá su estatuto y el régimen de incompatibilidades de sus miembros y sus funciones, en particular en materia de nombramientos, ascensos, inspección y régimen disciplinario.</x:v>
      </x:c>
      <x:c r="Q254" s="18" t="str">
        <x:v>Es el órgano de gobierno del mismo. La ley orgánica establecerá su estatuto y eI régimen de incompatibilidades de sus miembros y sus funciones, en particular en materia de nombramientos, ascensos, inspección y régimen disciplinario.</x:v>
      </x:c>
      <x:c r="R254" s="18" t="str">
        <x:v>G06</x:v>
      </x:c>
      <x:c r="S254" s="18" t="n">
        <x:v>6</x:v>
      </x:c>
      <x:c r="T254" s="18" t="str">
        <x:v>Temario general</x:v>
      </x:c>
      <x:c r="U254" s="18" t="str">
        <x:v>El Poder Judicial. El principio de unidad jurisdiccional. El Consejo General del Poder Judicial. La organización judicial española.</x:v>
      </x:c>
      <x:c r="V254" s="18" t="str">
        <x:v>G06</x:v>
      </x:c>
      <x:c r="W254" s="18" t="str">
        <x:v>Constitución Española</x:v>
      </x:c>
      <x:c r="X254" s="18" t="str">
        <x:v>122</x:v>
      </x:c>
      <x:c r="Y254" s="18" t="str">
        <x:v>Artículos literales</x:v>
      </x:c>
      <x:c r="Z254" s="18" t="str">
        <x:v>Media</x:v>
      </x:c>
      <x:c r="AA254" s="18" t="str">
        <x:v>G06</x:v>
      </x:c>
      <x:c r="AB254" s="18" t="str">
        <x:v>Consejo General del Poder Judicial</x:v>
      </x:c>
      <x:c r="AC254" s="18" t="str"/>
      <x:c r="AD254" s="18" t="str">
        <x:v>No</x:v>
      </x:c>
      <x:c r="AE254" s="18" t="str">
        <x:v>Teórico</x:v>
      </x:c>
      <x:c r="AF254" s="18" t="str">
        <x:v>D</x:v>
      </x:c>
      <x:c r="AG254" s="18" t="str">
        <x:v>D</x:v>
      </x:c>
      <x:c r="AH254" s="18" t="str">
        <x:v>Válida</x:v>
      </x:c>
      <x:c r="AI254" s="18" t="str">
        <x:v>01. Información oficial de la oposición\Exámenes oficiales anteriores\2025 Convocatoria 2024 - Acceso libre Modelo A.pdf</x:v>
      </x:c>
      <x:c r="AJ254" s="18" t="str">
        <x:v>https://www.seg-social.es/wps/portal/wss/internet/InformacionUtil/9950/88beb45d-ca83-4bab-8162-f94ef2894562/7e46efac-32c8-4cf6-b3d3-d592c3560dff/rdpi_administrativos_2024</x:v>
      </x:c>
      <x:c r="AK254" s="18" t="str">
        <x:v>OCR Windows es-ES sobre PDF oficial</x:v>
      </x:c>
      <x:c r="AL254" s="18" t="n">
        <x:v>100</x:v>
      </x:c>
      <x:c r="AM254" s="18" t="str">
        <x:v>Alta</x:v>
      </x:c>
      <x:c r="AN254" s="18" t="str">
        <x:v>Regla jurídica determinista</x:v>
      </x:c>
      <x:c r="AO254" s="18" t="str">
        <x:v>2025_conv2024_ordinario_A-T71</x:v>
      </x:c>
      <x:c r="AP254" s="18" t="n">
        <x:v>1</x:v>
      </x:c>
    </x:row>
    <x:row r="255">
      <x:c r="A255" s="18" t="str">
        <x:v>2025_conv2024_ordinario_A-T72</x:v>
      </x:c>
      <x:c r="B255" s="18" t="n">
        <x:v>2025</x:v>
      </x:c>
      <x:c r="C255" s="18" t="n">
        <x:v>2024</x:v>
      </x:c>
      <x:c r="D255" s="28" t="n">
        <x:v>45913</x:v>
      </x:c>
      <x:c r="E255" s="18" t="str">
        <x:v>Acceso libre</x:v>
      </x:c>
      <x:c r="F255" s="18" t="str">
        <x:v>Primera parte</x:v>
      </x:c>
      <x:c r="G255" s="18" t="str">
        <x:v>A</x:v>
      </x:c>
      <x:c r="H255" s="18" t="str">
        <x:v>A/B</x:v>
      </x:c>
      <x:c r="I255" s="18" t="str">
        <x:v>Sí</x:v>
      </x:c>
      <x:c r="J255" s="18" t="str">
        <x:v>Modelo A usado como variante canónica; el modelo B oficial está archivado y permuta el orden y/o las opciones.</x:v>
      </x:c>
      <x:c r="K255" s="18" t="n">
        <x:v>72</x:v>
      </x:c>
      <x:c r="L255" s="18" t="str">
        <x:v>Sí</x:v>
      </x:c>
      <x:c r="M255" s="18" t="str">
        <x:v>Según el artículo 205 del texto refundido de la Ley General de la Seguridad Social y en relación con la pensión de jubilación en su modalidad contributiva, a efectos del cómputo de los años cotizados:</x:v>
      </x:c>
      <x:c r="N255" s="18" t="str">
        <x:v>No se tendrá en cuenta la parte proporcional correspondiente a las pagas extraordinarias.</x:v>
      </x:c>
      <x:c r="O255" s="18" t="str">
        <x:v>Se tendrá en cuenta la parte proporcional correspondiente a las pagas extraordinarias.</x:v>
      </x:c>
      <x:c r="P255" s="18" t="str">
        <x:v>Sólo se tendrá en cuenta la parte proporcional correspondiente a las pagas extraordinarias de los quince años inmediatamente anteriores al momento de causar el derecho.</x:v>
      </x:c>
      <x:c r="Q255" s="18" t="str">
        <x:v>Sólo se tendrá en cuenta la parte proporcional correspondiente a las pagas extraordinarias de los dos años inmediatamente anteriores a! momento de causar el derecho.</x:v>
      </x:c>
      <x:c r="R255" s="18" t="str">
        <x:v>S10</x:v>
      </x:c>
      <x:c r="S255" s="18" t="n">
        <x:v>10</x:v>
      </x:c>
      <x:c r="T255" s="18" t="str">
        <x:v>Temario específico Seguridad Social</x:v>
      </x:c>
      <x:c r="U255" s="18" t="str">
        <x:v>Jubilación en la modalidad contributiva: concepto. Jubilación ordinaria: requisitos: especial referencia a la edad de jubilación. Determinación de la cuantía de la prestación: base reguladora y porcentaje. Jubilación anticipada, jubilación parcial y jubilación flexible. Compatibilidad de la pensión de jubilación y el trabajo. Suspensión y extinción de la prestación. Especial referencia a la aplicación de la normativa anterior a la Ley 27/2011.</x:v>
      </x:c>
      <x:c r="V255" s="18" t="str">
        <x:v>jubilación</x:v>
      </x:c>
      <x:c r="W255" s="18" t="str">
        <x:v>texto refundido de la Ley General de la Seguridad Social</x:v>
      </x:c>
      <x:c r="X255" s="18" t="str">
        <x:v>205</x:v>
      </x:c>
      <x:c r="Y255" s="18" t="str">
        <x:v>Jubilación</x:v>
      </x:c>
      <x:c r="Z255" s="18" t="str">
        <x:v>Media</x:v>
      </x:c>
      <x:c r="AA255" s="18" t="str">
        <x:v>jubilación</x:v>
      </x:c>
      <x:c r="AB255" s="18" t="str"/>
      <x:c r="AC255" s="18" t="str"/>
      <x:c r="AD255" s="18" t="str">
        <x:v>No</x:v>
      </x:c>
      <x:c r="AE255" s="18" t="str">
        <x:v>Teórico</x:v>
      </x:c>
      <x:c r="AF255" s="18" t="str">
        <x:v>A</x:v>
      </x:c>
      <x:c r="AG255" s="18" t="str">
        <x:v>A</x:v>
      </x:c>
      <x:c r="AH255" s="18" t="str">
        <x:v>Válida</x:v>
      </x:c>
      <x:c r="AI255" s="18" t="str">
        <x:v>01. Información oficial de la oposición\Exámenes oficiales anteriores\2025 Convocatoria 2024 - Acceso libre Modelo A.pdf</x:v>
      </x:c>
      <x:c r="AJ255" s="18" t="str">
        <x:v>https://www.seg-social.es/wps/portal/wss/internet/InformacionUtil/9950/88beb45d-ca83-4bab-8162-f94ef2894562/7e46efac-32c8-4cf6-b3d3-d592c3560dff/rdpi_administrativos_2024</x:v>
      </x:c>
      <x:c r="AK255" s="18" t="str">
        <x:v>OCR Windows es-ES sobre PDF oficial</x:v>
      </x:c>
      <x:c r="AL255" s="18" t="n">
        <x:v>100</x:v>
      </x:c>
      <x:c r="AM255" s="18" t="str">
        <x:v>Alta</x:v>
      </x:c>
      <x:c r="AN255" s="18" t="str">
        <x:v>Regla jurídica determinista</x:v>
      </x:c>
      <x:c r="AO255" s="18" t="str">
        <x:v>2025_conv2024_ordinario_A-T72</x:v>
      </x:c>
      <x:c r="AP255" s="18" t="n">
        <x:v>1</x:v>
      </x:c>
    </x:row>
    <x:row r="256">
      <x:c r="A256" s="18" t="str">
        <x:v>2025_conv2024_ordinario_A-T73</x:v>
      </x:c>
      <x:c r="B256" s="18" t="n">
        <x:v>2025</x:v>
      </x:c>
      <x:c r="C256" s="18" t="n">
        <x:v>2024</x:v>
      </x:c>
      <x:c r="D256" s="28" t="n">
        <x:v>45913</x:v>
      </x:c>
      <x:c r="E256" s="18" t="str">
        <x:v>Acceso libre</x:v>
      </x:c>
      <x:c r="F256" s="18" t="str">
        <x:v>Primera parte</x:v>
      </x:c>
      <x:c r="G256" s="18" t="str">
        <x:v>A</x:v>
      </x:c>
      <x:c r="H256" s="18" t="str">
        <x:v>A/B</x:v>
      </x:c>
      <x:c r="I256" s="18" t="str">
        <x:v>Sí</x:v>
      </x:c>
      <x:c r="J256" s="18" t="str">
        <x:v>Modelo A usado como variante canónica; el modelo B oficial está archivado y permuta el orden y/o las opciones.</x:v>
      </x:c>
      <x:c r="K256" s="18" t="n">
        <x:v>73</x:v>
      </x:c>
      <x:c r="L256" s="18" t="str">
        <x:v>Sí</x:v>
      </x:c>
      <x:c r="M256" s="18" t="str">
        <x:v>De acuerdo con el Real Decreto 1191/2012, de 3 de agosto, por eI que se establecen normas para el reconocimiento del complemento de pensión para eI alquiler de vivienda a favor de los pensionistas de la Seguridad Social en su modalidad no contributiva, señale la afirmación correcta:</x:v>
      </x:c>
      <x:c r="N256" s="18" t="str">
        <x:v>Si en Ea misma vivienda alquilada conviven dos o más personas que tuvieran reconocida una pensión de ta Seguridad Social en su modalidad no contributiva, sólo tendrá derecho a este complemento aquel que sea el titular del contrato de arrendamiento o, de ser varios, eI primero de ellos.</x:v>
      </x:c>
      <x:c r="O256" s="18" t="str">
        <x:v>Para tener derecho a este complemento se debe tener fijada la residencia, como domicilio habitual, en una vivienda alquilada. Se entenderá que es eI domicilio habitual cuando la vigencia del contrato de arrendamiento no sea inferior a cinco años y el pensionista haya residido en la misma durante los 545 días inmediatamente anteriores.</x:v>
      </x:c>
      <x:c r="P256" s="18" t="str">
        <x:v>EI beneficiario no podrá tener con el arrendador de la vivienda alquilada relación conyugal o de parentesco, por consanguinidad, afinidad o adopción hasta el segundo grado, ni constituir con aquél una unión estable y de convivencia con análoga relación de afectividad a la conyugal.</x:v>
      </x:c>
      <x:c r="Q256" s="18" t="str">
        <x:v>La cuantía del complemento de pensión para el alquiler de vivienda será de 600 euros, que se percibirán en dos mensualidades, en junio y en noviembre.</x:v>
      </x:c>
      <x:c r="R256" s="18" t="str">
        <x:v>S12</x:v>
      </x:c>
      <x:c r="S256" s="18" t="n">
        <x:v>12</x:v>
      </x:c>
      <x:c r="T256" s="18" t="str">
        <x:v>Temario específico Seguridad Social</x:v>
      </x:c>
      <x:c r="U256" s="18" t="str">
        <x:v>Prestaciones no contributivas y asistenciales. El ingreso mínimo vital: beneficiarios, requisitos y duración. Obligaciones de las personas beneficiarias. Cuantía, pago, reintegro de prestaciones indebidas. Prestaciones familiares múltiples. Prestaciones familiares en la modalidad contributiva. Las pensiones no contributivas: Invalidez no contributiva: Jubilación no contributiva.</x:v>
      </x:c>
      <x:c r="V256" s="18" t="str">
        <x:v>S12</x:v>
      </x:c>
      <x:c r="W256" s="18" t="str">
        <x:v>Real Decreto 1191/2012</x:v>
      </x:c>
      <x:c r="X256" s="18" t="str"/>
      <x:c r="Y256" s="18" t="str">
        <x:v>Prestaciones no contributivas</x:v>
      </x:c>
      <x:c r="Z256" s="18" t="str">
        <x:v>Media</x:v>
      </x:c>
      <x:c r="AA256" s="18" t="str">
        <x:v>S12</x:v>
      </x:c>
      <x:c r="AB256" s="18" t="str"/>
      <x:c r="AC256" s="18" t="str"/>
      <x:c r="AD256" s="18" t="str">
        <x:v>No</x:v>
      </x:c>
      <x:c r="AE256" s="18" t="str">
        <x:v>Teórico</x:v>
      </x:c>
      <x:c r="AF256" s="18" t="str">
        <x:v>A</x:v>
      </x:c>
      <x:c r="AG256" s="18" t="str">
        <x:v>A</x:v>
      </x:c>
      <x:c r="AH256" s="18" t="str">
        <x:v>Válida</x:v>
      </x:c>
      <x:c r="AI256" s="18" t="str">
        <x:v>01. Información oficial de la oposición\Exámenes oficiales anteriores\2025 Convocatoria 2024 - Acceso libre Modelo A.pdf</x:v>
      </x:c>
      <x:c r="AJ256" s="18" t="str">
        <x:v>https://www.seg-social.es/wps/portal/wss/internet/InformacionUtil/9950/88beb45d-ca83-4bab-8162-f94ef2894562/7e46efac-32c8-4cf6-b3d3-d592c3560dff/rdpi_administrativos_2024</x:v>
      </x:c>
      <x:c r="AK256" s="18" t="str">
        <x:v>OCR Windows es-ES sobre PDF oficial</x:v>
      </x:c>
      <x:c r="AL256" s="18" t="n">
        <x:v>100</x:v>
      </x:c>
      <x:c r="AM256" s="18" t="str">
        <x:v>Alta</x:v>
      </x:c>
      <x:c r="AN256" s="18" t="str">
        <x:v>Regla jurídica determinista</x:v>
      </x:c>
      <x:c r="AO256" s="18" t="str">
        <x:v>2025_conv2024_ordinario_A-T73</x:v>
      </x:c>
      <x:c r="AP256" s="18" t="n">
        <x:v>1</x:v>
      </x:c>
    </x:row>
    <x:row r="257">
      <x:c r="A257" s="18" t="str">
        <x:v>2025_conv2024_ordinario_A-P01</x:v>
      </x:c>
      <x:c r="B257" s="18" t="n">
        <x:v>2025</x:v>
      </x:c>
      <x:c r="C257" s="18" t="n">
        <x:v>2024</x:v>
      </x:c>
      <x:c r="D257" s="28" t="n">
        <x:v>45913</x:v>
      </x:c>
      <x:c r="E257" s="18" t="str">
        <x:v>Acceso libre</x:v>
      </x:c>
      <x:c r="F257" s="18" t="str">
        <x:v>Segunda parte</x:v>
      </x:c>
      <x:c r="G257" s="18" t="str">
        <x:v>A</x:v>
      </x:c>
      <x:c r="H257" s="18" t="str">
        <x:v>A/B</x:v>
      </x:c>
      <x:c r="I257" s="18" t="str">
        <x:v>Sí</x:v>
      </x:c>
      <x:c r="J257" s="18" t="str">
        <x:v>Modelo A usado como variante canónica; el modelo B oficial está archivado y permuta el orden y/o las opciones.</x:v>
      </x:c>
      <x:c r="K257" s="18" t="n">
        <x:v>1</x:v>
      </x:c>
      <x:c r="L257" s="18" t="str">
        <x:v>No</x:v>
      </x:c>
      <x:c r="M257" s="18" t="str">
        <x:v>Doña Melibea se dirige a una Administración de la Seguridad Social, consultando si su fundación tendrá la consideración de empresario en la Seguridad Social y por tanto tendrá que realizar engorrosos trámites administrativos:</x:v>
      </x:c>
      <x:c r="N257" s="18" t="str">
        <x:v>No tiene la condición de empresario, porque la fundación no tiene ánimo de lucro y los dos trabajadores perciben un pequeño salario que se puede considerar como un trabajo amistoso.</x:v>
      </x:c>
      <x:c r="O257" s="18" t="str">
        <x:v>Tiene la condición de empresario, aunque la fundación no tenga ánimo de lucro, porque tiene trabajadores a su servicio, con independencia del salario percibido.</x:v>
      </x:c>
      <x:c r="P257" s="18" t="str">
        <x:v>No tiene la condición de empresario porque, aunque tenga trabajadores a su servicio, no tiene ánimo de lucro.</x:v>
      </x:c>
      <x:c r="Q257" s="18" t="str">
        <x:v>Las fundaciones están excluidas de forma expresa de su consideración como empresarios de Seguridad Social, por no tener ánimo de lucro. Dña. Melibea tiene la mayoría de las participaciones de la sociedad "Pleberio, S.L." que inició su actividad eI día 7 de marzo de 2022, instando su inscripción en la Seguridad Social en los plazos reglamentariamente establecidos y concertando la cobertura de la protección de las contingencias profesionales y de la prestación económica por incapacidad temporal derivada de contingencias comunes con la mutua colaboradora de la Seguridad Social "Sosia". A principios del año 2025 y antes de finalizar la vigencia del convenio prorrogado en el año 2024, solicita dentro del plazo legalmente establecido eI cambio de estas coberturas a la mutua colaboradora de la Seguridad Social "Sempronio".</x:v>
      </x:c>
      <x:c r="R257" s="18" t="str">
        <x:v>S03</x:v>
      </x:c>
      <x:c r="S257" s="18" t="n">
        <x:v>3</x:v>
      </x:c>
      <x:c r="T257" s="18" t="str">
        <x:v>Temario específico Seguridad Social</x:v>
      </x:c>
      <x:c r="U257" s="18" t="str">
        <x:v>Normas sobre afiliación. Altas y bajas en el régimen general. Procedimiento y efectos. El convenio especial y otras situaciones asimiladas a la del alta. Encuadramiento e inscripción.</x:v>
      </x:c>
      <x:c r="V257" s="18" t="str">
        <x:v>S03</x:v>
      </x:c>
      <x:c r="W257" s="18" t="str"/>
      <x:c r="X257" s="18" t="str"/>
      <x:c r="Y257" s="18" t="str">
        <x:v>Procedimientos</x:v>
      </x:c>
      <x:c r="Z257" s="18" t="str">
        <x:v>Media</x:v>
      </x:c>
      <x:c r="AA257" s="18" t="str">
        <x:v>S03</x:v>
      </x:c>
      <x:c r="AB257" s="18" t="str"/>
      <x:c r="AC257" s="18" t="str"/>
      <x:c r="AD257" s="18" t="str">
        <x:v>No</x:v>
      </x:c>
      <x:c r="AE257" s="18" t="str">
        <x:v>Práctico</x:v>
      </x:c>
      <x:c r="AF257" s="18" t="str">
        <x:v>B</x:v>
      </x:c>
      <x:c r="AG257" s="18" t="str">
        <x:v>B</x:v>
      </x:c>
      <x:c r="AH257" s="18" t="str">
        <x:v>Válida</x:v>
      </x:c>
      <x:c r="AI257" s="18" t="str">
        <x:v>01. Información oficial de la oposición\Exámenes oficiales anteriores\2025 Convocatoria 2024 - Acceso libre Modelo A.pdf</x:v>
      </x:c>
      <x:c r="AJ257" s="18" t="str">
        <x:v>https://www.seg-social.es/wps/portal/wss/internet/InformacionUtil/9950/88beb45d-ca83-4bab-8162-f94ef2894562/7e46efac-32c8-4cf6-b3d3-d592c3560dff/rdpi_administrativos_2024</x:v>
      </x:c>
      <x:c r="AK257" s="18" t="str">
        <x:v>OCR Windows es-ES sobre PDF oficial</x:v>
      </x:c>
      <x:c r="AL257" s="18" t="n">
        <x:v>100</x:v>
      </x:c>
      <x:c r="AM257" s="18" t="str">
        <x:v>Alta</x:v>
      </x:c>
      <x:c r="AN257" s="18" t="str">
        <x:v>Revisión jurídica individual</x:v>
      </x:c>
      <x:c r="AO257" s="18" t="str">
        <x:v>2025_conv2024_ordinario_A-P01</x:v>
      </x:c>
      <x:c r="AP257" s="18" t="n">
        <x:v>1</x:v>
      </x:c>
    </x:row>
    <x:row r="258">
      <x:c r="A258" s="18" t="str">
        <x:v>2025_conv2024_ordinario_A-P02</x:v>
      </x:c>
      <x:c r="B258" s="18" t="n">
        <x:v>2025</x:v>
      </x:c>
      <x:c r="C258" s="18" t="n">
        <x:v>2024</x:v>
      </x:c>
      <x:c r="D258" s="28" t="n">
        <x:v>45913</x:v>
      </x:c>
      <x:c r="E258" s="18" t="str">
        <x:v>Acceso libre</x:v>
      </x:c>
      <x:c r="F258" s="18" t="str">
        <x:v>Segunda parte</x:v>
      </x:c>
      <x:c r="G258" s="18" t="str">
        <x:v>A</x:v>
      </x:c>
      <x:c r="H258" s="18" t="str">
        <x:v>A/B</x:v>
      </x:c>
      <x:c r="I258" s="18" t="str">
        <x:v>Sí</x:v>
      </x:c>
      <x:c r="J258" s="18" t="str">
        <x:v>Modelo A usado como variante canónica; el modelo B oficial está archivado y permuta el orden y/o las opciones.</x:v>
      </x:c>
      <x:c r="K258" s="18" t="n">
        <x:v>2</x:v>
      </x:c>
      <x:c r="L258" s="18" t="str">
        <x:v>No</x:v>
      </x:c>
      <x:c r="M258" s="18" t="str">
        <x:v>Señale la fecha del vencimiento de la cobertura de las contingencias profesionales y la prestación económica de incapacidad temporal derivada de contingencias comunes con la mutua colaboradora de la Seguridad Social "Sosia":</x:v>
      </x:c>
      <x:c r="N258" s="18" t="str">
        <x:v>EI 7 de marzo de 2025.</x:v>
      </x:c>
      <x:c r="O258" s="18" t="str">
        <x:v>EI 31 de diciembre de 2025.</x:v>
      </x:c>
      <x:c r="P258" s="18" t="str">
        <x:v>EI 31 de marzo de 2025.</x:v>
      </x:c>
      <x:c r="Q258" s="18" t="str">
        <x:v>EI 1 de marzo de 2025. Dña. Celestina presta servicios en la empresa "Pleberio, SL.". Debido a un error del departamento de recursos humanos, no se descontó la cuota obrera de la trabajadora del mes de enero de 2025 y se abonó la nómina sin tener en cuenta dicho descuento.</x:v>
      </x:c>
      <x:c r="R258" s="18" t="str">
        <x:v>S03</x:v>
      </x:c>
      <x:c r="S258" s="18" t="n">
        <x:v>3</x:v>
      </x:c>
      <x:c r="T258" s="18" t="str">
        <x:v>Temario específico Seguridad Social</x:v>
      </x:c>
      <x:c r="U258" s="18" t="str">
        <x:v>Normas sobre afiliación. Altas y bajas en el régimen general. Procedimiento y efectos. El convenio especial y otras situaciones asimiladas a la del alta. Encuadramiento e inscripción.</x:v>
      </x:c>
      <x:c r="V258" s="18" t="str">
        <x:v>incapacidad temporal</x:v>
      </x:c>
      <x:c r="W258" s="18" t="str"/>
      <x:c r="X258" s="18" t="str"/>
      <x:c r="Y258" s="18" t="str">
        <x:v>Afiliación, altas y bajas</x:v>
      </x:c>
      <x:c r="Z258" s="18" t="str">
        <x:v>Media</x:v>
      </x:c>
      <x:c r="AA258" s="18" t="str">
        <x:v>incapacidad temporal</x:v>
      </x:c>
      <x:c r="AB258" s="18" t="str">
        <x:v>mutua colaboradora</x:v>
      </x:c>
      <x:c r="AC258" s="18" t="str"/>
      <x:c r="AD258" s="18" t="str">
        <x:v>No</x:v>
      </x:c>
      <x:c r="AE258" s="18" t="str">
        <x:v>Práctico</x:v>
      </x:c>
      <x:c r="AF258" s="18" t="str">
        <x:v>C</x:v>
      </x:c>
      <x:c r="AG258" s="18" t="str">
        <x:v>C</x:v>
      </x:c>
      <x:c r="AH258" s="18" t="str">
        <x:v>Válida</x:v>
      </x:c>
      <x:c r="AI258" s="18" t="str">
        <x:v>01. Información oficial de la oposición\Exámenes oficiales anteriores\2025 Convocatoria 2024 - Acceso libre Modelo A.pdf</x:v>
      </x:c>
      <x:c r="AJ258" s="18" t="str">
        <x:v>https://www.seg-social.es/wps/portal/wss/internet/InformacionUtil/9950/88beb45d-ca83-4bab-8162-f94ef2894562/7e46efac-32c8-4cf6-b3d3-d592c3560dff/rdpi_administrativos_2024</x:v>
      </x:c>
      <x:c r="AK258" s="18" t="str">
        <x:v>OCR Windows es-ES sobre PDF oficial</x:v>
      </x:c>
      <x:c r="AL258" s="18" t="n">
        <x:v>100</x:v>
      </x:c>
      <x:c r="AM258" s="18" t="str">
        <x:v>Alta</x:v>
      </x:c>
      <x:c r="AN258" s="18" t="str">
        <x:v>Revisión jurídica individual</x:v>
      </x:c>
      <x:c r="AO258" s="18" t="str">
        <x:v>2025_conv2024_ordinario_A-P02</x:v>
      </x:c>
      <x:c r="AP258" s="18" t="n">
        <x:v>1</x:v>
      </x:c>
    </x:row>
    <x:row r="259">
      <x:c r="A259" s="18" t="str">
        <x:v>2025_conv2024_ordinario_A-P03</x:v>
      </x:c>
      <x:c r="B259" s="18" t="n">
        <x:v>2025</x:v>
      </x:c>
      <x:c r="C259" s="18" t="n">
        <x:v>2024</x:v>
      </x:c>
      <x:c r="D259" s="28" t="n">
        <x:v>45913</x:v>
      </x:c>
      <x:c r="E259" s="18" t="str">
        <x:v>Acceso libre</x:v>
      </x:c>
      <x:c r="F259" s="18" t="str">
        <x:v>Segunda parte</x:v>
      </x:c>
      <x:c r="G259" s="18" t="str">
        <x:v>A</x:v>
      </x:c>
      <x:c r="H259" s="18" t="str">
        <x:v>A/B</x:v>
      </x:c>
      <x:c r="I259" s="18" t="str">
        <x:v>Sí</x:v>
      </x:c>
      <x:c r="J259" s="18" t="str">
        <x:v>Modelo A usado como variante canónica; el modelo B oficial está archivado y permuta el orden y/o las opciones.</x:v>
      </x:c>
      <x:c r="K259" s="18" t="n">
        <x:v>3</x:v>
      </x:c>
      <x:c r="L259" s="18" t="str">
        <x:v>No</x:v>
      </x:c>
      <x:c r="M259" s="18" t="str">
        <x:v>Ante ei error del departamento de recursos humanos de la empresa "Pleberio, S.L.", que no descontó eI importe de la cuota obrera del mes de enero de 2025 a Dña. Celestina, se pretende efectuar el descuento del importe en la nómina del mes de febrero de 2025; indique si esta actuación es correcta:</x:v>
      </x:c>
      <x:c r="N259" s="18" t="str">
        <x:v>Sí, porque es posible realizar eI descuento no practicado en los tres meses posteriores.</x:v>
      </x:c>
      <x:c r="O259" s="18" t="str">
        <x:v>No, porque 10 tiene que ingresar Dña. Celestina de forma expresa mediante transferencia a la empresa y previo requerimiento de la empresa.</x:v>
      </x:c>
      <x:c r="P259" s="18" t="str">
        <x:v>Sí, porque es posible realizar eI descuento no practicado exclusivamente en el mes siguiente.</x:v>
      </x:c>
      <x:c r="Q259" s="18" t="str">
        <x:v>No, porque se tiene que hacer el descuento en el momento de hacer efectivas las retribuciones y no puede realizarlo con posterioridad. La empresa "Pleberio, SI." solicitó, mediante el sistema de liquidación directa, eI día 24 de febrero de 2025 la práctica de la liquidación de las cuotas del mes de enero cuyo plazo reglamentario de ingreso es febrero de 2025, pero faltaba aportar la base de cotización de uno de los trabajadores de la empresa y ante este incumplimiento la Tesorería General de la Seguridad Social le requirió el día 25 de febrero la aportación de estos datos.</x:v>
      </x:c>
      <x:c r="R259" s="18" t="str">
        <x:v>S04</x:v>
      </x:c>
      <x:c r="S259" s="18" t="n">
        <x:v>4</x:v>
      </x:c>
      <x:c r="T259" s="18" t="str">
        <x:v>Temario específico Seguridad Social</x:v>
      </x:c>
      <x:c r="U259" s="18" t="str">
        <x:v>La cotización a la Seguridad Social: normas comunes del sistema. La liquidación de cuotas. El régimen general de la Seguridad Social. Supuestos especiales. Bases y tipos de cotización. Liquidación de otras deudas.</x:v>
      </x:c>
      <x:c r="V259" s="18" t="str">
        <x:v>S04</x:v>
      </x:c>
      <x:c r="W259" s="18" t="str"/>
      <x:c r="X259" s="18" t="str"/>
      <x:c r="Y259" s="18" t="str">
        <x:v>Cálculos</x:v>
      </x:c>
      <x:c r="Z259" s="18" t="str">
        <x:v>Alta</x:v>
      </x:c>
      <x:c r="AA259" s="18" t="str">
        <x:v>S04</x:v>
      </x:c>
      <x:c r="AB259" s="18" t="str"/>
      <x:c r="AC259" s="18" t="str"/>
      <x:c r="AD259" s="18" t="str">
        <x:v>No</x:v>
      </x:c>
      <x:c r="AE259" s="18" t="str">
        <x:v>Práctico</x:v>
      </x:c>
      <x:c r="AF259" s="18" t="str">
        <x:v>D</x:v>
      </x:c>
      <x:c r="AG259" s="18" t="str">
        <x:v>D</x:v>
      </x:c>
      <x:c r="AH259" s="18" t="str">
        <x:v>Válida</x:v>
      </x:c>
      <x:c r="AI259" s="18" t="str">
        <x:v>01. Información oficial de la oposición\Exámenes oficiales anteriores\2025 Convocatoria 2024 - Acceso libre Modelo A.pdf</x:v>
      </x:c>
      <x:c r="AJ259" s="18" t="str">
        <x:v>https://www.seg-social.es/wps/portal/wss/internet/InformacionUtil/9950/88beb45d-ca83-4bab-8162-f94ef2894562/7e46efac-32c8-4cf6-b3d3-d592c3560dff/rdpi_administrativos_2024</x:v>
      </x:c>
      <x:c r="AK259" s="18" t="str">
        <x:v>OCR Windows es-ES sobre PDF oficial</x:v>
      </x:c>
      <x:c r="AL259" s="18" t="n">
        <x:v>100</x:v>
      </x:c>
      <x:c r="AM259" s="18" t="str">
        <x:v>Alta</x:v>
      </x:c>
      <x:c r="AN259" s="18" t="str">
        <x:v>Regla jurídica determinista</x:v>
      </x:c>
      <x:c r="AO259" s="18" t="str">
        <x:v>2025_conv2024_ordinario_A-P03</x:v>
      </x:c>
      <x:c r="AP259" s="18" t="n">
        <x:v>1</x:v>
      </x:c>
    </x:row>
    <x:row r="260">
      <x:c r="A260" s="18" t="str">
        <x:v>2025_conv2024_ordinario_A-P04</x:v>
      </x:c>
      <x:c r="B260" s="18" t="n">
        <x:v>2025</x:v>
      </x:c>
      <x:c r="C260" s="18" t="n">
        <x:v>2024</x:v>
      </x:c>
      <x:c r="D260" s="28" t="n">
        <x:v>45913</x:v>
      </x:c>
      <x:c r="E260" s="18" t="str">
        <x:v>Acceso libre</x:v>
      </x:c>
      <x:c r="F260" s="18" t="str">
        <x:v>Segunda parte</x:v>
      </x:c>
      <x:c r="G260" s="18" t="str">
        <x:v>A</x:v>
      </x:c>
      <x:c r="H260" s="18" t="str">
        <x:v>A/B</x:v>
      </x:c>
      <x:c r="I260" s="18" t="str">
        <x:v>Sí</x:v>
      </x:c>
      <x:c r="J260" s="18" t="str">
        <x:v>Modelo A usado como variante canónica; el modelo B oficial está archivado y permuta el orden y/o las opciones.</x:v>
      </x:c>
      <x:c r="K260" s="18" t="n">
        <x:v>4</x:v>
      </x:c>
      <x:c r="L260" s="18" t="str">
        <x:v>No</x:v>
      </x:c>
      <x:c r="M260" s="18" t="str">
        <x:v>Indique hasta que día tiene la empresa "Pleberio, S.L." para aportar los datos solicitados por la Tesorería General de la Seguridad Social eI día 25 de febrero de 2025 y poder practicar la liquidación en el plazo reglamentario establecido:</x:v>
      </x:c>
      <x:c r="N260" s="18" t="str">
        <x:v>EI día 28 de febrero de 2025, último día hábil del plazo reglamentario de ingreso.</x:v>
      </x:c>
      <x:c r="O260" s="18" t="str">
        <x:v>Ei día 27 de febrero de 2025, penúltima día natural del plazo reglamentario de ingreso.</x:v>
      </x:c>
      <x:c r="P260" s="18" t="str">
        <x:v>EI día 1 de marzo de 2025, día siguiente hábil.</x:v>
      </x:c>
      <x:c r="Q260" s="18" t="str">
        <x:v>EI 26 de febrero de 2025, antepenúltimo día hábil del plazo reglamentario de ingreso. EI 25 de marzo de 2025 se publicó el convenio colectivo aplicable a la empresa "Pleberio, S.L.", donde se recoge un incremento salarial desde el mes de enero del 2025 del 3% y recoge, de forma expresa, que los incrementos de los salarios retroactivos se deben de abonar a 10 largo del mes de abril de 2025. Practicada, mediante el sistema de liquidación directa, la liquidación complementaria por estos incrementos salariales retroactivos en e' plazo reglamentario, no se abonaron en dicho plazo y ante la falta de pago se acaba emitiendo la correspondiente providencia de apremio que es recibida el día 14 de julio de 2025.</x:v>
      </x:c>
      <x:c r="R260" s="18" t="str">
        <x:v>S04</x:v>
      </x:c>
      <x:c r="S260" s="18" t="n">
        <x:v>4</x:v>
      </x:c>
      <x:c r="T260" s="18" t="str">
        <x:v>Temario específico Seguridad Social</x:v>
      </x:c>
      <x:c r="U260" s="18" t="str">
        <x:v>La cotización a la Seguridad Social: normas comunes del sistema. La liquidación de cuotas. El régimen general de la Seguridad Social. Supuestos especiales. Bases y tipos de cotización. Liquidación de otras deudas.</x:v>
      </x:c>
      <x:c r="V260" s="18" t="str">
        <x:v>S04</x:v>
      </x:c>
      <x:c r="W260" s="18" t="str"/>
      <x:c r="X260" s="18" t="str"/>
      <x:c r="Y260" s="18" t="str">
        <x:v>Plazos</x:v>
      </x:c>
      <x:c r="Z260" s="18" t="str">
        <x:v>Alta</x:v>
      </x:c>
      <x:c r="AA260" s="18" t="str">
        <x:v>S04</x:v>
      </x:c>
      <x:c r="AB260" s="18" t="str">
        <x:v>Tesorería General de la Seguridad Social</x:v>
      </x:c>
      <x:c r="AC260" s="18" t="str"/>
      <x:c r="AD260" s="18" t="str">
        <x:v>No</x:v>
      </x:c>
      <x:c r="AE260" s="18" t="str">
        <x:v>Práctico</x:v>
      </x:c>
      <x:c r="AF260" s="18" t="str">
        <x:v>B</x:v>
      </x:c>
      <x:c r="AG260" s="18" t="str">
        <x:v>B</x:v>
      </x:c>
      <x:c r="AH260" s="18" t="str">
        <x:v>Válida</x:v>
      </x:c>
      <x:c r="AI260" s="18" t="str">
        <x:v>01. Información oficial de la oposición\Exámenes oficiales anteriores\2025 Convocatoria 2024 - Acceso libre Modelo A.pdf</x:v>
      </x:c>
      <x:c r="AJ260" s="18" t="str">
        <x:v>https://www.seg-social.es/wps/portal/wss/internet/InformacionUtil/9950/88beb45d-ca83-4bab-8162-f94ef2894562/7e46efac-32c8-4cf6-b3d3-d592c3560dff/rdpi_administrativos_2024</x:v>
      </x:c>
      <x:c r="AK260" s="18" t="str">
        <x:v>OCR Windows es-ES sobre PDF oficial</x:v>
      </x:c>
      <x:c r="AL260" s="18" t="n">
        <x:v>100</x:v>
      </x:c>
      <x:c r="AM260" s="18" t="str">
        <x:v>Alta</x:v>
      </x:c>
      <x:c r="AN260" s="18" t="str">
        <x:v>Revisión jurídica individual</x:v>
      </x:c>
      <x:c r="AO260" s="18" t="str">
        <x:v>2025_conv2024_ordinario_A-P04</x:v>
      </x:c>
      <x:c r="AP260" s="18" t="n">
        <x:v>1</x:v>
      </x:c>
    </x:row>
    <x:row r="261">
      <x:c r="A261" s="18" t="str">
        <x:v>2025_conv2024_ordinario_A-P05</x:v>
      </x:c>
      <x:c r="B261" s="18" t="n">
        <x:v>2025</x:v>
      </x:c>
      <x:c r="C261" s="18" t="n">
        <x:v>2024</x:v>
      </x:c>
      <x:c r="D261" s="28" t="n">
        <x:v>45913</x:v>
      </x:c>
      <x:c r="E261" s="18" t="str">
        <x:v>Acceso libre</x:v>
      </x:c>
      <x:c r="F261" s="18" t="str">
        <x:v>Segunda parte</x:v>
      </x:c>
      <x:c r="G261" s="18" t="str">
        <x:v>A</x:v>
      </x:c>
      <x:c r="H261" s="18" t="str">
        <x:v>A/B</x:v>
      </x:c>
      <x:c r="I261" s="18" t="str">
        <x:v>Sí</x:v>
      </x:c>
      <x:c r="J261" s="18" t="str">
        <x:v>Modelo A usado como variante canónica; el modelo B oficial está archivado y permuta el orden y/o las opciones.</x:v>
      </x:c>
      <x:c r="K261" s="18" t="n">
        <x:v>5</x:v>
      </x:c>
      <x:c r="L261" s="18" t="str">
        <x:v>No</x:v>
      </x:c>
      <x:c r="M261" s="18" t="str">
        <x:v>La empresa "Pleberio, S.L." va a realizar la liquidación complementaria correspondiente al abono de los salarios retroactivos previstos en el convenio colectivo, señale cual es eI plazo reglamentario de ingreso:</x:v>
      </x:c>
      <x:c r="N261" s="18" t="str">
        <x:v>EI día 31 de mayo de 2025, último día del mes siguiente a aquel en que deben de abonarse.</x:v>
      </x:c>
      <x:c r="O261" s="18" t="str">
        <x:v>EI día 30 de abril de 2025, último día del mes siguiente a la publicación del convenio colectivo en eI boletín oficial correspondiente.</x:v>
      </x:c>
      <x:c r="P261" s="18" t="str">
        <x:v>EI día 30 de abril o ei 31 de mayo de 2025, a elección de la empresa.</x:v>
      </x:c>
      <x:c r="Q261" s="18" t="str">
        <x:v>EI día 30 de junio de 2025, último día del segundo mes siguiente a aquel en que deben de abonarse.</x:v>
      </x:c>
      <x:c r="R261" s="18" t="str">
        <x:v>S04</x:v>
      </x:c>
      <x:c r="S261" s="18" t="n">
        <x:v>4</x:v>
      </x:c>
      <x:c r="T261" s="18" t="str">
        <x:v>Temario específico Seguridad Social</x:v>
      </x:c>
      <x:c r="U261" s="18" t="str">
        <x:v>La cotización a la Seguridad Social: normas comunes del sistema. La liquidación de cuotas. El régimen general de la Seguridad Social. Supuestos especiales. Bases y tipos de cotización. Liquidación de otras deudas.</x:v>
      </x:c>
      <x:c r="V261" s="18" t="str">
        <x:v>S04</x:v>
      </x:c>
      <x:c r="W261" s="18" t="str"/>
      <x:c r="X261" s="18" t="str"/>
      <x:c r="Y261" s="18" t="str">
        <x:v>Plazos</x:v>
      </x:c>
      <x:c r="Z261" s="18" t="str">
        <x:v>Media</x:v>
      </x:c>
      <x:c r="AA261" s="18" t="str">
        <x:v>S04</x:v>
      </x:c>
      <x:c r="AB261" s="18" t="str"/>
      <x:c r="AC261" s="18" t="str"/>
      <x:c r="AD261" s="18" t="str">
        <x:v>No</x:v>
      </x:c>
      <x:c r="AE261" s="18" t="str">
        <x:v>Práctico</x:v>
      </x:c>
      <x:c r="AF261" s="18" t="str">
        <x:v>A</x:v>
      </x:c>
      <x:c r="AG261" s="18" t="str">
        <x:v>A</x:v>
      </x:c>
      <x:c r="AH261" s="18" t="str">
        <x:v>Válida</x:v>
      </x:c>
      <x:c r="AI261" s="18" t="str">
        <x:v>01. Información oficial de la oposición\Exámenes oficiales anteriores\2025 Convocatoria 2024 - Acceso libre Modelo A.pdf</x:v>
      </x:c>
      <x:c r="AJ261" s="18" t="str">
        <x:v>https://www.seg-social.es/wps/portal/wss/internet/InformacionUtil/9950/88beb45d-ca83-4bab-8162-f94ef2894562/7e46efac-32c8-4cf6-b3d3-d592c3560dff/rdpi_administrativos_2024</x:v>
      </x:c>
      <x:c r="AK261" s="18" t="str">
        <x:v>OCR Windows es-ES sobre PDF oficial</x:v>
      </x:c>
      <x:c r="AL261" s="18" t="n">
        <x:v>100</x:v>
      </x:c>
      <x:c r="AM261" s="18" t="str">
        <x:v>Alta</x:v>
      </x:c>
      <x:c r="AN261" s="18" t="str">
        <x:v>Revisión jurídica individual</x:v>
      </x:c>
      <x:c r="AO261" s="18" t="str">
        <x:v>2025_conv2024_ordinario_A-P05</x:v>
      </x:c>
      <x:c r="AP261" s="18" t="n">
        <x:v>1</x:v>
      </x:c>
    </x:row>
    <x:row r="262">
      <x:c r="A262" s="18" t="str">
        <x:v>2025_conv2024_ordinario_A-P06</x:v>
      </x:c>
      <x:c r="B262" s="18" t="n">
        <x:v>2025</x:v>
      </x:c>
      <x:c r="C262" s="18" t="n">
        <x:v>2024</x:v>
      </x:c>
      <x:c r="D262" s="28" t="n">
        <x:v>45913</x:v>
      </x:c>
      <x:c r="E262" s="18" t="str">
        <x:v>Acceso libre</x:v>
      </x:c>
      <x:c r="F262" s="18" t="str">
        <x:v>Segunda parte</x:v>
      </x:c>
      <x:c r="G262" s="18" t="str">
        <x:v>A</x:v>
      </x:c>
      <x:c r="H262" s="18" t="str">
        <x:v>A/B</x:v>
      </x:c>
      <x:c r="I262" s="18" t="str">
        <x:v>Sí</x:v>
      </x:c>
      <x:c r="J262" s="18" t="str">
        <x:v>Modelo A usado como variante canónica; el modelo B oficial está archivado y permuta el orden y/o las opciones.</x:v>
      </x:c>
      <x:c r="K262" s="18" t="n">
        <x:v>6</x:v>
      </x:c>
      <x:c r="L262" s="18" t="str">
        <x:v>No</x:v>
      </x:c>
      <x:c r="M262" s="18" t="str">
        <x:v>Ante la falta de pago de la liquidación complementaria por eI abono retroactivo de los incrementos salariales, determine si procede o no la emisión de una reclamación de deuda:</x:v>
      </x:c>
      <x:c r="N262" s="18" t="str">
        <x:v>Exclusivamente se redaman mediante requerimiento de cuotas, previo reconocimiento de la deuda ante e' funcionario actuante.</x:v>
      </x:c>
      <x:c r="O262" s="18" t="str">
        <x:v>Exclusivamente se pueden reclamar mediante acta de liquidación practicada por la Inspección de Trabajo y Seguridad Social.</x:v>
      </x:c>
      <x:c r="P262" s="18" t="str">
        <x:v>Siempre procede la reclamación de deuda.</x:v>
      </x:c>
      <x:c r="Q262" s="18" t="str">
        <x:v>No procede una reclamación de deuda, porque se han cumplido dentro de plazo las obligaciones en materia de liquidación de cuotas.</x:v>
      </x:c>
      <x:c r="R262" s="18" t="str">
        <x:v>S05</x:v>
      </x:c>
      <x:c r="S262" s="18" t="n">
        <x:v>5</x:v>
      </x:c>
      <x:c r="T262" s="18" t="str">
        <x:v>Temario específico Seguridad Social</x:v>
      </x:c>
      <x:c r="U262" s="18" t="str">
        <x:v>La gestión recaudatoria: concepto, competencia y objeto. Responsables del pago. Requisitos para el pago. Medios de pago. Control de recaudación. Revisión de los actos de gestión recaudatoria. La recaudación en periodo voluntario. Efectos de la falta de cotización en período reglamentario. Recaudación de otros recursos. Aplazamientos. Devolución de ingresos indebidos. Capital coste de pensiones.</x:v>
      </x:c>
      <x:c r="V262" s="18" t="str">
        <x:v>S05</x:v>
      </x:c>
      <x:c r="W262" s="18" t="str"/>
      <x:c r="X262" s="18" t="str"/>
      <x:c r="Y262" s="18" t="str">
        <x:v>Recaudación</x:v>
      </x:c>
      <x:c r="Z262" s="18" t="str">
        <x:v>Media</x:v>
      </x:c>
      <x:c r="AA262" s="18" t="str">
        <x:v>S05</x:v>
      </x:c>
      <x:c r="AB262" s="18" t="str"/>
      <x:c r="AC262" s="18" t="str"/>
      <x:c r="AD262" s="18" t="str">
        <x:v>No</x:v>
      </x:c>
      <x:c r="AE262" s="18" t="str">
        <x:v>Práctico</x:v>
      </x:c>
      <x:c r="AF262" s="18" t="str">
        <x:v>D</x:v>
      </x:c>
      <x:c r="AG262" s="18" t="str">
        <x:v>D</x:v>
      </x:c>
      <x:c r="AH262" s="18" t="str">
        <x:v>Válida</x:v>
      </x:c>
      <x:c r="AI262" s="18" t="str">
        <x:v>01. Información oficial de la oposición\Exámenes oficiales anteriores\2025 Convocatoria 2024 - Acceso libre Modelo A.pdf</x:v>
      </x:c>
      <x:c r="AJ262" s="18" t="str">
        <x:v>https://www.seg-social.es/wps/portal/wss/internet/InformacionUtil/9950/88beb45d-ca83-4bab-8162-f94ef2894562/7e46efac-32c8-4cf6-b3d3-d592c3560dff/rdpi_administrativos_2024</x:v>
      </x:c>
      <x:c r="AK262" s="18" t="str">
        <x:v>OCR Windows es-ES sobre PDF oficial</x:v>
      </x:c>
      <x:c r="AL262" s="18" t="n">
        <x:v>100</x:v>
      </x:c>
      <x:c r="AM262" s="18" t="str">
        <x:v>Alta</x:v>
      </x:c>
      <x:c r="AN262" s="18" t="str">
        <x:v>Regla jurídica determinista</x:v>
      </x:c>
      <x:c r="AO262" s="18" t="str">
        <x:v>2025_conv2024_ordinario_A-P06</x:v>
      </x:c>
      <x:c r="AP262" s="18" t="n">
        <x:v>1</x:v>
      </x:c>
    </x:row>
    <x:row r="263">
      <x:c r="A263" s="18" t="str">
        <x:v>2025_conv2024_ordinario_A-P07</x:v>
      </x:c>
      <x:c r="B263" s="18" t="n">
        <x:v>2025</x:v>
      </x:c>
      <x:c r="C263" s="18" t="n">
        <x:v>2024</x:v>
      </x:c>
      <x:c r="D263" s="28" t="n">
        <x:v>45913</x:v>
      </x:c>
      <x:c r="E263" s="18" t="str">
        <x:v>Acceso libre</x:v>
      </x:c>
      <x:c r="F263" s="18" t="str">
        <x:v>Segunda parte</x:v>
      </x:c>
      <x:c r="G263" s="18" t="str">
        <x:v>A</x:v>
      </x:c>
      <x:c r="H263" s="18" t="str">
        <x:v>A/B</x:v>
      </x:c>
      <x:c r="I263" s="18" t="str">
        <x:v>Sí</x:v>
      </x:c>
      <x:c r="J263" s="18" t="str">
        <x:v>Modelo A usado como variante canónica; el modelo B oficial está archivado y permuta el orden y/o las opciones.</x:v>
      </x:c>
      <x:c r="K263" s="18" t="n">
        <x:v>7</x:v>
      </x:c>
      <x:c r="L263" s="18" t="str">
        <x:v>No</x:v>
      </x:c>
      <x:c r="M263" s="18" t="str">
        <x:v>Señale desde que fecha se devengan los intereses de demora sobre el principal de la deuda por ta falta de pago de la liquidación complementaria correspondiente al abono de los salarios retroactivos debidos al convenio colectivo:</x:v>
      </x:c>
      <x:c r="N263" s="18" t="str">
        <x:v>29 de julio de 2025, decimoquinto día natural siguiente a la recepción de la providencia de apremio.</x:v>
      </x:c>
      <x:c r="O263" s="18" t="str">
        <x:v>1 de mayo de 2025, día siguiente a la finalización del plazo reglamentario de ingreso.</x:v>
      </x:c>
      <x:c r="P263" s="18" t="str">
        <x:v>1 de junio de 2025, día siguiente a la finaEización del plazo reglamentario de ingreso.</x:v>
      </x:c>
      <x:c r="Q263" s="18" t="str">
        <x:v>1 de julio de 2025, día siguiente a la finalización del plazo reglamentario de ingreso. Juan trabaja en la empresa SOLUCIONES MONTE S.L desde enero de 2020 y su mujer, Lorena, trabaja por cuenta ajena en una peluquería desde hace 10 años. EI 5 de diciembre de 2024 tuvieron un hijo, Pablo. Tras el estudio y valoración correspondiente, se acreditó que Pablo tenía una discapacidad del 45%.</x:v>
      </x:c>
      <x:c r="R263" s="18" t="str">
        <x:v>S05</x:v>
      </x:c>
      <x:c r="S263" s="18" t="n">
        <x:v>5</x:v>
      </x:c>
      <x:c r="T263" s="18" t="str">
        <x:v>Temario específico Seguridad Social</x:v>
      </x:c>
      <x:c r="U263" s="18" t="str">
        <x:v>La gestión recaudatoria: concepto, competencia y objeto. Responsables del pago. Requisitos para el pago. Medios de pago. Control de recaudación. Revisión de los actos de gestión recaudatoria. La recaudación en periodo voluntario. Efectos de la falta de cotización en período reglamentario. Recaudación de otros recursos. Aplazamientos. Devolución de ingresos indebidos. Capital coste de pensiones.</x:v>
      </x:c>
      <x:c r="V263" s="18" t="str">
        <x:v>S05</x:v>
      </x:c>
      <x:c r="W263" s="18" t="str"/>
      <x:c r="X263" s="18" t="str"/>
      <x:c r="Y263" s="18" t="str">
        <x:v>Recaudación</x:v>
      </x:c>
      <x:c r="Z263" s="18" t="str">
        <x:v>Media</x:v>
      </x:c>
      <x:c r="AA263" s="18" t="str">
        <x:v>S05</x:v>
      </x:c>
      <x:c r="AB263" s="18" t="str"/>
      <x:c r="AC263" s="18" t="str"/>
      <x:c r="AD263" s="18" t="str">
        <x:v>No</x:v>
      </x:c>
      <x:c r="AE263" s="18" t="str">
        <x:v>Práctico</x:v>
      </x:c>
      <x:c r="AF263" s="18" t="str">
        <x:v>C</x:v>
      </x:c>
      <x:c r="AG263" s="18" t="str">
        <x:v>C</x:v>
      </x:c>
      <x:c r="AH263" s="18" t="str">
        <x:v>Válida</x:v>
      </x:c>
      <x:c r="AI263" s="18" t="str">
        <x:v>01. Información oficial de la oposición\Exámenes oficiales anteriores\2025 Convocatoria 2024 - Acceso libre Modelo A.pdf</x:v>
      </x:c>
      <x:c r="AJ263" s="18" t="str">
        <x:v>https://www.seg-social.es/wps/portal/wss/internet/InformacionUtil/9950/88beb45d-ca83-4bab-8162-f94ef2894562/7e46efac-32c8-4cf6-b3d3-d592c3560dff/rdpi_administrativos_2024</x:v>
      </x:c>
      <x:c r="AK263" s="18" t="str">
        <x:v>OCR Windows es-ES sobre PDF oficial</x:v>
      </x:c>
      <x:c r="AL263" s="18" t="n">
        <x:v>100</x:v>
      </x:c>
      <x:c r="AM263" s="18" t="str">
        <x:v>Alta</x:v>
      </x:c>
      <x:c r="AN263" s="18" t="str">
        <x:v>Regla jurídica determinista</x:v>
      </x:c>
      <x:c r="AO263" s="18" t="str">
        <x:v>2025_conv2024_ordinario_A-P07</x:v>
      </x:c>
      <x:c r="AP263" s="18" t="n">
        <x:v>1</x:v>
      </x:c>
    </x:row>
    <x:row r="264">
      <x:c r="A264" s="18" t="str">
        <x:v>2025_conv2024_ordinario_A-P08</x:v>
      </x:c>
      <x:c r="B264" s="18" t="n">
        <x:v>2025</x:v>
      </x:c>
      <x:c r="C264" s="18" t="n">
        <x:v>2024</x:v>
      </x:c>
      <x:c r="D264" s="28" t="n">
        <x:v>45913</x:v>
      </x:c>
      <x:c r="E264" s="18" t="str">
        <x:v>Acceso libre</x:v>
      </x:c>
      <x:c r="F264" s="18" t="str">
        <x:v>Segunda parte</x:v>
      </x:c>
      <x:c r="G264" s="18" t="str">
        <x:v>A</x:v>
      </x:c>
      <x:c r="H264" s="18" t="str">
        <x:v>A/B</x:v>
      </x:c>
      <x:c r="I264" s="18" t="str">
        <x:v>Sí</x:v>
      </x:c>
      <x:c r="J264" s="18" t="str">
        <x:v>Modelo A usado como variante canónica; el modelo B oficial está archivado y permuta el orden y/o las opciones.</x:v>
      </x:c>
      <x:c r="K264" s="18" t="n">
        <x:v>8</x:v>
      </x:c>
      <x:c r="L264" s="18" t="str">
        <x:v>No</x:v>
      </x:c>
      <x:c r="M264" s="18" t="str">
        <x:v>¿Qué duración tendrá la prestación de nacimiento y cuidado del menor para cada uno de los progenitores?</x:v>
      </x:c>
      <x:c r="N264" s="18" t="str">
        <x:v>Juan tendrá 16 semanas y Lorena 18 semanas.</x:v>
      </x:c>
      <x:c r="O264" s="18" t="str">
        <x:v>Un progenitor tendrá 16 semanas y el otro, 18 semanas, a opción de los interesados.</x:v>
      </x:c>
      <x:c r="P264" s="18" t="str">
        <x:v>17 semanas para cada progenitor.</x:v>
      </x:c>
      <x:c r="Q264" s="18" t="str">
        <x:v>18 semanas para cada progenitor.</x:v>
      </x:c>
      <x:c r="R264" s="18" t="str">
        <x:v>S09</x:v>
      </x:c>
      <x:c r="S264" s="18" t="n">
        <x:v>9</x:v>
      </x:c>
      <x:c r="T264" s="18" t="str">
        <x:v>Temario específico Seguridad Social</x:v>
      </x:c>
      <x:c r="U264" s="18" t="str">
        <x:v>Nacimiento y cuidado de menor. Ejercicio corresponsable del cuidado del lactante. Prestación por riesgo durante el embarazo. Prestación por riesgo durante la lactancia natural. Asignación económica por hijo o menor acogido a cargo. Prestación económica por nacimiento o adopción de hijo en supuestos de familias numerosas o monoparentales y en los casos de madres o padres con discapacidad. Prestación por parto o adopción Subsidio por cuidado de menores afectados por cáncer u otra enfermedad grave.</x:v>
      </x:c>
      <x:c r="V264" s="18" t="str">
        <x:v>S09</x:v>
      </x:c>
      <x:c r="W264" s="18" t="str"/>
      <x:c r="X264" s="18" t="str"/>
      <x:c r="Y264" s="18" t="str">
        <x:v>Prestaciones familiares</x:v>
      </x:c>
      <x:c r="Z264" s="18" t="str">
        <x:v>Media</x:v>
      </x:c>
      <x:c r="AA264" s="18" t="str">
        <x:v>S09</x:v>
      </x:c>
      <x:c r="AB264" s="18" t="str"/>
      <x:c r="AC264" s="18" t="str"/>
      <x:c r="AD264" s="18" t="str">
        <x:v>No</x:v>
      </x:c>
      <x:c r="AE264" s="18" t="str">
        <x:v>Práctico</x:v>
      </x:c>
      <x:c r="AF264" s="18" t="str">
        <x:v>C</x:v>
      </x:c>
      <x:c r="AG264" s="18" t="str">
        <x:v>C</x:v>
      </x:c>
      <x:c r="AH264" s="18" t="str">
        <x:v>Válida</x:v>
      </x:c>
      <x:c r="AI264" s="18" t="str">
        <x:v>01. Información oficial de la oposición\Exámenes oficiales anteriores\2025 Convocatoria 2024 - Acceso libre Modelo A.pdf</x:v>
      </x:c>
      <x:c r="AJ264" s="18" t="str">
        <x:v>https://www.seg-social.es/wps/portal/wss/internet/InformacionUtil/9950/88beb45d-ca83-4bab-8162-f94ef2894562/7e46efac-32c8-4cf6-b3d3-d592c3560dff/rdpi_administrativos_2024</x:v>
      </x:c>
      <x:c r="AK264" s="18" t="str">
        <x:v>OCR Windows es-ES sobre PDF oficial</x:v>
      </x:c>
      <x:c r="AL264" s="18" t="n">
        <x:v>100</x:v>
      </x:c>
      <x:c r="AM264" s="18" t="str">
        <x:v>Alta</x:v>
      </x:c>
      <x:c r="AN264" s="18" t="str">
        <x:v>Regla jurídica determinista</x:v>
      </x:c>
      <x:c r="AO264" s="18" t="str">
        <x:v>2025_conv2024_ordinario_A-P08</x:v>
      </x:c>
      <x:c r="AP264" s="18" t="n">
        <x:v>1</x:v>
      </x:c>
    </x:row>
    <x:row r="265">
      <x:c r="A265" s="18" t="str">
        <x:v>2025_conv2024_ordinario_A-P09</x:v>
      </x:c>
      <x:c r="B265" s="18" t="n">
        <x:v>2025</x:v>
      </x:c>
      <x:c r="C265" s="18" t="n">
        <x:v>2024</x:v>
      </x:c>
      <x:c r="D265" s="28" t="n">
        <x:v>45913</x:v>
      </x:c>
      <x:c r="E265" s="18" t="str">
        <x:v>Acceso libre</x:v>
      </x:c>
      <x:c r="F265" s="18" t="str">
        <x:v>Segunda parte</x:v>
      </x:c>
      <x:c r="G265" s="18" t="str">
        <x:v>A</x:v>
      </x:c>
      <x:c r="H265" s="18" t="str">
        <x:v>A/B</x:v>
      </x:c>
      <x:c r="I265" s="18" t="str">
        <x:v>Sí</x:v>
      </x:c>
      <x:c r="J265" s="18" t="str">
        <x:v>Modelo A usado como variante canónica; el modelo B oficial está archivado y permuta el orden y/o las opciones.</x:v>
      </x:c>
      <x:c r="K265" s="18" t="n">
        <x:v>9</x:v>
      </x:c>
      <x:c r="L265" s="18" t="str">
        <x:v>No</x:v>
      </x:c>
      <x:c r="M265" s="18" t="str">
        <x:v>¿Podrán Juan y Lorena solicitar el reconocimiento de alguna prestación familiar no contributiva?</x:v>
      </x:c>
      <x:c r="N265" s="18" t="str">
        <x:v>Sí, una prestación económica de pago único a tanto alzado por nacimiento de hijo afectado por una discapacidad de grado igual o superior at 45%.</x:v>
      </x:c>
      <x:c r="O265" s="18" t="str">
        <x:v>Sí, la asignación económica por hijo menor de edad afectado por una discapacidad de grado igual o superior al 33%.</x:v>
      </x:c>
      <x:c r="P265" s="18" t="str">
        <x:v>Únicamente si los ingresos anuales de Juan y Lorena no superan la cuantía que anuaimente establece la Ley de Presupuestos Generales del Estado.</x:v>
      </x:c>
      <x:c r="Q265" s="18" t="str">
        <x:v>No, ya que el grado de discapacidad de Pablo no es igual o superior al 65%.</x:v>
      </x:c>
      <x:c r="R265" s="18" t="str">
        <x:v>S09</x:v>
      </x:c>
      <x:c r="S265" s="18" t="n">
        <x:v>9</x:v>
      </x:c>
      <x:c r="T265" s="18" t="str">
        <x:v>Temario específico Seguridad Social</x:v>
      </x:c>
      <x:c r="U265" s="18" t="str">
        <x:v>Nacimiento y cuidado de menor. Ejercicio corresponsable del cuidado del lactante. Prestación por riesgo durante el embarazo. Prestación por riesgo durante la lactancia natural. Asignación económica por hijo o menor acogido a cargo. Prestación económica por nacimiento o adopción de hijo en supuestos de familias numerosas o monoparentales y en los casos de madres o padres con discapacidad. Prestación por parto o adopción Subsidio por cuidado de menores afectados por cáncer u otra enfermedad grave.</x:v>
      </x:c>
      <x:c r="V265" s="18" t="str">
        <x:v>S09</x:v>
      </x:c>
      <x:c r="W265" s="18" t="str"/>
      <x:c r="X265" s="18" t="str"/>
      <x:c r="Y265" s="18" t="str">
        <x:v>Prestaciones familiares</x:v>
      </x:c>
      <x:c r="Z265" s="18" t="str">
        <x:v>Media</x:v>
      </x:c>
      <x:c r="AA265" s="18" t="str">
        <x:v>S09</x:v>
      </x:c>
      <x:c r="AB265" s="18" t="str"/>
      <x:c r="AC265" s="18" t="str"/>
      <x:c r="AD265" s="18" t="str">
        <x:v>No</x:v>
      </x:c>
      <x:c r="AE265" s="18" t="str">
        <x:v>Práctico</x:v>
      </x:c>
      <x:c r="AF265" s="18" t="str">
        <x:v>B</x:v>
      </x:c>
      <x:c r="AG265" s="18" t="str">
        <x:v>B</x:v>
      </x:c>
      <x:c r="AH265" s="18" t="str">
        <x:v>Válida</x:v>
      </x:c>
      <x:c r="AI265" s="18" t="str">
        <x:v>01. Información oficial de la oposición\Exámenes oficiales anteriores\2025 Convocatoria 2024 - Acceso libre Modelo A.pdf</x:v>
      </x:c>
      <x:c r="AJ265" s="18" t="str">
        <x:v>https://www.seg-social.es/wps/portal/wss/internet/InformacionUtil/9950/88beb45d-ca83-4bab-8162-f94ef2894562/7e46efac-32c8-4cf6-b3d3-d592c3560dff/rdpi_administrativos_2024</x:v>
      </x:c>
      <x:c r="AK265" s="18" t="str">
        <x:v>OCR Windows es-ES sobre PDF oficial</x:v>
      </x:c>
      <x:c r="AL265" s="18" t="n">
        <x:v>100</x:v>
      </x:c>
      <x:c r="AM265" s="18" t="str">
        <x:v>Alta</x:v>
      </x:c>
      <x:c r="AN265" s="18" t="str">
        <x:v>Revisión jurídica individual</x:v>
      </x:c>
      <x:c r="AO265" s="18" t="str">
        <x:v>2025_conv2024_ordinario_A-P09</x:v>
      </x:c>
      <x:c r="AP265" s="18" t="n">
        <x:v>1</x:v>
      </x:c>
    </x:row>
    <x:row r="266">
      <x:c r="A266" s="18" t="str">
        <x:v>2025_conv2024_ordinario_A-P10</x:v>
      </x:c>
      <x:c r="B266" s="18" t="n">
        <x:v>2025</x:v>
      </x:c>
      <x:c r="C266" s="18" t="n">
        <x:v>2024</x:v>
      </x:c>
      <x:c r="D266" s="28" t="n">
        <x:v>45913</x:v>
      </x:c>
      <x:c r="E266" s="18" t="str">
        <x:v>Acceso libre</x:v>
      </x:c>
      <x:c r="F266" s="18" t="str">
        <x:v>Segunda parte</x:v>
      </x:c>
      <x:c r="G266" s="18" t="str">
        <x:v>A</x:v>
      </x:c>
      <x:c r="H266" s="18" t="str">
        <x:v>A/B</x:v>
      </x:c>
      <x:c r="I266" s="18" t="str">
        <x:v>Sí</x:v>
      </x:c>
      <x:c r="J266" s="18" t="str">
        <x:v>Modelo A usado como variante canónica; el modelo B oficial está archivado y permuta el orden y/o las opciones.</x:v>
      </x:c>
      <x:c r="K266" s="18" t="n">
        <x:v>10</x:v>
      </x:c>
      <x:c r="L266" s="18" t="str">
        <x:v>No</x:v>
      </x:c>
      <x:c r="M266" s="18" t="str">
        <x:v>En caso de tener derecho, si solicitaran el reconocimiento de la prestación familiar no contributiva el 20 de enero de 2025. ¿En qué fecha surtirá efecto?</x:v>
      </x:c>
      <x:c r="N266" s="18" t="str">
        <x:v>A partir de 21 de enero de 2025.</x:v>
      </x:c>
      <x:c r="O266" s="18" t="str">
        <x:v>A partir del 1 de febrero de 2025.</x:v>
      </x:c>
      <x:c r="P266" s="18" t="str">
        <x:v>A partir del 1 de marzo de 2025.</x:v>
      </x:c>
      <x:c r="Q266" s="18" t="str">
        <x:v>A partir del 1 de abril de 2025. Raquel también trabaja en la empresa SOLUCIONES MONTE S.L, desde el año 2015. Tiene un hijo a su cargo, Daniel, de 21 años de edad. Daniel no tiene otro progenitor reconocido y a ios 17 años se le diagnosticó una enfermedad grave incluida en el listado que regula el Real Decreto 1148/2011 , sin tener reconocido ningún grado de discapacidad. Raquel decide reducir su jornada en un 90% ya que su hijo requiere cuidados permanentes.</x:v>
      </x:c>
      <x:c r="R266" s="18" t="str">
        <x:v>S09</x:v>
      </x:c>
      <x:c r="S266" s="18" t="n">
        <x:v>9</x:v>
      </x:c>
      <x:c r="T266" s="18" t="str">
        <x:v>Temario específico Seguridad Social</x:v>
      </x:c>
      <x:c r="U266" s="18" t="str">
        <x:v>Nacimiento y cuidado de menor. Ejercicio corresponsable del cuidado del lactante. Prestación por riesgo durante el embarazo. Prestación por riesgo durante la lactancia natural. Asignación económica por hijo o menor acogido a cargo. Prestación económica por nacimiento o adopción de hijo en supuestos de familias numerosas o monoparentales y en los casos de madres o padres con discapacidad. Prestación por parto o adopción Subsidio por cuidado de menores afectados por cáncer u otra enfermedad grave.</x:v>
      </x:c>
      <x:c r="V266" s="18" t="str">
        <x:v>S09</x:v>
      </x:c>
      <x:c r="W266" s="18" t="str"/>
      <x:c r="X266" s="18" t="str"/>
      <x:c r="Y266" s="18" t="str">
        <x:v>Prestaciones familiares</x:v>
      </x:c>
      <x:c r="Z266" s="18" t="str">
        <x:v>Alta</x:v>
      </x:c>
      <x:c r="AA266" s="18" t="str">
        <x:v>S09</x:v>
      </x:c>
      <x:c r="AB266" s="18" t="str"/>
      <x:c r="AC266" s="18" t="str"/>
      <x:c r="AD266" s="18" t="str">
        <x:v>No</x:v>
      </x:c>
      <x:c r="AE266" s="18" t="str">
        <x:v>Práctico</x:v>
      </x:c>
      <x:c r="AF266" s="18" t="str">
        <x:v>D</x:v>
      </x:c>
      <x:c r="AG266" s="18" t="str">
        <x:v>D</x:v>
      </x:c>
      <x:c r="AH266" s="18" t="str">
        <x:v>Válida</x:v>
      </x:c>
      <x:c r="AI266" s="18" t="str">
        <x:v>01. Información oficial de la oposición\Exámenes oficiales anteriores\2025 Convocatoria 2024 - Acceso libre Modelo A.pdf</x:v>
      </x:c>
      <x:c r="AJ266" s="18" t="str">
        <x:v>https://www.seg-social.es/wps/portal/wss/internet/InformacionUtil/9950/88beb45d-ca83-4bab-8162-f94ef2894562/7e46efac-32c8-4cf6-b3d3-d592c3560dff/rdpi_administrativos_2024</x:v>
      </x:c>
      <x:c r="AK266" s="18" t="str">
        <x:v>OCR Windows es-ES sobre PDF oficial</x:v>
      </x:c>
      <x:c r="AL266" s="18" t="n">
        <x:v>100</x:v>
      </x:c>
      <x:c r="AM266" s="18" t="str">
        <x:v>Alta</x:v>
      </x:c>
      <x:c r="AN266" s="18" t="str">
        <x:v>Revisión jurídica individual</x:v>
      </x:c>
      <x:c r="AO266" s="18" t="str">
        <x:v>2025_conv2024_ordinario_A-P10</x:v>
      </x:c>
      <x:c r="AP266" s="18" t="n">
        <x:v>1</x:v>
      </x:c>
    </x:row>
    <x:row r="267">
      <x:c r="A267" s="18" t="str">
        <x:v>2025_conv2024_ordinario_A-P11</x:v>
      </x:c>
      <x:c r="B267" s="18" t="n">
        <x:v>2025</x:v>
      </x:c>
      <x:c r="C267" s="18" t="n">
        <x:v>2024</x:v>
      </x:c>
      <x:c r="D267" s="28" t="n">
        <x:v>45913</x:v>
      </x:c>
      <x:c r="E267" s="18" t="str">
        <x:v>Acceso libre</x:v>
      </x:c>
      <x:c r="F267" s="18" t="str">
        <x:v>Segunda parte</x:v>
      </x:c>
      <x:c r="G267" s="18" t="str">
        <x:v>A</x:v>
      </x:c>
      <x:c r="H267" s="18" t="str">
        <x:v>A/B</x:v>
      </x:c>
      <x:c r="I267" s="18" t="str">
        <x:v>Sí</x:v>
      </x:c>
      <x:c r="J267" s="18" t="str">
        <x:v>Modelo A usado como variante canónica; el modelo B oficial está archivado y permuta el orden y/o las opciones.</x:v>
      </x:c>
      <x:c r="K267" s="18" t="n">
        <x:v>11</x:v>
      </x:c>
      <x:c r="L267" s="18" t="str">
        <x:v>No</x:v>
      </x:c>
      <x:c r="M267" s="18" t="str">
        <x:v>A efectos de la prestación económica por cuidado de hijos menores de 18 años, afectados por cáncer u otra enfermedad grave ¿qué cuantía podría percibir?</x:v>
      </x:c>
      <x:c r="N267" s="18" t="str">
        <x:v>Ninguna, ya que Daniel es mayor de edad y no tiene discapacidad reconocida.</x:v>
      </x:c>
      <x:c r="O267" s="18" t="str">
        <x:v>E 100% de la base reguladora establecida para la prestación de incapacidad temporal derivada de contingencias comunes.</x:v>
      </x:c>
      <x:c r="P267" s="18" t="str">
        <x:v>EI 90% del subsidio equivalente al 100% de la base reguladora establecida para la prestación de incapacidad temporal derivada de contingencias profesionales.</x:v>
      </x:c>
      <x:c r="Q267" s="18" t="str">
        <x:v>Et 50% del subsidio equivalente al 100% de la base reguladora establecida para la prestación de incapacidad temporal derivada de contingencias profesionales.</x:v>
      </x:c>
      <x:c r="R267" s="18" t="str">
        <x:v>S09</x:v>
      </x:c>
      <x:c r="S267" s="18" t="n">
        <x:v>9</x:v>
      </x:c>
      <x:c r="T267" s="18" t="str">
        <x:v>Temario específico Seguridad Social</x:v>
      </x:c>
      <x:c r="U267" s="18" t="str">
        <x:v>Nacimiento y cuidado de menor. Ejercicio corresponsable del cuidado del lactante. Prestación por riesgo durante el embarazo. Prestación por riesgo durante la lactancia natural. Asignación económica por hijo o menor acogido a cargo. Prestación económica por nacimiento o adopción de hijo en supuestos de familias numerosas o monoparentales y en los casos de madres o padres con discapacidad. Prestación por parto o adopción Subsidio por cuidado de menores afectados por cáncer u otra enfermedad grave.</x:v>
      </x:c>
      <x:c r="V267" s="18" t="str">
        <x:v>S09</x:v>
      </x:c>
      <x:c r="W267" s="18" t="str"/>
      <x:c r="X267" s="18" t="str"/>
      <x:c r="Y267" s="18" t="str">
        <x:v>Cálculos</x:v>
      </x:c>
      <x:c r="Z267" s="18" t="str">
        <x:v>Alta</x:v>
      </x:c>
      <x:c r="AA267" s="18" t="str">
        <x:v>S09</x:v>
      </x:c>
      <x:c r="AB267" s="18" t="str"/>
      <x:c r="AC267" s="18" t="str">
        <x:v>18 años</x:v>
      </x:c>
      <x:c r="AD267" s="18" t="str">
        <x:v>No</x:v>
      </x:c>
      <x:c r="AE267" s="18" t="str">
        <x:v>Práctico</x:v>
      </x:c>
      <x:c r="AF267" s="18" t="str">
        <x:v>C</x:v>
      </x:c>
      <x:c r="AG267" s="18" t="str">
        <x:v>C</x:v>
      </x:c>
      <x:c r="AH267" s="18" t="str">
        <x:v>Válida</x:v>
      </x:c>
      <x:c r="AI267" s="18" t="str">
        <x:v>01. Información oficial de la oposición\Exámenes oficiales anteriores\2025 Convocatoria 2024 - Acceso libre Modelo A.pdf</x:v>
      </x:c>
      <x:c r="AJ267" s="18" t="str">
        <x:v>https://www.seg-social.es/wps/portal/wss/internet/InformacionUtil/9950/88beb45d-ca83-4bab-8162-f94ef2894562/7e46efac-32c8-4cf6-b3d3-d592c3560dff/rdpi_administrativos_2024</x:v>
      </x:c>
      <x:c r="AK267" s="18" t="str">
        <x:v>OCR Windows es-ES sobre PDF oficial</x:v>
      </x:c>
      <x:c r="AL267" s="18" t="n">
        <x:v>100</x:v>
      </x:c>
      <x:c r="AM267" s="18" t="str">
        <x:v>Alta</x:v>
      </x:c>
      <x:c r="AN267" s="18" t="str">
        <x:v>Regla jurídica determinista</x:v>
      </x:c>
      <x:c r="AO267" s="18" t="str">
        <x:v>2025_conv2024_ordinario_A-P11</x:v>
      </x:c>
      <x:c r="AP267" s="18" t="n">
        <x:v>1</x:v>
      </x:c>
    </x:row>
    <x:row r="268">
      <x:c r="A268" s="18" t="str">
        <x:v>2025_conv2024_ordinario_A-P12</x:v>
      </x:c>
      <x:c r="B268" s="18" t="n">
        <x:v>2025</x:v>
      </x:c>
      <x:c r="C268" s="18" t="n">
        <x:v>2024</x:v>
      </x:c>
      <x:c r="D268" s="28" t="n">
        <x:v>45913</x:v>
      </x:c>
      <x:c r="E268" s="18" t="str">
        <x:v>Acceso libre</x:v>
      </x:c>
      <x:c r="F268" s="18" t="str">
        <x:v>Segunda parte</x:v>
      </x:c>
      <x:c r="G268" s="18" t="str">
        <x:v>A</x:v>
      </x:c>
      <x:c r="H268" s="18" t="str">
        <x:v>A/B</x:v>
      </x:c>
      <x:c r="I268" s="18" t="str">
        <x:v>Sí</x:v>
      </x:c>
      <x:c r="J268" s="18" t="str">
        <x:v>Modelo A usado como variante canónica; el modelo B oficial está archivado y permuta el orden y/o las opciones.</x:v>
      </x:c>
      <x:c r="K268" s="18" t="n">
        <x:v>12</x:v>
      </x:c>
      <x:c r="L268" s="18" t="str">
        <x:v>No</x:v>
      </x:c>
      <x:c r="M268" s="18" t="str">
        <x:v>Si Raquel tuviera derecho a la prestación económica por cuidado de menores afectados por cáncer u otra enfermedad grave ¿cuándo se extinguiría?</x:v>
      </x:c>
      <x:c r="N268" s="18" t="str">
        <x:v>Cuando cesara la necesidad del cuidado directo, continuo y permanente de Daniel sin que se requiera la emisión del informe previo del servicio público de salud correspondiente.</x:v>
      </x:c>
      <x:c r="O268" s="18" t="str">
        <x:v>Cuando Daniel cumpla 22 años.</x:v>
      </x:c>
      <x:c r="P268" s="18" t="str">
        <x:v>Cuando Daniel cumpla 23 años.</x:v>
      </x:c>
      <x:c r="Q268" s="18" t="str">
        <x:v>Cuando DanieE cumpla 26 años. Juan Luis trabaja en la gestoría U&amp;T S.L. y cumple 65 años eI 20 de octubre de 2025. Cuenta con una larga trayectoria profesional en eI sector comercial, contando en la fecha indicada con 40 años de cotización al Régimen General de la Seguridad Social.</x:v>
      </x:c>
      <x:c r="R268" s="18" t="str">
        <x:v>S09</x:v>
      </x:c>
      <x:c r="S268" s="18" t="n">
        <x:v>9</x:v>
      </x:c>
      <x:c r="T268" s="18" t="str">
        <x:v>Temario específico Seguridad Social</x:v>
      </x:c>
      <x:c r="U268" s="18" t="str">
        <x:v>Nacimiento y cuidado de menor. Ejercicio corresponsable del cuidado del lactante. Prestación por riesgo durante el embarazo. Prestación por riesgo durante la lactancia natural. Asignación económica por hijo o menor acogido a cargo. Prestación económica por nacimiento o adopción de hijo en supuestos de familias numerosas o monoparentales y en los casos de madres o padres con discapacidad. Prestación por parto o adopción Subsidio por cuidado de menores afectados por cáncer u otra enfermedad grave.</x:v>
      </x:c>
      <x:c r="V268" s="18" t="str">
        <x:v>S09</x:v>
      </x:c>
      <x:c r="W268" s="18" t="str"/>
      <x:c r="X268" s="18" t="str"/>
      <x:c r="Y268" s="18" t="str">
        <x:v>Personas beneficiarias</x:v>
      </x:c>
      <x:c r="Z268" s="18" t="str">
        <x:v>Media</x:v>
      </x:c>
      <x:c r="AA268" s="18" t="str">
        <x:v>S09</x:v>
      </x:c>
      <x:c r="AB268" s="18" t="str"/>
      <x:c r="AC268" s="18" t="str"/>
      <x:c r="AD268" s="18" t="str">
        <x:v>No</x:v>
      </x:c>
      <x:c r="AE268" s="18" t="str">
        <x:v>Práctico</x:v>
      </x:c>
      <x:c r="AF268" s="18" t="str">
        <x:v>C</x:v>
      </x:c>
      <x:c r="AG268" s="18" t="str">
        <x:v>C</x:v>
      </x:c>
      <x:c r="AH268" s="18" t="str">
        <x:v>Válida</x:v>
      </x:c>
      <x:c r="AI268" s="18" t="str">
        <x:v>01. Información oficial de la oposición\Exámenes oficiales anteriores\2025 Convocatoria 2024 - Acceso libre Modelo A.pdf</x:v>
      </x:c>
      <x:c r="AJ268" s="18" t="str">
        <x:v>https://www.seg-social.es/wps/portal/wss/internet/InformacionUtil/9950/88beb45d-ca83-4bab-8162-f94ef2894562/7e46efac-32c8-4cf6-b3d3-d592c3560dff/rdpi_administrativos_2024</x:v>
      </x:c>
      <x:c r="AK268" s="18" t="str">
        <x:v>OCR Windows es-ES sobre PDF oficial</x:v>
      </x:c>
      <x:c r="AL268" s="18" t="n">
        <x:v>100</x:v>
      </x:c>
      <x:c r="AM268" s="18" t="str">
        <x:v>Alta</x:v>
      </x:c>
      <x:c r="AN268" s="18" t="str">
        <x:v>Regla jurídica determinista</x:v>
      </x:c>
      <x:c r="AO268" s="18" t="str">
        <x:v>2025_conv2024_ordinario_A-P12</x:v>
      </x:c>
      <x:c r="AP268" s="18" t="n">
        <x:v>1</x:v>
      </x:c>
    </x:row>
    <x:row r="269">
      <x:c r="A269" s="18" t="str">
        <x:v>2025_conv2024_ordinario_A-P13</x:v>
      </x:c>
      <x:c r="B269" s="18" t="n">
        <x:v>2025</x:v>
      </x:c>
      <x:c r="C269" s="18" t="n">
        <x:v>2024</x:v>
      </x:c>
      <x:c r="D269" s="28" t="n">
        <x:v>45913</x:v>
      </x:c>
      <x:c r="E269" s="18" t="str">
        <x:v>Acceso libre</x:v>
      </x:c>
      <x:c r="F269" s="18" t="str">
        <x:v>Segunda parte</x:v>
      </x:c>
      <x:c r="G269" s="18" t="str">
        <x:v>A</x:v>
      </x:c>
      <x:c r="H269" s="18" t="str">
        <x:v>A/B</x:v>
      </x:c>
      <x:c r="I269" s="18" t="str">
        <x:v>Sí</x:v>
      </x:c>
      <x:c r="J269" s="18" t="str">
        <x:v>Modelo A usado como variante canónica; el modelo B oficial está archivado y permuta el orden y/o las opciones.</x:v>
      </x:c>
      <x:c r="K269" s="18" t="n">
        <x:v>13</x:v>
      </x:c>
      <x:c r="L269" s="18" t="str">
        <x:v>No</x:v>
      </x:c>
      <x:c r="M269" s="18" t="str">
        <x:v>Si decide jubilarse en la fecha indicada, ¿cuál será la base reguladora de su pensión de jubilación?</x:v>
      </x:c>
      <x:c r="N269" s="18" t="str">
        <x:v>EI cociente que resulte de dividir por 350, las bases de cotización del interesado durante los 300 meses inmediatamente anteriores al mes de septiembre.</x:v>
      </x:c>
      <x:c r="O269" s="18" t="str">
        <x:v>EI cociente que resulte de dividir por 378, las bases de cotización del interesado durante los 324 meses inmediatamente anteriores al mes de septiembre.</x:v>
      </x:c>
      <x:c r="P269" s="18" t="str">
        <x:v>EI cociente que resulte de dividir por 350, las bases de cotización del interesado durante los 300 meses inmediatamente anteriores al mes de octubre-</x:v>
      </x:c>
      <x:c r="Q269" s="18" t="str">
        <x:v>EI cociente que resulte de dividir por 378, las bases de cotización del interesado durante los 324 meses inmediatamente anteriores al mes de octubre.</x:v>
      </x:c>
      <x:c r="R269" s="18" t="str">
        <x:v>S10</x:v>
      </x:c>
      <x:c r="S269" s="18" t="n">
        <x:v>10</x:v>
      </x:c>
      <x:c r="T269" s="18" t="str">
        <x:v>Temario específico Seguridad Social</x:v>
      </x:c>
      <x:c r="U269" s="18" t="str">
        <x:v>Jubilación en la modalidad contributiva: concepto. Jubilación ordinaria: requisitos: especial referencia a la edad de jubilación. Determinación de la cuantía de la prestación: base reguladora y porcentaje. Jubilación anticipada, jubilación parcial y jubilación flexible. Compatibilidad de la pensión de jubilación y el trabajo. Suspensión y extinción de la prestación. Especial referencia a la aplicación de la normativa anterior a la Ley 27/2011.</x:v>
      </x:c>
      <x:c r="V269" s="18" t="str">
        <x:v>jubilación</x:v>
      </x:c>
      <x:c r="W269" s="18" t="str"/>
      <x:c r="X269" s="18" t="str"/>
      <x:c r="Y269" s="18" t="str">
        <x:v>Cálculos</x:v>
      </x:c>
      <x:c r="Z269" s="18" t="str">
        <x:v>Media</x:v>
      </x:c>
      <x:c r="AA269" s="18" t="str">
        <x:v>jubilación</x:v>
      </x:c>
      <x:c r="AB269" s="18" t="str"/>
      <x:c r="AC269" s="18" t="str"/>
      <x:c r="AD269" s="18" t="str">
        <x:v>No</x:v>
      </x:c>
      <x:c r="AE269" s="18" t="str">
        <x:v>Práctico</x:v>
      </x:c>
      <x:c r="AF269" s="18" t="str">
        <x:v>A</x:v>
      </x:c>
      <x:c r="AG269" s="18" t="str">
        <x:v>A</x:v>
      </x:c>
      <x:c r="AH269" s="18" t="str">
        <x:v>Válida</x:v>
      </x:c>
      <x:c r="AI269" s="18" t="str">
        <x:v>01. Información oficial de la oposición\Exámenes oficiales anteriores\2025 Convocatoria 2024 - Acceso libre Modelo A.pdf</x:v>
      </x:c>
      <x:c r="AJ269" s="18" t="str">
        <x:v>https://www.seg-social.es/wps/portal/wss/internet/InformacionUtil/9950/88beb45d-ca83-4bab-8162-f94ef2894562/7e46efac-32c8-4cf6-b3d3-d592c3560dff/rdpi_administrativos_2024</x:v>
      </x:c>
      <x:c r="AK269" s="18" t="str">
        <x:v>OCR Windows es-ES sobre PDF oficial</x:v>
      </x:c>
      <x:c r="AL269" s="18" t="n">
        <x:v>100</x:v>
      </x:c>
      <x:c r="AM269" s="18" t="str">
        <x:v>Alta</x:v>
      </x:c>
      <x:c r="AN269" s="18" t="str">
        <x:v>Regla jurídica determinista</x:v>
      </x:c>
      <x:c r="AO269" s="18" t="str">
        <x:v>2025_conv2024_ordinario_A-P13</x:v>
      </x:c>
      <x:c r="AP269" s="18" t="n">
        <x:v>1</x:v>
      </x:c>
    </x:row>
    <x:row r="270">
      <x:c r="A270" s="18" t="str">
        <x:v>2025_conv2024_ordinario_A-P14</x:v>
      </x:c>
      <x:c r="B270" s="18" t="n">
        <x:v>2025</x:v>
      </x:c>
      <x:c r="C270" s="18" t="n">
        <x:v>2024</x:v>
      </x:c>
      <x:c r="D270" s="28" t="n">
        <x:v>45913</x:v>
      </x:c>
      <x:c r="E270" s="18" t="str">
        <x:v>Acceso libre</x:v>
      </x:c>
      <x:c r="F270" s="18" t="str">
        <x:v>Segunda parte</x:v>
      </x:c>
      <x:c r="G270" s="18" t="str">
        <x:v>A</x:v>
      </x:c>
      <x:c r="H270" s="18" t="str">
        <x:v>A/B</x:v>
      </x:c>
      <x:c r="I270" s="18" t="str">
        <x:v>Sí</x:v>
      </x:c>
      <x:c r="J270" s="18" t="str">
        <x:v>Modelo A usado como variante canónica; el modelo B oficial está archivado y permuta el orden y/o las opciones.</x:v>
      </x:c>
      <x:c r="K270" s="18" t="n">
        <x:v>14</x:v>
      </x:c>
      <x:c r="L270" s="18" t="str">
        <x:v>No</x:v>
      </x:c>
      <x:c r="M270" s="18" t="str">
        <x:v>Si Juan Luis decidiera posponer su jubilación hasta el 20 de septiembre de 2027 ¿qué complemento económico Ie correspondería si eligiera la opción del porcentaje adicional?</x:v>
      </x:c>
      <x:c r="N270" s="18" t="str">
        <x:v>Un porcentaje adicional de un 2%.</x:v>
      </x:c>
      <x:c r="O270" s="18" t="str">
        <x:v>IJn porcentaje adicional de un 4%.</x:v>
      </x:c>
      <x:c r="P270" s="18" t="str">
        <x:v>Un porcentaje adicional de un 6%.</x:v>
      </x:c>
      <x:c r="Q270" s="18" t="str">
        <x:v>Un porcentaje adicional de un 8%.</x:v>
      </x:c>
      <x:c r="R270" s="18" t="str">
        <x:v>S10</x:v>
      </x:c>
      <x:c r="S270" s="18" t="n">
        <x:v>10</x:v>
      </x:c>
      <x:c r="T270" s="18" t="str">
        <x:v>Temario específico Seguridad Social</x:v>
      </x:c>
      <x:c r="U270" s="18" t="str">
        <x:v>Jubilación en la modalidad contributiva: concepto. Jubilación ordinaria: requisitos: especial referencia a la edad de jubilación. Determinación de la cuantía de la prestación: base reguladora y porcentaje. Jubilación anticipada, jubilación parcial y jubilación flexible. Compatibilidad de la pensión de jubilación y el trabajo. Suspensión y extinción de la prestación. Especial referencia a la aplicación de la normativa anterior a la Ley 27/2011.</x:v>
      </x:c>
      <x:c r="V270" s="18" t="str">
        <x:v>jubilación</x:v>
      </x:c>
      <x:c r="W270" s="18" t="str"/>
      <x:c r="X270" s="18" t="str"/>
      <x:c r="Y270" s="18" t="str">
        <x:v>Jubilación</x:v>
      </x:c>
      <x:c r="Z270" s="18" t="str">
        <x:v>Alta</x:v>
      </x:c>
      <x:c r="AA270" s="18" t="str">
        <x:v>jubilación</x:v>
      </x:c>
      <x:c r="AB270" s="18" t="str"/>
      <x:c r="AC270" s="18" t="str"/>
      <x:c r="AD270" s="18" t="str">
        <x:v>No</x:v>
      </x:c>
      <x:c r="AE270" s="18" t="str">
        <x:v>Práctico</x:v>
      </x:c>
      <x:c r="AF270" s="18" t="str">
        <x:v>B</x:v>
      </x:c>
      <x:c r="AG270" s="18" t="str">
        <x:v>B</x:v>
      </x:c>
      <x:c r="AH270" s="18" t="str">
        <x:v>Válida</x:v>
      </x:c>
      <x:c r="AI270" s="18" t="str">
        <x:v>01. Información oficial de la oposición\Exámenes oficiales anteriores\2025 Convocatoria 2024 - Acceso libre Modelo A.pdf</x:v>
      </x:c>
      <x:c r="AJ270" s="18" t="str">
        <x:v>https://www.seg-social.es/wps/portal/wss/internet/InformacionUtil/9950/88beb45d-ca83-4bab-8162-f94ef2894562/7e46efac-32c8-4cf6-b3d3-d592c3560dff/rdpi_administrativos_2024</x:v>
      </x:c>
      <x:c r="AK270" s="18" t="str">
        <x:v>OCR Windows es-ES sobre PDF oficial</x:v>
      </x:c>
      <x:c r="AL270" s="18" t="n">
        <x:v>100</x:v>
      </x:c>
      <x:c r="AM270" s="18" t="str">
        <x:v>Alta</x:v>
      </x:c>
      <x:c r="AN270" s="18" t="str">
        <x:v>Regla jurídica determinista</x:v>
      </x:c>
      <x:c r="AO270" s="18" t="str">
        <x:v>2025_conv2024_ordinario_A-P14</x:v>
      </x:c>
      <x:c r="AP270" s="18" t="n">
        <x:v>1</x:v>
      </x:c>
    </x:row>
    <x:row r="271">
      <x:c r="A271" s="18" t="str">
        <x:v>2025_conv2024_ordinario_A-P15</x:v>
      </x:c>
      <x:c r="B271" s="18" t="n">
        <x:v>2025</x:v>
      </x:c>
      <x:c r="C271" s="18" t="n">
        <x:v>2024</x:v>
      </x:c>
      <x:c r="D271" s="28" t="n">
        <x:v>45913</x:v>
      </x:c>
      <x:c r="E271" s="18" t="str">
        <x:v>Acceso libre</x:v>
      </x:c>
      <x:c r="F271" s="18" t="str">
        <x:v>Segunda parte</x:v>
      </x:c>
      <x:c r="G271" s="18" t="str">
        <x:v>A</x:v>
      </x:c>
      <x:c r="H271" s="18" t="str">
        <x:v>A/B</x:v>
      </x:c>
      <x:c r="I271" s="18" t="str">
        <x:v>Sí</x:v>
      </x:c>
      <x:c r="J271" s="18" t="str">
        <x:v>Modelo A usado como variante canónica; el modelo B oficial está archivado y permuta el orden y/o las opciones.</x:v>
      </x:c>
      <x:c r="K271" s="18" t="n">
        <x:v>15</x:v>
      </x:c>
      <x:c r="L271" s="18" t="str">
        <x:v>No</x:v>
      </x:c>
      <x:c r="M271" s="18" t="str">
        <x:v>Si decidiera jubilarse el 20 de octubre de 2027 pero volviera a trabajar por cuenta ajena al mes de haberse jubilado, ¿qué porcentaje de la pensión cobraría mientras estuviera trabajando?</x:v>
      </x:c>
      <x:c r="N271" s="18" t="str">
        <x:v>EI 45% de la pensión reconocida.</x:v>
      </x:c>
      <x:c r="O271" s="18" t="str">
        <x:v>EE 55% de la pensión reconocida-</x:v>
      </x:c>
      <x:c r="P271" s="18" t="str">
        <x:v>EI 65% de la pensión reconocida.</x:v>
      </x:c>
      <x:c r="Q271" s="18" t="str">
        <x:v>EI 80% de la pensión reconocida</x:v>
      </x:c>
      <x:c r="R271" s="18" t="str">
        <x:v>S10</x:v>
      </x:c>
      <x:c r="S271" s="18" t="n">
        <x:v>10</x:v>
      </x:c>
      <x:c r="T271" s="18" t="str">
        <x:v>Temario específico Seguridad Social</x:v>
      </x:c>
      <x:c r="U271" s="18" t="str">
        <x:v>Jubilación en la modalidad contributiva: concepto. Jubilación ordinaria: requisitos: especial referencia a la edad de jubilación. Determinación de la cuantía de la prestación: base reguladora y porcentaje. Jubilación anticipada, jubilación parcial y jubilación flexible. Compatibilidad de la pensión de jubilación y el trabajo. Suspensión y extinción de la prestación. Especial referencia a la aplicación de la normativa anterior a la Ley 27/2011.</x:v>
      </x:c>
      <x:c r="V271" s="18" t="str">
        <x:v>S10</x:v>
      </x:c>
      <x:c r="W271" s="18" t="str"/>
      <x:c r="X271" s="18" t="str"/>
      <x:c r="Y271" s="18" t="str">
        <x:v>Jubilación</x:v>
      </x:c>
      <x:c r="Z271" s="18" t="str">
        <x:v>Alta</x:v>
      </x:c>
      <x:c r="AA271" s="18" t="str">
        <x:v>S10</x:v>
      </x:c>
      <x:c r="AB271" s="18" t="str"/>
      <x:c r="AC271" s="18" t="str"/>
      <x:c r="AD271" s="18" t="str">
        <x:v>No</x:v>
      </x:c>
      <x:c r="AE271" s="18" t="str">
        <x:v>Práctico</x:v>
      </x:c>
      <x:c r="AF271" s="18" t="str">
        <x:v>B</x:v>
      </x:c>
      <x:c r="AG271" s="18" t="str">
        <x:v>B</x:v>
      </x:c>
      <x:c r="AH271" s="18" t="str">
        <x:v>Válida</x:v>
      </x:c>
      <x:c r="AI271" s="18" t="str">
        <x:v>01. Información oficial de la oposición\Exámenes oficiales anteriores\2025 Convocatoria 2024 - Acceso libre Modelo A.pdf</x:v>
      </x:c>
      <x:c r="AJ271" s="18" t="str">
        <x:v>https://www.seg-social.es/wps/portal/wss/internet/InformacionUtil/9950/88beb45d-ca83-4bab-8162-f94ef2894562/7e46efac-32c8-4cf6-b3d3-d592c3560dff/rdpi_administrativos_2024</x:v>
      </x:c>
      <x:c r="AK271" s="18" t="str">
        <x:v>OCR Windows es-ES sobre PDF oficial</x:v>
      </x:c>
      <x:c r="AL271" s="18" t="n">
        <x:v>100</x:v>
      </x:c>
      <x:c r="AM271" s="18" t="str">
        <x:v>Alta</x:v>
      </x:c>
      <x:c r="AN271" s="18" t="str">
        <x:v>Regla jurídica determinista</x:v>
      </x:c>
      <x:c r="AO271" s="18" t="str">
        <x:v>2025_conv2024_ordinario_A-P15</x:v>
      </x:c>
      <x:c r="AP271" s="18" t="n">
        <x:v>1</x:v>
      </x:c>
    </x:row>
    <x:row r="272">
      <x:c r="A272" s="18" t="str">
        <x:v>2025_conv2024_ordinario_A-P16</x:v>
      </x:c>
      <x:c r="B272" s="18" t="n">
        <x:v>2025</x:v>
      </x:c>
      <x:c r="C272" s="18" t="n">
        <x:v>2024</x:v>
      </x:c>
      <x:c r="D272" s="28" t="n">
        <x:v>45913</x:v>
      </x:c>
      <x:c r="E272" s="18" t="str">
        <x:v>Acceso libre</x:v>
      </x:c>
      <x:c r="F272" s="18" t="str">
        <x:v>Segunda parte</x:v>
      </x:c>
      <x:c r="G272" s="18" t="str">
        <x:v>A</x:v>
      </x:c>
      <x:c r="H272" s="18" t="str">
        <x:v>A/B</x:v>
      </x:c>
      <x:c r="I272" s="18" t="str">
        <x:v>Sí</x:v>
      </x:c>
      <x:c r="J272" s="18" t="str">
        <x:v>Modelo A usado como variante canónica; el modelo B oficial está archivado y permuta el orden y/o las opciones.</x:v>
      </x:c>
      <x:c r="K272" s="18" t="n">
        <x:v>16</x:v>
      </x:c>
      <x:c r="L272" s="18" t="str">
        <x:v>Sí</x:v>
      </x:c>
      <x:c r="M272" s="18" t="str">
        <x:v>Dña. Celestina ha decidido dejar voluntariamente la empresa eI día 28 de abril de 2025, comunicándolo con la antelación que la legislación laboral establece. Determine hasta que día tiene la empresa "Pleberio, S.L", para tramitar la baja de Dña. Celestina, dentro del plazo reglamentariamente establecido:</x:v>
      </x:c>
      <x:c r="N272" s="18" t="str">
        <x:v>I de mayo de 2025.</x:v>
      </x:c>
      <x:c r="O272" s="18" t="str">
        <x:v>2 de mayo de 2025.</x:v>
      </x:c>
      <x:c r="P272" s="18" t="str">
        <x:v>30 de abril de 2025.</x:v>
      </x:c>
      <x:c r="Q272" s="18" t="str">
        <x:v>3 de mayo de 2025.</x:v>
      </x:c>
      <x:c r="R272" s="18" t="str">
        <x:v>S03</x:v>
      </x:c>
      <x:c r="S272" s="18" t="n">
        <x:v>3</x:v>
      </x:c>
      <x:c r="T272" s="18" t="str">
        <x:v>Temario específico Seguridad Social</x:v>
      </x:c>
      <x:c r="U272" s="18" t="str">
        <x:v>Normas sobre afiliación. Altas y bajas en el régimen general. Procedimiento y efectos. El convenio especial y otras situaciones asimiladas a la del alta. Encuadramiento e inscripción.</x:v>
      </x:c>
      <x:c r="V272" s="18" t="str">
        <x:v>baja</x:v>
      </x:c>
      <x:c r="W272" s="18" t="str"/>
      <x:c r="X272" s="18" t="str"/>
      <x:c r="Y272" s="18" t="str">
        <x:v>Plazos</x:v>
      </x:c>
      <x:c r="Z272" s="18" t="str">
        <x:v>Alta</x:v>
      </x:c>
      <x:c r="AA272" s="18" t="str">
        <x:v>baja</x:v>
      </x:c>
      <x:c r="AB272" s="18" t="str"/>
      <x:c r="AC272" s="18" t="str"/>
      <x:c r="AD272" s="18" t="str">
        <x:v>No</x:v>
      </x:c>
      <x:c r="AE272" s="18" t="str">
        <x:v>Práctico</x:v>
      </x:c>
      <x:c r="AF272" s="18" t="str">
        <x:v>A</x:v>
      </x:c>
      <x:c r="AG272" s="18" t="str">
        <x:v>A</x:v>
      </x:c>
      <x:c r="AH272" s="18" t="str">
        <x:v>Válida</x:v>
      </x:c>
      <x:c r="AI272" s="18" t="str">
        <x:v>01. Información oficial de la oposición\Exámenes oficiales anteriores\2025 Convocatoria 2024 - Acceso libre Modelo A.pdf</x:v>
      </x:c>
      <x:c r="AJ272" s="18" t="str">
        <x:v>https://www.seg-social.es/wps/portal/wss/internet/InformacionUtil/9950/88beb45d-ca83-4bab-8162-f94ef2894562/7e46efac-32c8-4cf6-b3d3-d592c3560dff/rdpi_administrativos_2024</x:v>
      </x:c>
      <x:c r="AK272" s="18" t="str">
        <x:v>OCR Windows es-ES sobre PDF oficial</x:v>
      </x:c>
      <x:c r="AL272" s="18" t="n">
        <x:v>7</x:v>
      </x:c>
      <x:c r="AM272" s="18" t="str">
        <x:v>Media</x:v>
      </x:c>
      <x:c r="AN272" s="18" t="str">
        <x:v>Ponderación de palabras clave</x:v>
      </x:c>
      <x:c r="AO272" s="18" t="str">
        <x:v>2025_conv2024_ordinario_A-P16</x:v>
      </x:c>
      <x:c r="AP272" s="18" t="n">
        <x:v>1</x:v>
      </x:c>
    </x:row>
    <x:row r="273">
      <x:c r="A273" s="18" t="str">
        <x:v>2025_conv2024_ordinario_A-P17</x:v>
      </x:c>
      <x:c r="B273" s="18" t="n">
        <x:v>2025</x:v>
      </x:c>
      <x:c r="C273" s="18" t="n">
        <x:v>2024</x:v>
      </x:c>
      <x:c r="D273" s="28" t="n">
        <x:v>45913</x:v>
      </x:c>
      <x:c r="E273" s="18" t="str">
        <x:v>Acceso libre</x:v>
      </x:c>
      <x:c r="F273" s="18" t="str">
        <x:v>Segunda parte</x:v>
      </x:c>
      <x:c r="G273" s="18" t="str">
        <x:v>A</x:v>
      </x:c>
      <x:c r="H273" s="18" t="str">
        <x:v>A/B</x:v>
      </x:c>
      <x:c r="I273" s="18" t="str">
        <x:v>Sí</x:v>
      </x:c>
      <x:c r="J273" s="18" t="str">
        <x:v>Modelo A usado como variante canónica; el modelo B oficial está archivado y permuta el orden y/o las opciones.</x:v>
      </x:c>
      <x:c r="K273" s="18" t="n">
        <x:v>17</x:v>
      </x:c>
      <x:c r="L273" s="18" t="str">
        <x:v>Sí</x:v>
      </x:c>
      <x:c r="M273" s="18" t="str">
        <x:v>Victoria trabaja como fisioterapeuta por cuenta ajena. Tras una caída esquiando, se ha fracturado eI cúbito y eI radio del brazo derecho. EI facultativo médico ha estimado un periodo de duración de baja médica de 60 días naturales. La baja inicial es del día 10 de enero de 2025 y se ha extendido parte de confirmación de la misma eI día 16 de enero de 2025. Después de este primer parte de confirmación, los sucesivos que deban emitirse, no podrán emitirse con una diferencia de más de:</x:v>
      </x:c>
      <x:c r="N273" s="18" t="str">
        <x:v>7 días naturales entre sí.</x:v>
      </x:c>
      <x:c r="O273" s="18" t="str">
        <x:v>14 días naturales entre sí.</x:v>
      </x:c>
      <x:c r="P273" s="18" t="str">
        <x:v>28 días naturales entre sí.</x:v>
      </x:c>
      <x:c r="Q273" s="18" t="str">
        <x:v>35 días naturales entre sí.</x:v>
      </x:c>
      <x:c r="R273" s="18" t="str">
        <x:v>S08</x:v>
      </x:c>
      <x:c r="S273" s="18" t="n">
        <x:v>8</x:v>
      </x:c>
      <x:c r="T273" s="18" t="str">
        <x:v>Temario específico Seguridad Social</x:v>
      </x:c>
      <x:c r="U273" s="18" t="str">
        <x:v>Incapacidad temporal: concepto y causas que motivan esta situación. Beneficiarios. Prestación económica: determinación y cuantía. Nacimiento, duración y extinción del derecho al subsidio. Reconocimiento y pago. Control de la incapacidad. Incapacidad permanente contributiva: concepto. Grados de incapacidad. Prestaciones. Determinación y cuantía. Beneficiarios. Nacimiento, duración y extinción del derecho. Lesiones permanentes no incapacitantes. La calificación y revisión de la incapacidad permanente.</x:v>
      </x:c>
      <x:c r="V273" s="18" t="str">
        <x:v>baja</x:v>
      </x:c>
      <x:c r="W273" s="18" t="str"/>
      <x:c r="X273" s="18" t="str"/>
      <x:c r="Y273" s="18" t="str">
        <x:v>Plazos</x:v>
      </x:c>
      <x:c r="Z273" s="18" t="str">
        <x:v>Alta</x:v>
      </x:c>
      <x:c r="AA273" s="18" t="str">
        <x:v>baja</x:v>
      </x:c>
      <x:c r="AB273" s="18" t="str">
        <x:v>ISM</x:v>
      </x:c>
      <x:c r="AC273" s="18" t="str">
        <x:v>60 días</x:v>
      </x:c>
      <x:c r="AD273" s="18" t="str">
        <x:v>No</x:v>
      </x:c>
      <x:c r="AE273" s="18" t="str">
        <x:v>Práctico</x:v>
      </x:c>
      <x:c r="AF273" s="18" t="str">
        <x:v>C</x:v>
      </x:c>
      <x:c r="AG273" s="18" t="str">
        <x:v>C</x:v>
      </x:c>
      <x:c r="AH273" s="18" t="str">
        <x:v>Válida</x:v>
      </x:c>
      <x:c r="AI273" s="18" t="str">
        <x:v>01. Información oficial de la oposición\Exámenes oficiales anteriores\2025 Convocatoria 2024 - Acceso libre Modelo A.pdf</x:v>
      </x:c>
      <x:c r="AJ273" s="18" t="str">
        <x:v>https://www.seg-social.es/wps/portal/wss/internet/InformacionUtil/9950/88beb45d-ca83-4bab-8162-f94ef2894562/7e46efac-32c8-4cf6-b3d3-d592c3560dff/rdpi_administrativos_2024</x:v>
      </x:c>
      <x:c r="AK273" s="18" t="str">
        <x:v>OCR Windows es-ES sobre PDF oficial</x:v>
      </x:c>
      <x:c r="AL273" s="18" t="n">
        <x:v>100</x:v>
      </x:c>
      <x:c r="AM273" s="18" t="str">
        <x:v>Alta</x:v>
      </x:c>
      <x:c r="AN273" s="18" t="str">
        <x:v>Revisión jurídica individual</x:v>
      </x:c>
      <x:c r="AO273" s="18" t="str">
        <x:v>2025_conv2024_ordinario_A-P17</x:v>
      </x:c>
      <x:c r="AP273" s="18" t="n">
        <x:v>1</x:v>
      </x:c>
    </x:row>
    <x:row r="274">
      <x:c r="A274" s="18" t="str">
        <x:v>2025_conv2024_ordinario_A-P18</x:v>
      </x:c>
      <x:c r="B274" s="18" t="n">
        <x:v>2025</x:v>
      </x:c>
      <x:c r="C274" s="18" t="n">
        <x:v>2024</x:v>
      </x:c>
      <x:c r="D274" s="28" t="n">
        <x:v>45913</x:v>
      </x:c>
      <x:c r="E274" s="18" t="str">
        <x:v>Acceso libre</x:v>
      </x:c>
      <x:c r="F274" s="18" t="str">
        <x:v>Segunda parte</x:v>
      </x:c>
      <x:c r="G274" s="18" t="str">
        <x:v>A</x:v>
      </x:c>
      <x:c r="H274" s="18" t="str">
        <x:v>A/B</x:v>
      </x:c>
      <x:c r="I274" s="18" t="str">
        <x:v>Sí</x:v>
      </x:c>
      <x:c r="J274" s="18" t="str">
        <x:v>Modelo A usado como variante canónica; el modelo B oficial está archivado y permuta el orden y/o las opciones.</x:v>
      </x:c>
      <x:c r="K274" s="18" t="n">
        <x:v>18</x:v>
      </x:c>
      <x:c r="L274" s="18" t="str">
        <x:v>Sí</x:v>
      </x:c>
      <x:c r="M274" s="18" t="str">
        <x:v>Eduardo se encuentra en un proceso de incapacidad temporal como consecuencia de un accidente de tráfico desde el 5 de mayo de 2024. Una vez agotado eI plazo de duración de 365 días, la inspección médica del INSS ha emitido eI alta médica por mejoría que permite la reincorporación médica al trabajo. Eduardo no está conforme con el alta médica, ¿puede manifestar su disconformidad ante la inspección médica del servicio público de salud?</x:v>
      </x:c>
      <x:c r="N274" s="18" t="str">
        <x:v>No es posible manifestar disconformidad alguna ante la decisión de la inspección médica del INSS.</x:v>
      </x:c>
      <x:c r="O274" s="18" t="str">
        <x:v>Sí, es posible manifestar su disconformidad en el plazo máximo de 4 días naturales ante la inspección médica del servicio público de salud.</x:v>
      </x:c>
      <x:c r="P274" s="18" t="str">
        <x:v>Sí, es posible manifestar su disconformidad en eI plazo máximo de 7 días naturales ante la inspección médica del servicio público de salud.</x:v>
      </x:c>
      <x:c r="Q274" s="18" t="str">
        <x:v>Sí, es posible manifestar su disconformidad en el plazo máximo de 11 días naturales ante la inspección médica del servicio público de salud.</x:v>
      </x:c>
      <x:c r="R274" s="18" t="str">
        <x:v>S08</x:v>
      </x:c>
      <x:c r="S274" s="18" t="n">
        <x:v>8</x:v>
      </x:c>
      <x:c r="T274" s="18" t="str">
        <x:v>Temario específico Seguridad Social</x:v>
      </x:c>
      <x:c r="U274" s="18" t="str">
        <x:v>Incapacidad temporal: concepto y causas que motivan esta situación. Beneficiarios. Prestación económica: determinación y cuantía. Nacimiento, duración y extinción del derecho al subsidio. Reconocimiento y pago. Control de la incapacidad. Incapacidad permanente contributiva: concepto. Grados de incapacidad. Prestaciones. Determinación y cuantía. Beneficiarios. Nacimiento, duración y extinción del derecho. Lesiones permanentes no incapacitantes. La calificación y revisión de la incapacidad permanente.</x:v>
      </x:c>
      <x:c r="V274" s="18" t="str">
        <x:v>alta</x:v>
      </x:c>
      <x:c r="W274" s="18" t="str"/>
      <x:c r="X274" s="18" t="str"/>
      <x:c r="Y274" s="18" t="str">
        <x:v>Plazos</x:v>
      </x:c>
      <x:c r="Z274" s="18" t="str">
        <x:v>Alta</x:v>
      </x:c>
      <x:c r="AA274" s="18" t="str">
        <x:v>alta</x:v>
      </x:c>
      <x:c r="AB274" s="18" t="str">
        <x:v>INSS</x:v>
      </x:c>
      <x:c r="AC274" s="18" t="str">
        <x:v>365 días</x:v>
      </x:c>
      <x:c r="AD274" s="18" t="str">
        <x:v>Sí</x:v>
      </x:c>
      <x:c r="AE274" s="18" t="str">
        <x:v>Práctico</x:v>
      </x:c>
      <x:c r="AF274" s="18" t="str">
        <x:v>B</x:v>
      </x:c>
      <x:c r="AG274" s="18" t="str">
        <x:v>B</x:v>
      </x:c>
      <x:c r="AH274" s="18" t="str">
        <x:v>Válida</x:v>
      </x:c>
      <x:c r="AI274" s="18" t="str">
        <x:v>01. Información oficial de la oposición\Exámenes oficiales anteriores\2025 Convocatoria 2024 - Acceso libre Modelo A.pdf</x:v>
      </x:c>
      <x:c r="AJ274" s="18" t="str">
        <x:v>https://www.seg-social.es/wps/portal/wss/internet/InformacionUtil/9950/88beb45d-ca83-4bab-8162-f94ef2894562/7e46efac-32c8-4cf6-b3d3-d592c3560dff/rdpi_administrativos_2024</x:v>
      </x:c>
      <x:c r="AK274" s="18" t="str">
        <x:v>OCR Windows es-ES sobre PDF oficial</x:v>
      </x:c>
      <x:c r="AL274" s="18" t="n">
        <x:v>100</x:v>
      </x:c>
      <x:c r="AM274" s="18" t="str">
        <x:v>Alta</x:v>
      </x:c>
      <x:c r="AN274" s="18" t="str">
        <x:v>Regla jurídica determinista</x:v>
      </x:c>
      <x:c r="AO274" s="18" t="str">
        <x:v>2025_conv2024_ordinario_A-P18</x:v>
      </x:c>
      <x:c r="AP274" s="18" t="n">
        <x:v>1</x:v>
      </x:c>
    </x:row>
    <x:row r="275">
      <x:c r="A275" s="18" t="str">
        <x:v>2025_conv2024_extraordinario-T01</x:v>
      </x:c>
      <x:c r="B275" s="18" t="n">
        <x:v>2025</x:v>
      </x:c>
      <x:c r="C275" s="18" t="n">
        <x:v>2024</x:v>
      </x:c>
      <x:c r="D275" s="28" t="n">
        <x:v>45956</x:v>
      </x:c>
      <x:c r="E275" s="18" t="str">
        <x:v>Acceso libre</x:v>
      </x:c>
      <x:c r="F275" s="18" t="str">
        <x:v>Primera parte</x:v>
      </x:c>
      <x:c r="G275" s="18" t="str">
        <x:v>Extraordinario</x:v>
      </x:c>
      <x:c r="H275" s="18" t="str">
        <x:v>Único</x:v>
      </x:c>
      <x:c r="I275" s="18" t="str">
        <x:v>Sí</x:v>
      </x:c>
      <x:c r="J275" s="18" t="str">
        <x:v>Cuestionario extraordinario sin modelo paralelo.</x:v>
      </x:c>
      <x:c r="K275" s="18" t="n">
        <x:v>1</x:v>
      </x:c>
      <x:c r="L275" s="18" t="str">
        <x:v>No</x:v>
      </x:c>
      <x:c r="M275" s="18" t="str">
        <x:v>En la Constitución Española, el Capítulo Primero del Título I se denomina:</x:v>
      </x:c>
      <x:c r="N275" s="18" t="str">
        <x:v>De los derechos y deberes fundamentales.</x:v>
      </x:c>
      <x:c r="O275" s="18" t="str">
        <x:v>De los españoles y los extranjeros.</x:v>
      </x:c>
      <x:c r="P275" s="18" t="str">
        <x:v>De los derechos y deberes de los ciudadanos.</x:v>
      </x:c>
      <x:c r="Q275" s="18" t="str">
        <x:v>De los principios rectores de la política social y económica.</x:v>
      </x:c>
      <x:c r="R275" s="18" t="str">
        <x:v>G02</x:v>
      </x:c>
      <x:c r="S275" s="18" t="n">
        <x:v>2</x:v>
      </x:c>
      <x:c r="T275" s="18" t="str">
        <x:v>Temario general</x:v>
      </x:c>
      <x:c r="U275" s="18" t="str">
        <x:v>Derechos y deberes fundamentales. Su garantía y suspensión.</x:v>
      </x:c>
      <x:c r="V275" s="18" t="str">
        <x:v>G02</x:v>
      </x:c>
      <x:c r="W275" s="18" t="str">
        <x:v>Constitución Española</x:v>
      </x:c>
      <x:c r="X275" s="18" t="str"/>
      <x:c r="Y275" s="18" t="str">
        <x:v>Artículos literales</x:v>
      </x:c>
      <x:c r="Z275" s="18" t="str">
        <x:v>Básica</x:v>
      </x:c>
      <x:c r="AA275" s="18" t="str">
        <x:v>G02</x:v>
      </x:c>
      <x:c r="AB275" s="18" t="str"/>
      <x:c r="AC275" s="18" t="str"/>
      <x:c r="AD275" s="18" t="str">
        <x:v>No</x:v>
      </x:c>
      <x:c r="AE275" s="18" t="str">
        <x:v>Teórico</x:v>
      </x:c>
      <x:c r="AF275" s="18" t="str">
        <x:v>B</x:v>
      </x:c>
      <x:c r="AG275" s="18" t="str">
        <x:v>B</x:v>
      </x:c>
      <x:c r="AH275" s="18" t="str">
        <x:v>Válida</x:v>
      </x:c>
      <x:c r="AI275" s="18" t="str">
        <x:v>01. Información oficial de la oposición\Exámenes oficiales anteriores\2025 Convocatoria 2024 - Examen extraordinario acceso libre.pdf</x:v>
      </x:c>
      <x:c r="AJ275" s="18" t="str">
        <x:v>https://www.seg-social.es/wps/portal/wss/internet/InformacionUtil/9950/88beb45d-ca83-4bab-8162-f94ef2894562/7e46efac-32c8-4cf6-b3d3-d592c3560dff/rdpi_administrativos_2024</x:v>
      </x:c>
      <x:c r="AK275" s="18" t="str">
        <x:v>Texto PDF</x:v>
      </x:c>
      <x:c r="AL275" s="18" t="n">
        <x:v>100</x:v>
      </x:c>
      <x:c r="AM275" s="18" t="str">
        <x:v>Alta</x:v>
      </x:c>
      <x:c r="AN275" s="18" t="str">
        <x:v>Regla jurídica determinista</x:v>
      </x:c>
      <x:c r="AO275" s="18" t="str">
        <x:v>2025_conv2024_extraordinario-T01</x:v>
      </x:c>
      <x:c r="AP275" s="18" t="n">
        <x:v>1</x:v>
      </x:c>
    </x:row>
    <x:row r="276">
      <x:c r="A276" s="18" t="str">
        <x:v>2025_conv2024_extraordinario-T02</x:v>
      </x:c>
      <x:c r="B276" s="18" t="n">
        <x:v>2025</x:v>
      </x:c>
      <x:c r="C276" s="18" t="n">
        <x:v>2024</x:v>
      </x:c>
      <x:c r="D276" s="28" t="n">
        <x:v>45956</x:v>
      </x:c>
      <x:c r="E276" s="18" t="str">
        <x:v>Acceso libre</x:v>
      </x:c>
      <x:c r="F276" s="18" t="str">
        <x:v>Primera parte</x:v>
      </x:c>
      <x:c r="G276" s="18" t="str">
        <x:v>Extraordinario</x:v>
      </x:c>
      <x:c r="H276" s="18" t="str">
        <x:v>Único</x:v>
      </x:c>
      <x:c r="I276" s="18" t="str">
        <x:v>Sí</x:v>
      </x:c>
      <x:c r="J276" s="18" t="str">
        <x:v>Cuestionario extraordinario sin modelo paralelo.</x:v>
      </x:c>
      <x:c r="K276" s="18" t="n">
        <x:v>2</x:v>
      </x:c>
      <x:c r="L276" s="18" t="str">
        <x:v>No</x:v>
      </x:c>
      <x:c r="M276" s="18" t="str">
        <x:v>El derecho a la huelga de los trabajadores para la defensa de sus intereses:</x:v>
      </x:c>
      <x:c r="N276" s="18" t="str">
        <x:v>Es un derecho fundamental, previsto en la Sección 1ª del Capítulo Segundo , del Título I, de la Constitución Española y, en consecuencia, está tutelado mediante recurso de amparo ante el Tribunal Constitucional.</x:v>
      </x:c>
      <x:c r="O276" s="18" t="str">
        <x:v>Es un principio rector de la política social y económica y, por tanto, únicamente podrá ser alegado ante la jurisdicción ordinaria de acuerdo con lo que dispongan las leyes que lo desarrollen.</x:v>
      </x:c>
      <x:c r="P276" s="18" t="str">
        <x:v>Es un derecho fundamental, previsto en la Sección 1ª del Capítulo Segundo , del Título I , de la Constitución Española, pero no goza de tutela mediante recurso de amparo ante el Tribunal Constitucional.</x:v>
      </x:c>
      <x:c r="Q276" s="18" t="str">
        <x:v>La Constitución Española no recoge el derecho a la huelga.</x:v>
      </x:c>
      <x:c r="R276" s="18" t="str">
        <x:v>G02</x:v>
      </x:c>
      <x:c r="S276" s="18" t="n">
        <x:v>2</x:v>
      </x:c>
      <x:c r="T276" s="18" t="str">
        <x:v>Temario general</x:v>
      </x:c>
      <x:c r="U276" s="18" t="str">
        <x:v>Derechos y deberes fundamentales. Su garantía y suspensión.</x:v>
      </x:c>
      <x:c r="V276" s="18" t="str">
        <x:v>G02</x:v>
      </x:c>
      <x:c r="W276" s="18" t="str"/>
      <x:c r="X276" s="18" t="str"/>
      <x:c r="Y276" s="18" t="str">
        <x:v>Artículos literales</x:v>
      </x:c>
      <x:c r="Z276" s="18" t="str">
        <x:v>Básica</x:v>
      </x:c>
      <x:c r="AA276" s="18" t="str">
        <x:v>G02</x:v>
      </x:c>
      <x:c r="AB276" s="18" t="str"/>
      <x:c r="AC276" s="18" t="str"/>
      <x:c r="AD276" s="18" t="str">
        <x:v>No</x:v>
      </x:c>
      <x:c r="AE276" s="18" t="str">
        <x:v>Teórico</x:v>
      </x:c>
      <x:c r="AF276" s="18" t="str">
        <x:v>A</x:v>
      </x:c>
      <x:c r="AG276" s="18" t="str">
        <x:v>A</x:v>
      </x:c>
      <x:c r="AH276" s="18" t="str">
        <x:v>Válida</x:v>
      </x:c>
      <x:c r="AI276" s="18" t="str">
        <x:v>01. Información oficial de la oposición\Exámenes oficiales anteriores\2025 Convocatoria 2024 - Examen extraordinario acceso libre.pdf</x:v>
      </x:c>
      <x:c r="AJ276" s="18" t="str">
        <x:v>https://www.seg-social.es/wps/portal/wss/internet/InformacionUtil/9950/88beb45d-ca83-4bab-8162-f94ef2894562/7e46efac-32c8-4cf6-b3d3-d592c3560dff/rdpi_administrativos_2024</x:v>
      </x:c>
      <x:c r="AK276" s="18" t="str">
        <x:v>Texto PDF</x:v>
      </x:c>
      <x:c r="AL276" s="18" t="n">
        <x:v>100</x:v>
      </x:c>
      <x:c r="AM276" s="18" t="str">
        <x:v>Alta</x:v>
      </x:c>
      <x:c r="AN276" s="18" t="str">
        <x:v>Regla jurídica determinista</x:v>
      </x:c>
      <x:c r="AO276" s="18" t="str">
        <x:v>2025_conv2024_extraordinario-T02</x:v>
      </x:c>
      <x:c r="AP276" s="18" t="n">
        <x:v>1</x:v>
      </x:c>
    </x:row>
    <x:row r="277">
      <x:c r="A277" s="18" t="str">
        <x:v>2025_conv2024_extraordinario-T03</x:v>
      </x:c>
      <x:c r="B277" s="18" t="n">
        <x:v>2025</x:v>
      </x:c>
      <x:c r="C277" s="18" t="n">
        <x:v>2024</x:v>
      </x:c>
      <x:c r="D277" s="28" t="n">
        <x:v>45956</x:v>
      </x:c>
      <x:c r="E277" s="18" t="str">
        <x:v>Acceso libre</x:v>
      </x:c>
      <x:c r="F277" s="18" t="str">
        <x:v>Primera parte</x:v>
      </x:c>
      <x:c r="G277" s="18" t="str">
        <x:v>Extraordinario</x:v>
      </x:c>
      <x:c r="H277" s="18" t="str">
        <x:v>Único</x:v>
      </x:c>
      <x:c r="I277" s="18" t="str">
        <x:v>Sí</x:v>
      </x:c>
      <x:c r="J277" s="18" t="str">
        <x:v>Cuestionario extraordinario sin modelo paralelo.</x:v>
      </x:c>
      <x:c r="K277" s="18" t="n">
        <x:v>3</x:v>
      </x:c>
      <x:c r="L277" s="18" t="str">
        <x:v>No</x:v>
      </x:c>
      <x:c r="M277" s="18" t="str">
        <x:v>Según el artículo 12 de la Ley Orgánica 2/1979, de 3 de octubre, del Tribunal Constitucional, señale la afirmación correcta:</x:v>
      </x:c>
      <x:c r="N277" s="18" t="str">
        <x:v>El Tribunal Constitucional está integrado por doce miembros, con el título de Magistrados del Tribunal Constitucional.</x:v>
      </x:c>
      <x:c r="O277" s="18" t="str">
        <x:v>La distribución de asuntos entre las Salas del Tribunal se efectuará según un turno establecido por el Pleno a propuesta de su Presidente.</x:v>
      </x:c>
      <x:c r="P277" s="18" t="str">
        <x:v>Cuando una Sala considere necesario apartarse en cualquier punto de la doctrina constitucional precedente sentada por el Tribunal, la cuestión se someterá a la decisión del Pleno.</x:v>
      </x:c>
      <x:c r="Q277" s="18" t="str">
        <x:v>Las Salas del Tribunal Constitucional conocerán de los asuntos que, atribuidos a la justicia constitucional, no sean de la competencia del Pleno.</x:v>
      </x:c>
      <x:c r="R277" s="18" t="str">
        <x:v>G03</x:v>
      </x:c>
      <x:c r="S277" s="18" t="n">
        <x:v>3</x:v>
      </x:c>
      <x:c r="T277" s="18" t="str">
        <x:v>Temario general</x:v>
      </x:c>
      <x:c r="U277" s="18" t="str">
        <x:v>El Tribunal Constitucional. Organización, composición y atribuciones.</x:v>
      </x:c>
      <x:c r="V277" s="18" t="str">
        <x:v>G03</x:v>
      </x:c>
      <x:c r="W277" s="18" t="str">
        <x:v>Ley Orgánica 2/1979</x:v>
      </x:c>
      <x:c r="X277" s="18" t="str">
        <x:v>12</x:v>
      </x:c>
      <x:c r="Y277" s="18" t="str">
        <x:v>Artículos literales</x:v>
      </x:c>
      <x:c r="Z277" s="18" t="str">
        <x:v>Media</x:v>
      </x:c>
      <x:c r="AA277" s="18" t="str">
        <x:v>G03</x:v>
      </x:c>
      <x:c r="AB277" s="18" t="str">
        <x:v>Tribunal Constitucional</x:v>
      </x:c>
      <x:c r="AC277" s="18" t="str"/>
      <x:c r="AD277" s="18" t="str">
        <x:v>No</x:v>
      </x:c>
      <x:c r="AE277" s="18" t="str">
        <x:v>Teórico</x:v>
      </x:c>
      <x:c r="AF277" s="18" t="str">
        <x:v>B</x:v>
      </x:c>
      <x:c r="AG277" s="18" t="str">
        <x:v>B</x:v>
      </x:c>
      <x:c r="AH277" s="18" t="str">
        <x:v>Válida</x:v>
      </x:c>
      <x:c r="AI277" s="18" t="str">
        <x:v>01. Información oficial de la oposición\Exámenes oficiales anteriores\2025 Convocatoria 2024 - Examen extraordinario acceso libre.pdf</x:v>
      </x:c>
      <x:c r="AJ277" s="18" t="str">
        <x:v>https://www.seg-social.es/wps/portal/wss/internet/InformacionUtil/9950/88beb45d-ca83-4bab-8162-f94ef2894562/7e46efac-32c8-4cf6-b3d3-d592c3560dff/rdpi_administrativos_2024</x:v>
      </x:c>
      <x:c r="AK277" s="18" t="str">
        <x:v>Texto PDF</x:v>
      </x:c>
      <x:c r="AL277" s="18" t="n">
        <x:v>100</x:v>
      </x:c>
      <x:c r="AM277" s="18" t="str">
        <x:v>Alta</x:v>
      </x:c>
      <x:c r="AN277" s="18" t="str">
        <x:v>Regla jurídica determinista</x:v>
      </x:c>
      <x:c r="AO277" s="18" t="str">
        <x:v>2025_conv2024_extraordinario-T03</x:v>
      </x:c>
      <x:c r="AP277" s="18" t="n">
        <x:v>1</x:v>
      </x:c>
    </x:row>
    <x:row r="278">
      <x:c r="A278" s="18" t="str">
        <x:v>2025_conv2024_extraordinario-T04</x:v>
      </x:c>
      <x:c r="B278" s="18" t="n">
        <x:v>2025</x:v>
      </x:c>
      <x:c r="C278" s="18" t="n">
        <x:v>2024</x:v>
      </x:c>
      <x:c r="D278" s="28" t="n">
        <x:v>45956</x:v>
      </x:c>
      <x:c r="E278" s="18" t="str">
        <x:v>Acceso libre</x:v>
      </x:c>
      <x:c r="F278" s="18" t="str">
        <x:v>Primera parte</x:v>
      </x:c>
      <x:c r="G278" s="18" t="str">
        <x:v>Extraordinario</x:v>
      </x:c>
      <x:c r="H278" s="18" t="str">
        <x:v>Único</x:v>
      </x:c>
      <x:c r="I278" s="18" t="str">
        <x:v>Sí</x:v>
      </x:c>
      <x:c r="J278" s="18" t="str">
        <x:v>Cuestionario extraordinario sin modelo paralelo.</x:v>
      </x:c>
      <x:c r="K278" s="18" t="n">
        <x:v>4</x:v>
      </x:c>
      <x:c r="L278" s="18" t="str">
        <x:v>No</x:v>
      </x:c>
      <x:c r="M278" s="18" t="str">
        <x:v>De acuerdo con lo establecido en el artículo 58 de la Constitución Española, la Reina consorte o el consorte de la Reina:</x:v>
      </x:c>
      <x:c r="N278" s="18" t="str">
        <x:v>Podrán asumir las funciones constitucionales que corresponden al Jefe del Estado.</x:v>
      </x:c>
      <x:c r="O278" s="18" t="str">
        <x:v>Podrán asumir funciones constitucionales, salvo en tiempos de guerra.</x:v>
      </x:c>
      <x:c r="P278" s="18" t="str">
        <x:v>No podrán asumir funciones constitucionales, salvo lo dispuesto para la Regencia.</x:v>
      </x:c>
      <x:c r="Q278" s="18" t="str">
        <x:v>No podrán asumir funciones constitucionales, salvo lo dispuesto en caso de declararse el Estado de Excepción, Alarma o Sitio.</x:v>
      </x:c>
      <x:c r="R278" s="18" t="str">
        <x:v>G04</x:v>
      </x:c>
      <x:c r="S278" s="18" t="n">
        <x:v>4</x:v>
      </x:c>
      <x:c r="T278" s="18" t="str">
        <x:v>Temario general</x:v>
      </x:c>
      <x:c r="U278" s="18" t="str">
        <x:v>La Corona. Funciones constitucionales del Rey. Sucesión y regencia. El refrendo.</x:v>
      </x:c>
      <x:c r="V278" s="18" t="str">
        <x:v>G04</x:v>
      </x:c>
      <x:c r="W278" s="18" t="str">
        <x:v>Constitución Española</x:v>
      </x:c>
      <x:c r="X278" s="18" t="str">
        <x:v>58</x:v>
      </x:c>
      <x:c r="Y278" s="18" t="str">
        <x:v>Artículos literales</x:v>
      </x:c>
      <x:c r="Z278" s="18" t="str">
        <x:v>Media</x:v>
      </x:c>
      <x:c r="AA278" s="18" t="str">
        <x:v>G04</x:v>
      </x:c>
      <x:c r="AB278" s="18" t="str"/>
      <x:c r="AC278" s="18" t="str"/>
      <x:c r="AD278" s="18" t="str">
        <x:v>No</x:v>
      </x:c>
      <x:c r="AE278" s="18" t="str">
        <x:v>Teórico</x:v>
      </x:c>
      <x:c r="AF278" s="18" t="str">
        <x:v>C</x:v>
      </x:c>
      <x:c r="AG278" s="18" t="str">
        <x:v>C</x:v>
      </x:c>
      <x:c r="AH278" s="18" t="str">
        <x:v>Válida</x:v>
      </x:c>
      <x:c r="AI278" s="18" t="str">
        <x:v>01. Información oficial de la oposición\Exámenes oficiales anteriores\2025 Convocatoria 2024 - Examen extraordinario acceso libre.pdf</x:v>
      </x:c>
      <x:c r="AJ278" s="18" t="str">
        <x:v>https://www.seg-social.es/wps/portal/wss/internet/InformacionUtil/9950/88beb45d-ca83-4bab-8162-f94ef2894562/7e46efac-32c8-4cf6-b3d3-d592c3560dff/rdpi_administrativos_2024</x:v>
      </x:c>
      <x:c r="AK278" s="18" t="str">
        <x:v>Texto PDF</x:v>
      </x:c>
      <x:c r="AL278" s="18" t="n">
        <x:v>100</x:v>
      </x:c>
      <x:c r="AM278" s="18" t="str">
        <x:v>Alta</x:v>
      </x:c>
      <x:c r="AN278" s="18" t="str">
        <x:v>Regla jurídica determinista</x:v>
      </x:c>
      <x:c r="AO278" s="18" t="str">
        <x:v>2025_conv2024_extraordinario-T04</x:v>
      </x:c>
      <x:c r="AP278" s="18" t="n">
        <x:v>1</x:v>
      </x:c>
    </x:row>
    <x:row r="279">
      <x:c r="A279" s="18" t="str">
        <x:v>2025_conv2024_extraordinario-T05</x:v>
      </x:c>
      <x:c r="B279" s="18" t="n">
        <x:v>2025</x:v>
      </x:c>
      <x:c r="C279" s="18" t="n">
        <x:v>2024</x:v>
      </x:c>
      <x:c r="D279" s="28" t="n">
        <x:v>45956</x:v>
      </x:c>
      <x:c r="E279" s="18" t="str">
        <x:v>Acceso libre</x:v>
      </x:c>
      <x:c r="F279" s="18" t="str">
        <x:v>Primera parte</x:v>
      </x:c>
      <x:c r="G279" s="18" t="str">
        <x:v>Extraordinario</x:v>
      </x:c>
      <x:c r="H279" s="18" t="str">
        <x:v>Único</x:v>
      </x:c>
      <x:c r="I279" s="18" t="str">
        <x:v>Sí</x:v>
      </x:c>
      <x:c r="J279" s="18" t="str">
        <x:v>Cuestionario extraordinario sin modelo paralelo.</x:v>
      </x:c>
      <x:c r="K279" s="18" t="n">
        <x:v>5</x:v>
      </x:c>
      <x:c r="L279" s="18" t="str">
        <x:v>No</x:v>
      </x:c>
      <x:c r="M279" s="18" t="str">
        <x:v>De acuerdo con lo establecido en el artículo 54 de la Constitución Española, ¿mediante qué tipo de norma se regulará la Institución del Defensor del Pueblo?:</x:v>
      </x:c>
      <x:c r="N279" s="18" t="str">
        <x:v>Una ley ordinaria regulará la institución del Defensor del Pueblo, como alto comisionado de las Cortes Generales, designado por éstas para la defensa de los derechos comprendidos en este Título, a cuyo efecto podrá supervisar la actividad de la Administrac ión, dando cuenta a las Cortes Generales.</x:v>
      </x:c>
      <x:c r="O279" s="18" t="str">
        <x:v>Un Real Decreto Ley regulará la institución del Defensor del Pueblo, como alto comisionado de las Cortes Generales, designado por éstas para la defensa de los derechos comprendidos en este Título, a cuyo efecto podrá supervisar la actividad de la Administr ación, dando cuenta a las Cortes Generales.</x:v>
      </x:c>
      <x:c r="P279" s="18" t="str">
        <x:v>Una ley orgánica regulará la institución del Defensor del Pueblo, como alto comisionado de las Cortes Generales, designado por éstas para la defensa de los derechos comprendidos en este Título, a cuyo efecto podrá supervisar la actividad de la Administraci ón, dando cuenta a las Cortes Generales.</x:v>
      </x:c>
      <x:c r="Q279" s="18" t="str">
        <x:v>Un Real Decreto Legislativo regulará la institución del Defensor del Pueblo, como alto comisionado de las Cortes Generales, designado por éstas para la defensa de los derechos comprendidos en este Título, a cuyo efecto podrá supervisar la actividad de la Administración, dando cuenta a las Cortes Generales.</x:v>
      </x:c>
      <x:c r="R279" s="18" t="str">
        <x:v>G05</x:v>
      </x:c>
      <x:c r="S279" s="18" t="n">
        <x:v>5</x:v>
      </x:c>
      <x:c r="T279" s="18" t="str">
        <x:v>Temario general</x:v>
      </x:c>
      <x:c r="U279" s="18" t="str">
        <x:v>El poder legislativo. Las Cortes Generales: Composición, atribuciones y funcionamiento. El Defensor del Pueblo.</x:v>
      </x:c>
      <x:c r="V279" s="18" t="str">
        <x:v>G05</x:v>
      </x:c>
      <x:c r="W279" s="18" t="str">
        <x:v>Constitución Española</x:v>
      </x:c>
      <x:c r="X279" s="18" t="str">
        <x:v>54</x:v>
      </x:c>
      <x:c r="Y279" s="18" t="str">
        <x:v>Artículos literales</x:v>
      </x:c>
      <x:c r="Z279" s="18" t="str">
        <x:v>Media</x:v>
      </x:c>
      <x:c r="AA279" s="18" t="str">
        <x:v>G05</x:v>
      </x:c>
      <x:c r="AB279" s="18" t="str"/>
      <x:c r="AC279" s="18" t="str"/>
      <x:c r="AD279" s="18" t="str">
        <x:v>No</x:v>
      </x:c>
      <x:c r="AE279" s="18" t="str">
        <x:v>Teórico</x:v>
      </x:c>
      <x:c r="AF279" s="18" t="str">
        <x:v>C</x:v>
      </x:c>
      <x:c r="AG279" s="18" t="str">
        <x:v>C</x:v>
      </x:c>
      <x:c r="AH279" s="18" t="str">
        <x:v>Válida</x:v>
      </x:c>
      <x:c r="AI279" s="18" t="str">
        <x:v>01. Información oficial de la oposición\Exámenes oficiales anteriores\2025 Convocatoria 2024 - Examen extraordinario acceso libre.pdf</x:v>
      </x:c>
      <x:c r="AJ279" s="18" t="str">
        <x:v>https://www.seg-social.es/wps/portal/wss/internet/InformacionUtil/9950/88beb45d-ca83-4bab-8162-f94ef2894562/7e46efac-32c8-4cf6-b3d3-d592c3560dff/rdpi_administrativos_2024</x:v>
      </x:c>
      <x:c r="AK279" s="18" t="str">
        <x:v>Texto PDF</x:v>
      </x:c>
      <x:c r="AL279" s="18" t="n">
        <x:v>100</x:v>
      </x:c>
      <x:c r="AM279" s="18" t="str">
        <x:v>Alta</x:v>
      </x:c>
      <x:c r="AN279" s="18" t="str">
        <x:v>Regla jurídica determinista</x:v>
      </x:c>
      <x:c r="AO279" s="18" t="str">
        <x:v>2025_conv2024_extraordinario-T05</x:v>
      </x:c>
      <x:c r="AP279" s="18" t="n">
        <x:v>1</x:v>
      </x:c>
    </x:row>
    <x:row r="280">
      <x:c r="A280" s="18" t="str">
        <x:v>2025_conv2024_extraordinario-T06</x:v>
      </x:c>
      <x:c r="B280" s="18" t="n">
        <x:v>2025</x:v>
      </x:c>
      <x:c r="C280" s="18" t="n">
        <x:v>2024</x:v>
      </x:c>
      <x:c r="D280" s="28" t="n">
        <x:v>45956</x:v>
      </x:c>
      <x:c r="E280" s="18" t="str">
        <x:v>Acceso libre</x:v>
      </x:c>
      <x:c r="F280" s="18" t="str">
        <x:v>Primera parte</x:v>
      </x:c>
      <x:c r="G280" s="18" t="str">
        <x:v>Extraordinario</x:v>
      </x:c>
      <x:c r="H280" s="18" t="str">
        <x:v>Único</x:v>
      </x:c>
      <x:c r="I280" s="18" t="str">
        <x:v>Sí</x:v>
      </x:c>
      <x:c r="J280" s="18" t="str">
        <x:v>Cuestionario extraordinario sin modelo paralelo.</x:v>
      </x:c>
      <x:c r="K280" s="18" t="n">
        <x:v>6</x:v>
      </x:c>
      <x:c r="L280" s="18" t="str">
        <x:v>No</x:v>
      </x:c>
      <x:c r="M280" s="18" t="str">
        <x:v>De acuerdo con lo establecido en el artículo 125 de la Constitución Española, los ciudadanos :</x:v>
      </x:c>
      <x:c r="N280" s="18" t="str">
        <x:v>Podrán ejercer la acción popular y participar en la Administración de Justicia mediante la institución del Defensor del Pueblo, en la forma y con respecto a aquellos procesos penales que la ley determine, así como en los Tribunales consuetudinarios y tradicionales.</x:v>
      </x:c>
      <x:c r="O280" s="18" t="str">
        <x:v>Podrán ejercer la acción popular y participar en la Administración de Justicia mediante la institución del Jurado, en la forma y con respecto a aquellos procesos penales que la ley determine, así como en los Tribunales consuetudinarios y tradicionales.</x:v>
      </x:c>
      <x:c r="P280" s="18" t="str">
        <x:v>Podrán ejercer la acción popular y participar en la Administración de Justicia mediante la institución del Ministerio Fiscal, en la forma y con respecto a aquellos procesos penales que la ley determine, así como en los Tribunales consuetudinarios y tradicionales.</x:v>
      </x:c>
      <x:c r="Q280" s="18" t="str">
        <x:v>Podrán ejercer la acción individual y participar en la Administración de Justicia mediante la institución del Jurado, en la forma y con respecto a aquellos procesos penales que la ley determine, así como en los Tribunales consuetudinarios y tradicionales.</x:v>
      </x:c>
      <x:c r="R280" s="18" t="str">
        <x:v>G06</x:v>
      </x:c>
      <x:c r="S280" s="18" t="n">
        <x:v>6</x:v>
      </x:c>
      <x:c r="T280" s="18" t="str">
        <x:v>Temario general</x:v>
      </x:c>
      <x:c r="U280" s="18" t="str">
        <x:v>El Poder Judicial. El principio de unidad jurisdiccional. El Consejo General del Poder Judicial. La organización judicial española.</x:v>
      </x:c>
      <x:c r="V280" s="18" t="str">
        <x:v>G06</x:v>
      </x:c>
      <x:c r="W280" s="18" t="str">
        <x:v>Constitución Española</x:v>
      </x:c>
      <x:c r="X280" s="18" t="str">
        <x:v>125</x:v>
      </x:c>
      <x:c r="Y280" s="18" t="str">
        <x:v>Artículos literales</x:v>
      </x:c>
      <x:c r="Z280" s="18" t="str">
        <x:v>Media</x:v>
      </x:c>
      <x:c r="AA280" s="18" t="str">
        <x:v>G06</x:v>
      </x:c>
      <x:c r="AB280" s="18" t="str"/>
      <x:c r="AC280" s="18" t="str"/>
      <x:c r="AD280" s="18" t="str">
        <x:v>No</x:v>
      </x:c>
      <x:c r="AE280" s="18" t="str">
        <x:v>Teórico</x:v>
      </x:c>
      <x:c r="AF280" s="18" t="str">
        <x:v>B</x:v>
      </x:c>
      <x:c r="AG280" s="18" t="str">
        <x:v>B</x:v>
      </x:c>
      <x:c r="AH280" s="18" t="str">
        <x:v>Válida</x:v>
      </x:c>
      <x:c r="AI280" s="18" t="str">
        <x:v>01. Información oficial de la oposición\Exámenes oficiales anteriores\2025 Convocatoria 2024 - Examen extraordinario acceso libre.pdf</x:v>
      </x:c>
      <x:c r="AJ280" s="18" t="str">
        <x:v>https://www.seg-social.es/wps/portal/wss/internet/InformacionUtil/9950/88beb45d-ca83-4bab-8162-f94ef2894562/7e46efac-32c8-4cf6-b3d3-d592c3560dff/rdpi_administrativos_2024</x:v>
      </x:c>
      <x:c r="AK280" s="18" t="str">
        <x:v>Texto PDF</x:v>
      </x:c>
      <x:c r="AL280" s="18" t="n">
        <x:v>100</x:v>
      </x:c>
      <x:c r="AM280" s="18" t="str">
        <x:v>Alta</x:v>
      </x:c>
      <x:c r="AN280" s="18" t="str">
        <x:v>Regla jurídica determinista</x:v>
      </x:c>
      <x:c r="AO280" s="18" t="str">
        <x:v>2025_conv2024_extraordinario-T06</x:v>
      </x:c>
      <x:c r="AP280" s="18" t="n">
        <x:v>1</x:v>
      </x:c>
    </x:row>
    <x:row r="281">
      <x:c r="A281" s="18" t="str">
        <x:v>2025_conv2024_extraordinario-T07</x:v>
      </x:c>
      <x:c r="B281" s="18" t="n">
        <x:v>2025</x:v>
      </x:c>
      <x:c r="C281" s="18" t="n">
        <x:v>2024</x:v>
      </x:c>
      <x:c r="D281" s="28" t="n">
        <x:v>45956</x:v>
      </x:c>
      <x:c r="E281" s="18" t="str">
        <x:v>Acceso libre</x:v>
      </x:c>
      <x:c r="F281" s="18" t="str">
        <x:v>Primera parte</x:v>
      </x:c>
      <x:c r="G281" s="18" t="str">
        <x:v>Extraordinario</x:v>
      </x:c>
      <x:c r="H281" s="18" t="str">
        <x:v>Único</x:v>
      </x:c>
      <x:c r="I281" s="18" t="str">
        <x:v>Sí</x:v>
      </x:c>
      <x:c r="J281" s="18" t="str">
        <x:v>Cuestionario extraordinario sin modelo paralelo.</x:v>
      </x:c>
      <x:c r="K281" s="18" t="n">
        <x:v>7</x:v>
      </x:c>
      <x:c r="L281" s="18" t="str">
        <x:v>No</x:v>
      </x:c>
      <x:c r="M281" s="18" t="str">
        <x:v>Según el Artículo 111 de la Constitución Española, señale la afirmación correcta :</x:v>
      </x:c>
      <x:c r="N281" s="18" t="str">
        <x:v>El Presidente del Gobierno está sometido a las interpelaciones y preguntas que se le formulen en las Cámaras. Para esta clase de debate los Reglamentos establecerán un tiempo mínimo semestral.</x:v>
      </x:c>
      <x:c r="O281" s="18" t="str">
        <x:v>El Gobierno y cada uno de sus miembros están sometidos a las interpelaciones y preguntas que se le formulen en las Cámaras. Para esta clase de debate los Reglamentos establecerán un tiempo mínimo semanal.</x:v>
      </x:c>
      <x:c r="P281" s="18" t="str">
        <x:v>El Presidente del Gobierno está sometido a las interpelaciones y preguntas que se le formulen en las Cámaras. Para esta clase de debate los Reglamentos establecerán un tiempo mínimo anual.</x:v>
      </x:c>
      <x:c r="Q281" s="18" t="str">
        <x:v>El Gobierno y cada uno de sus miembros están sometidos a las interpelaciones y preguntas que se le formulen en las Cámaras. Para esta clase de debate los Reglamentos establecerán un tiempo mínimo mensual.</x:v>
      </x:c>
      <x:c r="R281" s="18" t="str">
        <x:v>G07</x:v>
      </x:c>
      <x:c r="S281" s="18" t="n">
        <x:v>7</x:v>
      </x:c>
      <x:c r="T281" s="18" t="str">
        <x:v>Temario general</x:v>
      </x:c>
      <x:c r="U281" s="18" t="str">
        <x:v>El poder ejecutivo. El presidente del Gobierno y el Consejo de Ministros. Relaciones entre el Gobierno y las Cortes Generales. Designación, causas de cese y responsabilidad del Gobierno. El Consejo de Estado.</x:v>
      </x:c>
      <x:c r="V281" s="18" t="str">
        <x:v>G07</x:v>
      </x:c>
      <x:c r="W281" s="18" t="str">
        <x:v>Constitución Española</x:v>
      </x:c>
      <x:c r="X281" s="18" t="str">
        <x:v>111</x:v>
      </x:c>
      <x:c r="Y281" s="18" t="str">
        <x:v>Artículos literales</x:v>
      </x:c>
      <x:c r="Z281" s="18" t="str">
        <x:v>Media</x:v>
      </x:c>
      <x:c r="AA281" s="18" t="str">
        <x:v>G07</x:v>
      </x:c>
      <x:c r="AB281" s="18" t="str"/>
      <x:c r="AC281" s="18" t="str"/>
      <x:c r="AD281" s="18" t="str">
        <x:v>No</x:v>
      </x:c>
      <x:c r="AE281" s="18" t="str">
        <x:v>Teórico</x:v>
      </x:c>
      <x:c r="AF281" s="18" t="str">
        <x:v>B</x:v>
      </x:c>
      <x:c r="AG281" s="18" t="str">
        <x:v>B</x:v>
      </x:c>
      <x:c r="AH281" s="18" t="str">
        <x:v>Válida</x:v>
      </x:c>
      <x:c r="AI281" s="18" t="str">
        <x:v>01. Información oficial de la oposición\Exámenes oficiales anteriores\2025 Convocatoria 2024 - Examen extraordinario acceso libre.pdf</x:v>
      </x:c>
      <x:c r="AJ281" s="18" t="str">
        <x:v>https://www.seg-social.es/wps/portal/wss/internet/InformacionUtil/9950/88beb45d-ca83-4bab-8162-f94ef2894562/7e46efac-32c8-4cf6-b3d3-d592c3560dff/rdpi_administrativos_2024</x:v>
      </x:c>
      <x:c r="AK281" s="18" t="str">
        <x:v>Texto PDF</x:v>
      </x:c>
      <x:c r="AL281" s="18" t="n">
        <x:v>100</x:v>
      </x:c>
      <x:c r="AM281" s="18" t="str">
        <x:v>Alta</x:v>
      </x:c>
      <x:c r="AN281" s="18" t="str">
        <x:v>Regla jurídica determinista</x:v>
      </x:c>
      <x:c r="AO281" s="18" t="str">
        <x:v>2025_conv2024_extraordinario-T07</x:v>
      </x:c>
      <x:c r="AP281" s="18" t="n">
        <x:v>1</x:v>
      </x:c>
    </x:row>
    <x:row r="282">
      <x:c r="A282" s="18" t="str">
        <x:v>2025_conv2024_extraordinario-T08</x:v>
      </x:c>
      <x:c r="B282" s="18" t="n">
        <x:v>2025</x:v>
      </x:c>
      <x:c r="C282" s="18" t="n">
        <x:v>2024</x:v>
      </x:c>
      <x:c r="D282" s="28" t="n">
        <x:v>45956</x:v>
      </x:c>
      <x:c r="E282" s="18" t="str">
        <x:v>Acceso libre</x:v>
      </x:c>
      <x:c r="F282" s="18" t="str">
        <x:v>Primera parte</x:v>
      </x:c>
      <x:c r="G282" s="18" t="str">
        <x:v>Extraordinario</x:v>
      </x:c>
      <x:c r="H282" s="18" t="str">
        <x:v>Único</x:v>
      </x:c>
      <x:c r="I282" s="18" t="str">
        <x:v>Sí</x:v>
      </x:c>
      <x:c r="J282" s="18" t="str">
        <x:v>Cuestionario extraordinario sin modelo paralelo.</x:v>
      </x:c>
      <x:c r="K282" s="18" t="n">
        <x:v>8</x:v>
      </x:c>
      <x:c r="L282" s="18" t="str">
        <x:v>No</x:v>
      </x:c>
      <x:c r="M282" s="18" t="str">
        <x:v>Conforme a lo previsto en la Ley 40/2015, de 1 de octubre, de Régimen Jurídico del Sector Público, respecto a los servicios comunes de los Ministerios, señale la respuesta correcta:</x:v>
      </x:c>
      <x:c r="N282" s="18" t="str">
        <x:v>Los Ministerios contarán, potestativamente, con una Subsecretaría, y dependiendo de ella una Secretaría General, para la gestión de los servicios comunes previstos en el Titulo III de la Ley 40/2015 relativo a las relaciones interadministrativas.</x:v>
      </x:c>
      <x:c r="O282" s="18" t="str">
        <x:v>Los Secretarios de Estado proponen las medidas de organización del Ministerio en su ámbito de competencia, y dirigen los servicios comunes a través de las correspondientes instrucciones de carácter reglamentario.</x:v>
      </x:c>
      <x:c r="P282" s="18" t="str">
        <x:v>Los Secretarios de Estado ostentan la representación ordinaria del Ministerio y dirigen sus servicios comunes.</x:v>
      </x:c>
      <x:c r="Q282" s="18" t="str">
        <x:v>Los Ministerios contarán, en todo caso, con una Subsecretaría, y dependiendo de ella una Secretaría General Técnica, para la gestión de los servicios comunes previstos en el Título I de la Ley 40/2015.</x:v>
      </x:c>
      <x:c r="R282" s="18" t="str">
        <x:v>G08</x:v>
      </x:c>
      <x:c r="S282" s="18" t="n">
        <x:v>8</x:v>
      </x:c>
      <x:c r="T282" s="18" t="str">
        <x:v>Temario general</x:v>
      </x:c>
      <x:c r="U282" s="18" t="str">
        <x:v>La Administración General del Estado. Principios de organización y funcionamiento. Órganos centrales. Órganos superiores y órganos directivos: creación, nombramiento, cese y funciones. Los servicios comunes de los ministerios. Órganos territoriales. La Administración del Estado en el Exterior.</x:v>
      </x:c>
      <x:c r="V282" s="18" t="str">
        <x:v>G08</x:v>
      </x:c>
      <x:c r="W282" s="18" t="str">
        <x:v>Ley 40/2015</x:v>
      </x:c>
      <x:c r="X282" s="18" t="str"/>
      <x:c r="Y282" s="18" t="str">
        <x:v>Artículos literales</x:v>
      </x:c>
      <x:c r="Z282" s="18" t="str">
        <x:v>Media</x:v>
      </x:c>
      <x:c r="AA282" s="18" t="str">
        <x:v>G08</x:v>
      </x:c>
      <x:c r="AB282" s="18" t="str"/>
      <x:c r="AC282" s="18" t="str"/>
      <x:c r="AD282" s="18" t="str">
        <x:v>No</x:v>
      </x:c>
      <x:c r="AE282" s="18" t="str">
        <x:v>Teórico</x:v>
      </x:c>
      <x:c r="AF282" s="18" t="str">
        <x:v>D</x:v>
      </x:c>
      <x:c r="AG282" s="18" t="str">
        <x:v>D</x:v>
      </x:c>
      <x:c r="AH282" s="18" t="str">
        <x:v>Válida</x:v>
      </x:c>
      <x:c r="AI282" s="18" t="str">
        <x:v>01. Información oficial de la oposición\Exámenes oficiales anteriores\2025 Convocatoria 2024 - Examen extraordinario acceso libre.pdf</x:v>
      </x:c>
      <x:c r="AJ282" s="18" t="str">
        <x:v>https://www.seg-social.es/wps/portal/wss/internet/InformacionUtil/9950/88beb45d-ca83-4bab-8162-f94ef2894562/7e46efac-32c8-4cf6-b3d3-d592c3560dff/rdpi_administrativos_2024</x:v>
      </x:c>
      <x:c r="AK282" s="18" t="str">
        <x:v>Texto PDF</x:v>
      </x:c>
      <x:c r="AL282" s="18" t="n">
        <x:v>100</x:v>
      </x:c>
      <x:c r="AM282" s="18" t="str">
        <x:v>Alta</x:v>
      </x:c>
      <x:c r="AN282" s="18" t="str">
        <x:v>Regla jurídica determinista</x:v>
      </x:c>
      <x:c r="AO282" s="18" t="str">
        <x:v>2025_conv2024_extraordinario-T08</x:v>
      </x:c>
      <x:c r="AP282" s="18" t="n">
        <x:v>1</x:v>
      </x:c>
    </x:row>
    <x:row r="283">
      <x:c r="A283" s="18" t="str">
        <x:v>2025_conv2024_extraordinario-T09</x:v>
      </x:c>
      <x:c r="B283" s="18" t="n">
        <x:v>2025</x:v>
      </x:c>
      <x:c r="C283" s="18" t="n">
        <x:v>2024</x:v>
      </x:c>
      <x:c r="D283" s="28" t="n">
        <x:v>45956</x:v>
      </x:c>
      <x:c r="E283" s="18" t="str">
        <x:v>Acceso libre</x:v>
      </x:c>
      <x:c r="F283" s="18" t="str">
        <x:v>Primera parte</x:v>
      </x:c>
      <x:c r="G283" s="18" t="str">
        <x:v>Extraordinario</x:v>
      </x:c>
      <x:c r="H283" s="18" t="str">
        <x:v>Único</x:v>
      </x:c>
      <x:c r="I283" s="18" t="str">
        <x:v>Sí</x:v>
      </x:c>
      <x:c r="J283" s="18" t="str">
        <x:v>Cuestionario extraordinario sin modelo paralelo.</x:v>
      </x:c>
      <x:c r="K283" s="18" t="n">
        <x:v>9</x:v>
      </x:c>
      <x:c r="L283" s="18" t="str">
        <x:v>No</x:v>
      </x:c>
      <x:c r="M283" s="18" t="str">
        <x:v>Indique cuál de los siguientes NO es un recurso financiero de las Comunidades Autónomas, de acuerdo con lo establecido en el artículo 157 de la Constitución Española:</x:v>
      </x:c>
      <x:c r="N283" s="18" t="str">
        <x:v>Impuestos cedidos total o parcialmente por el Estado; recargos sobre impuestos estatales y otras participaciones en los ingresos del Estado.</x:v>
      </x:c>
      <x:c r="O283" s="18" t="str">
        <x:v>Cotizaciones a la Seguridad Social de trabajadores residentes en su territorio.</x:v>
      </x:c>
      <x:c r="P283" s="18" t="str">
        <x:v>Transferencias de un Fondo de Compensación interterritorial y otras asignaciones con cargo a los Presupuestos Generales del Estado.</x:v>
      </x:c>
      <x:c r="Q283" s="18" t="str">
        <x:v>Rendimientos procedentes de su patrimonio e ingresos de derecho privado.</x:v>
      </x:c>
      <x:c r="R283" s="18" t="str">
        <x:v>G09</x:v>
      </x:c>
      <x:c r="S283" s="18" t="n">
        <x:v>9</x:v>
      </x:c>
      <x:c r="T283" s="18" t="str">
        <x:v>Temario general</x:v>
      </x:c>
      <x:c r="U283" s="18" t="str">
        <x:v>La organización territorial del Estado. Las Comunidades Autónomas. Los Estatutos de Autonomía. La delimitación de competencias entre el Estado y las Comunidades Autónomas en la Constitución y en los Estatutos de Autonomía. La Administración local: El municipio. La provincia.</x:v>
      </x:c>
      <x:c r="V283" s="18" t="str">
        <x:v>G09</x:v>
      </x:c>
      <x:c r="W283" s="18" t="str">
        <x:v>Constitución Española</x:v>
      </x:c>
      <x:c r="X283" s="18" t="str">
        <x:v>157</x:v>
      </x:c>
      <x:c r="Y283" s="18" t="str">
        <x:v>Artículos literales</x:v>
      </x:c>
      <x:c r="Z283" s="18" t="str">
        <x:v>Media</x:v>
      </x:c>
      <x:c r="AA283" s="18" t="str">
        <x:v>G09</x:v>
      </x:c>
      <x:c r="AB283" s="18" t="str"/>
      <x:c r="AC283" s="18" t="str"/>
      <x:c r="AD283" s="18" t="str">
        <x:v>Sí</x:v>
      </x:c>
      <x:c r="AE283" s="18" t="str">
        <x:v>Teórico</x:v>
      </x:c>
      <x:c r="AF283" s="18" t="str">
        <x:v>B</x:v>
      </x:c>
      <x:c r="AG283" s="18" t="str">
        <x:v>B</x:v>
      </x:c>
      <x:c r="AH283" s="18" t="str">
        <x:v>Válida</x:v>
      </x:c>
      <x:c r="AI283" s="18" t="str">
        <x:v>01. Información oficial de la oposición\Exámenes oficiales anteriores\2025 Convocatoria 2024 - Examen extraordinario acceso libre.pdf</x:v>
      </x:c>
      <x:c r="AJ283" s="18" t="str">
        <x:v>https://www.seg-social.es/wps/portal/wss/internet/InformacionUtil/9950/88beb45d-ca83-4bab-8162-f94ef2894562/7e46efac-32c8-4cf6-b3d3-d592c3560dff/rdpi_administrativos_2024</x:v>
      </x:c>
      <x:c r="AK283" s="18" t="str">
        <x:v>Texto PDF</x:v>
      </x:c>
      <x:c r="AL283" s="18" t="n">
        <x:v>100</x:v>
      </x:c>
      <x:c r="AM283" s="18" t="str">
        <x:v>Alta</x:v>
      </x:c>
      <x:c r="AN283" s="18" t="str">
        <x:v>Regla jurídica determinista</x:v>
      </x:c>
      <x:c r="AO283" s="18" t="str">
        <x:v>2025_conv2024_extraordinario-T09</x:v>
      </x:c>
      <x:c r="AP283" s="18" t="n">
        <x:v>1</x:v>
      </x:c>
    </x:row>
    <x:row r="284">
      <x:c r="A284" s="18" t="str">
        <x:v>2025_conv2024_extraordinario-T10</x:v>
      </x:c>
      <x:c r="B284" s="18" t="n">
        <x:v>2025</x:v>
      </x:c>
      <x:c r="C284" s="18" t="n">
        <x:v>2024</x:v>
      </x:c>
      <x:c r="D284" s="28" t="n">
        <x:v>45956</x:v>
      </x:c>
      <x:c r="E284" s="18" t="str">
        <x:v>Acceso libre</x:v>
      </x:c>
      <x:c r="F284" s="18" t="str">
        <x:v>Primera parte</x:v>
      </x:c>
      <x:c r="G284" s="18" t="str">
        <x:v>Extraordinario</x:v>
      </x:c>
      <x:c r="H284" s="18" t="str">
        <x:v>Único</x:v>
      </x:c>
      <x:c r="I284" s="18" t="str">
        <x:v>Sí</x:v>
      </x:c>
      <x:c r="J284" s="18" t="str">
        <x:v>Cuestionario extraordinario sin modelo paralelo.</x:v>
      </x:c>
      <x:c r="K284" s="18" t="n">
        <x:v>10</x:v>
      </x:c>
      <x:c r="L284" s="18" t="str">
        <x:v>No</x:v>
      </x:c>
      <x:c r="M284" s="18" t="str">
        <x:v>De acuerdo con el artículo 4 del Tratado de Funcionamiento de la Unión Europea, la Unión y los Estados Miembros dispondrán de competencia compartida en los ámbitos siguientes :</x:v>
      </x:c>
      <x:c r="N284" s="18" t="str">
        <x:v>El espacio de libertad, seguridad y justicia.</x:v>
      </x:c>
      <x:c r="O284" s="18" t="str">
        <x:v>La política monetaria de los Estados miembros cuya moneda es el euro.</x:v>
      </x:c>
      <x:c r="P284" s="18" t="str">
        <x:v>La política comercial común.</x:v>
      </x:c>
      <x:c r="Q284" s="18" t="str">
        <x:v>La unión aduanera.</x:v>
      </x:c>
      <x:c r="R284" s="18" t="str">
        <x:v>G10</x:v>
      </x:c>
      <x:c r="S284" s="18" t="n">
        <x:v>10</x:v>
      </x:c>
      <x:c r="T284" s="18" t="str">
        <x:v>Temario general</x:v>
      </x:c>
      <x:c r="U284" s="18" t="str">
        <x:v>Las Instituciones de la Unión Europea: El Consejo, el Parlamento Europeo, la Comisión, el Tribunal de Justicia.</x:v>
      </x:c>
      <x:c r="V284" s="18" t="str">
        <x:v>G10</x:v>
      </x:c>
      <x:c r="W284" s="18" t="str">
        <x:v>Tratado de Funcionamiento de la Unión Europea</x:v>
      </x:c>
      <x:c r="X284" s="18" t="str">
        <x:v>4</x:v>
      </x:c>
      <x:c r="Y284" s="18" t="str">
        <x:v>Competencias</x:v>
      </x:c>
      <x:c r="Z284" s="18" t="str">
        <x:v>Media</x:v>
      </x:c>
      <x:c r="AA284" s="18" t="str">
        <x:v>G10</x:v>
      </x:c>
      <x:c r="AB284" s="18" t="str"/>
      <x:c r="AC284" s="18" t="str"/>
      <x:c r="AD284" s="18" t="str">
        <x:v>No</x:v>
      </x:c>
      <x:c r="AE284" s="18" t="str">
        <x:v>Teórico</x:v>
      </x:c>
      <x:c r="AF284" s="18" t="str">
        <x:v>A</x:v>
      </x:c>
      <x:c r="AG284" s="18" t="str">
        <x:v>A</x:v>
      </x:c>
      <x:c r="AH284" s="18" t="str">
        <x:v>Válida</x:v>
      </x:c>
      <x:c r="AI284" s="18" t="str">
        <x:v>01. Información oficial de la oposición\Exámenes oficiales anteriores\2025 Convocatoria 2024 - Examen extraordinario acceso libre.pdf</x:v>
      </x:c>
      <x:c r="AJ284" s="18" t="str">
        <x:v>https://www.seg-social.es/wps/portal/wss/internet/InformacionUtil/9950/88beb45d-ca83-4bab-8162-f94ef2894562/7e46efac-32c8-4cf6-b3d3-d592c3560dff/rdpi_administrativos_2024</x:v>
      </x:c>
      <x:c r="AK284" s="18" t="str">
        <x:v>Texto PDF</x:v>
      </x:c>
      <x:c r="AL284" s="18" t="n">
        <x:v>100</x:v>
      </x:c>
      <x:c r="AM284" s="18" t="str">
        <x:v>Alta</x:v>
      </x:c>
      <x:c r="AN284" s="18" t="str">
        <x:v>Regla jurídica determinista</x:v>
      </x:c>
      <x:c r="AO284" s="18" t="str">
        <x:v>2025_conv2024_extraordinario-T10</x:v>
      </x:c>
      <x:c r="AP284" s="18" t="n">
        <x:v>1</x:v>
      </x:c>
    </x:row>
    <x:row r="285">
      <x:c r="A285" s="18" t="str">
        <x:v>2025_conv2024_extraordinario-T11</x:v>
      </x:c>
      <x:c r="B285" s="18" t="n">
        <x:v>2025</x:v>
      </x:c>
      <x:c r="C285" s="18" t="n">
        <x:v>2024</x:v>
      </x:c>
      <x:c r="D285" s="28" t="n">
        <x:v>45956</x:v>
      </x:c>
      <x:c r="E285" s="18" t="str">
        <x:v>Acceso libre</x:v>
      </x:c>
      <x:c r="F285" s="18" t="str">
        <x:v>Primera parte</x:v>
      </x:c>
      <x:c r="G285" s="18" t="str">
        <x:v>Extraordinario</x:v>
      </x:c>
      <x:c r="H285" s="18" t="str">
        <x:v>Único</x:v>
      </x:c>
      <x:c r="I285" s="18" t="str">
        <x:v>Sí</x:v>
      </x:c>
      <x:c r="J285" s="18" t="str">
        <x:v>Cuestionario extraordinario sin modelo paralelo.</x:v>
      </x:c>
      <x:c r="K285" s="18" t="n">
        <x:v>11</x:v>
      </x:c>
      <x:c r="L285" s="18" t="str">
        <x:v>No</x:v>
      </x:c>
      <x:c r="M285" s="18" t="str">
        <x:v>De acuerdo con lo fijado en el artículo 288 del Tratado de Funcionamiento de la Unión Europea, en relación con los actos jurídicos de la Unión:</x:v>
      </x:c>
      <x:c r="N285" s="18" t="str">
        <x:v>Las recomendaciones y los dictámenes serán vinculantes.</x:v>
      </x:c>
      <x:c r="O285" s="18" t="str">
        <x:v>La decisión no será obligatoria en todos sus elementos. Cuando designe destinatarios, sólo será obligatoria para éstos.</x:v>
      </x:c>
      <x:c r="P285" s="18" t="str">
        <x:v>La directiva no obligará al Estado miembro destinatario en cuanto al resultado que deba conseguirse, dejando, sin embargo, a las autoridades nacionales la elección de la forma y de los medios.</x:v>
      </x:c>
      <x:c r="Q285" s="18" t="str">
        <x:v>Para ejercer las competencias de la Unión, las instituciones adoptarán reglamentos, directivas, decisiones, recomendaciones y dictámenes.</x:v>
      </x:c>
      <x:c r="R285" s="18" t="str">
        <x:v>G11</x:v>
      </x:c>
      <x:c r="S285" s="18" t="n">
        <x:v>11</x:v>
      </x:c>
      <x:c r="T285" s="18" t="str">
        <x:v>Temario general</x:v>
      </x:c>
      <x:c r="U285" s="18" t="str">
        <x:v>Las fuentes del derecho de la Unión Europea. Derecho originario. Derecho derivado: Reglamentos, directivas y decisiones. Otras fuentes. Las relaciones entre el Derecho de la Unión Europea y el ordenamiento jurídico de los Estados miembros.</x:v>
      </x:c>
      <x:c r="V285" s="18" t="str">
        <x:v>G11</x:v>
      </x:c>
      <x:c r="W285" s="18" t="str">
        <x:v>Tratado de Funcionamiento de la Unión Europea</x:v>
      </x:c>
      <x:c r="X285" s="18" t="str">
        <x:v>288</x:v>
      </x:c>
      <x:c r="Y285" s="18" t="str">
        <x:v>Artículos literales</x:v>
      </x:c>
      <x:c r="Z285" s="18" t="str">
        <x:v>Media</x:v>
      </x:c>
      <x:c r="AA285" s="18" t="str">
        <x:v>G11</x:v>
      </x:c>
      <x:c r="AB285" s="18" t="str"/>
      <x:c r="AC285" s="18" t="str"/>
      <x:c r="AD285" s="18" t="str">
        <x:v>No</x:v>
      </x:c>
      <x:c r="AE285" s="18" t="str">
        <x:v>Teórico</x:v>
      </x:c>
      <x:c r="AF285" s="18" t="str">
        <x:v>D</x:v>
      </x:c>
      <x:c r="AG285" s="18" t="str">
        <x:v>D</x:v>
      </x:c>
      <x:c r="AH285" s="18" t="str">
        <x:v>Válida</x:v>
      </x:c>
      <x:c r="AI285" s="18" t="str">
        <x:v>01. Información oficial de la oposición\Exámenes oficiales anteriores\2025 Convocatoria 2024 - Examen extraordinario acceso libre.pdf</x:v>
      </x:c>
      <x:c r="AJ285" s="18" t="str">
        <x:v>https://www.seg-social.es/wps/portal/wss/internet/InformacionUtil/9950/88beb45d-ca83-4bab-8162-f94ef2894562/7e46efac-32c8-4cf6-b3d3-d592c3560dff/rdpi_administrativos_2024</x:v>
      </x:c>
      <x:c r="AK285" s="18" t="str">
        <x:v>Texto PDF</x:v>
      </x:c>
      <x:c r="AL285" s="18" t="n">
        <x:v>100</x:v>
      </x:c>
      <x:c r="AM285" s="18" t="str">
        <x:v>Alta</x:v>
      </x:c>
      <x:c r="AN285" s="18" t="str">
        <x:v>Regla jurídica determinista</x:v>
      </x:c>
      <x:c r="AO285" s="18" t="str">
        <x:v>2025_conv2024_extraordinario-T11</x:v>
      </x:c>
      <x:c r="AP285" s="18" t="n">
        <x:v>1</x:v>
      </x:c>
    </x:row>
    <x:row r="286">
      <x:c r="A286" s="18" t="str">
        <x:v>2025_conv2024_extraordinario-T12</x:v>
      </x:c>
      <x:c r="B286" s="18" t="n">
        <x:v>2025</x:v>
      </x:c>
      <x:c r="C286" s="18" t="n">
        <x:v>2024</x:v>
      </x:c>
      <x:c r="D286" s="28" t="n">
        <x:v>45956</x:v>
      </x:c>
      <x:c r="E286" s="18" t="str">
        <x:v>Acceso libre</x:v>
      </x:c>
      <x:c r="F286" s="18" t="str">
        <x:v>Primera parte</x:v>
      </x:c>
      <x:c r="G286" s="18" t="str">
        <x:v>Extraordinario</x:v>
      </x:c>
      <x:c r="H286" s="18" t="str">
        <x:v>Único</x:v>
      </x:c>
      <x:c r="I286" s="18" t="str">
        <x:v>Sí</x:v>
      </x:c>
      <x:c r="J286" s="18" t="str">
        <x:v>Cuestionario extraordinario sin modelo paralelo.</x:v>
      </x:c>
      <x:c r="K286" s="18" t="n">
        <x:v>12</x:v>
      </x:c>
      <x:c r="L286" s="18" t="str">
        <x:v>No</x:v>
      </x:c>
      <x:c r="M286" s="18" t="str">
        <x:v>Conforme a lo previsto en el artículo 2 d el Real Decreto 501/2024, de 21 de mayo, por el que se desarrolla la estructura orgánica básica del Ministerio de Inclusión, Seguridad Social y Migraciones, está adscrita a la Secretaría de Estado de la Seguridad Social y Pensiones, la Intervención General de la Seguridad Social, con rango de:</x:v>
      </x:c>
      <x:c r="N286" s="18" t="str">
        <x:v>Subdirección General.</x:v>
      </x:c>
      <x:c r="O286" s="18" t="str">
        <x:v>Subsecretaría.</x:v>
      </x:c>
      <x:c r="P286" s="18" t="str">
        <x:v>Dirección General.</x:v>
      </x:c>
      <x:c r="Q286" s="18" t="str">
        <x:v>Secretaría General Técnica.</x:v>
      </x:c>
      <x:c r="R286" s="18" t="str">
        <x:v>G12</x:v>
      </x:c>
      <x:c r="S286" s="18" t="n">
        <x:v>12</x:v>
      </x:c>
      <x:c r="T286" s="18" t="str">
        <x:v>Temario general</x:v>
      </x:c>
      <x:c r="U286" s="18" t="str">
        <x:v>El Ministerio de Inclusión, Seguridad Social y Migraciones. Organización. Estructura y funciones.</x:v>
      </x:c>
      <x:c r="V286" s="18" t="str">
        <x:v>G12</x:v>
      </x:c>
      <x:c r="W286" s="18" t="str">
        <x:v>Real Decreto 501/2024</x:v>
      </x:c>
      <x:c r="X286" s="18" t="str">
        <x:v>2</x:v>
      </x:c>
      <x:c r="Y286" s="18" t="str">
        <x:v>Artículos literales</x:v>
      </x:c>
      <x:c r="Z286" s="18" t="str">
        <x:v>Alta</x:v>
      </x:c>
      <x:c r="AA286" s="18" t="str">
        <x:v>G12</x:v>
      </x:c>
      <x:c r="AB286" s="18" t="str"/>
      <x:c r="AC286" s="18" t="str"/>
      <x:c r="AD286" s="18" t="str">
        <x:v>No</x:v>
      </x:c>
      <x:c r="AE286" s="18" t="str">
        <x:v>Teórico</x:v>
      </x:c>
      <x:c r="AF286" s="18" t="str">
        <x:v>C</x:v>
      </x:c>
      <x:c r="AG286" s="18" t="str">
        <x:v>C</x:v>
      </x:c>
      <x:c r="AH286" s="18" t="str">
        <x:v>Válida</x:v>
      </x:c>
      <x:c r="AI286" s="18" t="str">
        <x:v>01. Información oficial de la oposición\Exámenes oficiales anteriores\2025 Convocatoria 2024 - Examen extraordinario acceso libre.pdf</x:v>
      </x:c>
      <x:c r="AJ286" s="18" t="str">
        <x:v>https://www.seg-social.es/wps/portal/wss/internet/InformacionUtil/9950/88beb45d-ca83-4bab-8162-f94ef2894562/7e46efac-32c8-4cf6-b3d3-d592c3560dff/rdpi_administrativos_2024</x:v>
      </x:c>
      <x:c r="AK286" s="18" t="str">
        <x:v>Texto PDF</x:v>
      </x:c>
      <x:c r="AL286" s="18" t="n">
        <x:v>100</x:v>
      </x:c>
      <x:c r="AM286" s="18" t="str">
        <x:v>Alta</x:v>
      </x:c>
      <x:c r="AN286" s="18" t="str">
        <x:v>Regla jurídica determinista</x:v>
      </x:c>
      <x:c r="AO286" s="18" t="str">
        <x:v>2025_conv2024_extraordinario-T12</x:v>
      </x:c>
      <x:c r="AP286" s="18" t="n">
        <x:v>1</x:v>
      </x:c>
    </x:row>
    <x:row r="287">
      <x:c r="A287" s="18" t="str">
        <x:v>2025_conv2024_extraordinario-T13</x:v>
      </x:c>
      <x:c r="B287" s="18" t="n">
        <x:v>2025</x:v>
      </x:c>
      <x:c r="C287" s="18" t="n">
        <x:v>2024</x:v>
      </x:c>
      <x:c r="D287" s="28" t="n">
        <x:v>45956</x:v>
      </x:c>
      <x:c r="E287" s="18" t="str">
        <x:v>Acceso libre</x:v>
      </x:c>
      <x:c r="F287" s="18" t="str">
        <x:v>Primera parte</x:v>
      </x:c>
      <x:c r="G287" s="18" t="str">
        <x:v>Extraordinario</x:v>
      </x:c>
      <x:c r="H287" s="18" t="str">
        <x:v>Único</x:v>
      </x:c>
      <x:c r="I287" s="18" t="str">
        <x:v>Sí</x:v>
      </x:c>
      <x:c r="J287" s="18" t="str">
        <x:v>Cuestionario extraordinario sin modelo paralelo.</x:v>
      </x:c>
      <x:c r="K287" s="18" t="n">
        <x:v>13</x:v>
      </x:c>
      <x:c r="L287" s="18" t="str">
        <x:v>No</x:v>
      </x:c>
      <x:c r="M287" s="18" t="str">
        <x:v>¿Cuál de las siguientes materias se regula mediante Ley Orgánica según la Constitución Española? Señale la respuesta INCORRECTA:</x:v>
      </x:c>
      <x:c r="N287" s="18" t="str">
        <x:v>La delegación legislativa cuando se trate de refundir varios textos legales en uno solo.</x:v>
      </x:c>
      <x:c r="O287" s="18" t="str">
        <x:v>Estatutos de Autonomía.</x:v>
      </x:c>
      <x:c r="P287" s="18" t="str">
        <x:v>Bases de la organización militar.</x:v>
      </x:c>
      <x:c r="Q287" s="18" t="str">
        <x:v>Defensor del Pueblo.</x:v>
      </x:c>
      <x:c r="R287" s="18" t="str">
        <x:v>G14</x:v>
      </x:c>
      <x:c r="S287" s="18" t="n">
        <x:v>14</x:v>
      </x:c>
      <x:c r="T287" s="18" t="str">
        <x:v>Temario general</x:v>
      </x:c>
      <x:c r="U287" s="18" t="str">
        <x:v>La Ley. Tipos de leyes. Disposiciones del Gobierno con fuerza de ley: decreto-ley y decreto legislativo. El Reglamento: concepto, clases y límites. Los principios generales del Derecho.</x:v>
      </x:c>
      <x:c r="V287" s="18" t="str">
        <x:v>G14</x:v>
      </x:c>
      <x:c r="W287" s="18" t="str">
        <x:v>Constitución Española</x:v>
      </x:c>
      <x:c r="X287" s="18" t="str"/>
      <x:c r="Y287" s="18" t="str">
        <x:v>Artículos literales</x:v>
      </x:c>
      <x:c r="Z287" s="18" t="str">
        <x:v>Alta</x:v>
      </x:c>
      <x:c r="AA287" s="18" t="str">
        <x:v>G14</x:v>
      </x:c>
      <x:c r="AB287" s="18" t="str"/>
      <x:c r="AC287" s="18" t="str"/>
      <x:c r="AD287" s="18" t="str">
        <x:v>Sí</x:v>
      </x:c>
      <x:c r="AE287" s="18" t="str">
        <x:v>Teórico</x:v>
      </x:c>
      <x:c r="AF287" s="18" t="str">
        <x:v>A</x:v>
      </x:c>
      <x:c r="AG287" s="18" t="str">
        <x:v>A</x:v>
      </x:c>
      <x:c r="AH287" s="18" t="str">
        <x:v>Válida</x:v>
      </x:c>
      <x:c r="AI287" s="18" t="str">
        <x:v>01. Información oficial de la oposición\Exámenes oficiales anteriores\2025 Convocatoria 2024 - Examen extraordinario acceso libre.pdf</x:v>
      </x:c>
      <x:c r="AJ287" s="18" t="str">
        <x:v>https://www.seg-social.es/wps/portal/wss/internet/InformacionUtil/9950/88beb45d-ca83-4bab-8162-f94ef2894562/7e46efac-32c8-4cf6-b3d3-d592c3560dff/rdpi_administrativos_2024</x:v>
      </x:c>
      <x:c r="AK287" s="18" t="str">
        <x:v>Texto PDF</x:v>
      </x:c>
      <x:c r="AL287" s="18" t="n">
        <x:v>100</x:v>
      </x:c>
      <x:c r="AM287" s="18" t="str">
        <x:v>Alta</x:v>
      </x:c>
      <x:c r="AN287" s="18" t="str">
        <x:v>Regla jurídica determinista</x:v>
      </x:c>
      <x:c r="AO287" s="18" t="str">
        <x:v>2025_conv2024_extraordinario-T13</x:v>
      </x:c>
      <x:c r="AP287" s="18" t="n">
        <x:v>1</x:v>
      </x:c>
    </x:row>
    <x:row r="288">
      <x:c r="A288" s="18" t="str">
        <x:v>2025_conv2024_extraordinario-T14</x:v>
      </x:c>
      <x:c r="B288" s="18" t="n">
        <x:v>2025</x:v>
      </x:c>
      <x:c r="C288" s="18" t="n">
        <x:v>2024</x:v>
      </x:c>
      <x:c r="D288" s="28" t="n">
        <x:v>45956</x:v>
      </x:c>
      <x:c r="E288" s="18" t="str">
        <x:v>Acceso libre</x:v>
      </x:c>
      <x:c r="F288" s="18" t="str">
        <x:v>Primera parte</x:v>
      </x:c>
      <x:c r="G288" s="18" t="str">
        <x:v>Extraordinario</x:v>
      </x:c>
      <x:c r="H288" s="18" t="str">
        <x:v>Único</x:v>
      </x:c>
      <x:c r="I288" s="18" t="str">
        <x:v>Sí</x:v>
      </x:c>
      <x:c r="J288" s="18" t="str">
        <x:v>Cuestionario extraordinario sin modelo paralelo.</x:v>
      </x:c>
      <x:c r="K288" s="18" t="n">
        <x:v>14</x:v>
      </x:c>
      <x:c r="L288" s="18" t="str">
        <x:v>No</x:v>
      </x:c>
      <x:c r="M288" s="18" t="str">
        <x:v>Según el artículo 88 de la Constitución Española, s eñale la respuesta correcta respecto a cómo debe ser el trámite de los proyectos de ley:</x:v>
      </x:c>
      <x:c r="N288" s="18" t="str">
        <x:v>Serán aprobados por el Congreso sin que intervenga el Consejo de Ministros .</x:v>
      </x:c>
      <x:c r="O288" s="18" t="str">
        <x:v>Serán elaborados por los Grupos parlamentarios con mayor número de votos.</x:v>
      </x:c>
      <x:c r="P288" s="18" t="str">
        <x:v>Serán elaborados por el Consejo de Ministros, que los enviará al Senado.</x:v>
      </x:c>
      <x:c r="Q288" s="18" t="str">
        <x:v>Serán aprobados en Consejo de Ministros, que los someterá al Congreso.</x:v>
      </x:c>
      <x:c r="R288" s="18" t="str">
        <x:v>G05</x:v>
      </x:c>
      <x:c r="S288" s="18" t="n">
        <x:v>5</x:v>
      </x:c>
      <x:c r="T288" s="18" t="str">
        <x:v>Temario general</x:v>
      </x:c>
      <x:c r="U288" s="18" t="str">
        <x:v>El poder legislativo. Las Cortes Generales: Composición, atribuciones y funcionamiento. El Defensor del Pueblo.</x:v>
      </x:c>
      <x:c r="V288" s="18" t="str">
        <x:v>G05</x:v>
      </x:c>
      <x:c r="W288" s="18" t="str">
        <x:v>Constitución Española</x:v>
      </x:c>
      <x:c r="X288" s="18" t="str">
        <x:v>88</x:v>
      </x:c>
      <x:c r="Y288" s="18" t="str">
        <x:v>Procedimientos</x:v>
      </x:c>
      <x:c r="Z288" s="18" t="str">
        <x:v>Media</x:v>
      </x:c>
      <x:c r="AA288" s="18" t="str">
        <x:v>G05</x:v>
      </x:c>
      <x:c r="AB288" s="18" t="str"/>
      <x:c r="AC288" s="18" t="str"/>
      <x:c r="AD288" s="18" t="str">
        <x:v>No</x:v>
      </x:c>
      <x:c r="AE288" s="18" t="str">
        <x:v>Teórico</x:v>
      </x:c>
      <x:c r="AF288" s="18" t="str">
        <x:v>D</x:v>
      </x:c>
      <x:c r="AG288" s="18" t="str">
        <x:v>D</x:v>
      </x:c>
      <x:c r="AH288" s="18" t="str">
        <x:v>Válida</x:v>
      </x:c>
      <x:c r="AI288" s="18" t="str">
        <x:v>01. Información oficial de la oposición\Exámenes oficiales anteriores\2025 Convocatoria 2024 - Examen extraordinario acceso libre.pdf</x:v>
      </x:c>
      <x:c r="AJ288" s="18" t="str">
        <x:v>https://www.seg-social.es/wps/portal/wss/internet/InformacionUtil/9950/88beb45d-ca83-4bab-8162-f94ef2894562/7e46efac-32c8-4cf6-b3d3-d592c3560dff/rdpi_administrativos_2024</x:v>
      </x:c>
      <x:c r="AK288" s="18" t="str">
        <x:v>Texto PDF</x:v>
      </x:c>
      <x:c r="AL288" s="18" t="n">
        <x:v>100</x:v>
      </x:c>
      <x:c r="AM288" s="18" t="str">
        <x:v>Alta</x:v>
      </x:c>
      <x:c r="AN288" s="18" t="str">
        <x:v>Regla jurídica determinista</x:v>
      </x:c>
      <x:c r="AO288" s="18" t="str">
        <x:v>2025_conv2024_extraordinario-T14</x:v>
      </x:c>
      <x:c r="AP288" s="18" t="n">
        <x:v>1</x:v>
      </x:c>
    </x:row>
    <x:row r="289">
      <x:c r="A289" s="18" t="str">
        <x:v>2025_conv2024_extraordinario-T15</x:v>
      </x:c>
      <x:c r="B289" s="18" t="n">
        <x:v>2025</x:v>
      </x:c>
      <x:c r="C289" s="18" t="n">
        <x:v>2024</x:v>
      </x:c>
      <x:c r="D289" s="28" t="n">
        <x:v>45956</x:v>
      </x:c>
      <x:c r="E289" s="18" t="str">
        <x:v>Acceso libre</x:v>
      </x:c>
      <x:c r="F289" s="18" t="str">
        <x:v>Primera parte</x:v>
      </x:c>
      <x:c r="G289" s="18" t="str">
        <x:v>Extraordinario</x:v>
      </x:c>
      <x:c r="H289" s="18" t="str">
        <x:v>Único</x:v>
      </x:c>
      <x:c r="I289" s="18" t="str">
        <x:v>Sí</x:v>
      </x:c>
      <x:c r="J289" s="18" t="str">
        <x:v>Cuestionario extraordinario sin modelo paralelo.</x:v>
      </x:c>
      <x:c r="K289" s="18" t="n">
        <x:v>15</x:v>
      </x:c>
      <x:c r="L289" s="18" t="str">
        <x:v>No</x:v>
      </x:c>
      <x:c r="M289" s="18" t="str">
        <x:v>Según el artículo 35 de la Ley 39/2015, de 1 de octubre, del Procedimiento Administrativo Común de las Administraciones Públicas, s eñale la respuesta correcta respecto a qu é actos administrativos deben ser motivados, con sucinta referencia de hechos y fundamentos de derecho:</x:v>
      </x:c>
      <x:c r="N289" s="18" t="str">
        <x:v>Los actos que se dicten en el ejercicio de potestades discrecionales, así como los que deban serlo en virtud de disposición legal o reglamentaria expresa.</x:v>
      </x:c>
      <x:c r="O289" s="18" t="str">
        <x:v>Los actos que admitan pruebas propuestas por los interesados.</x:v>
      </x:c>
      <x:c r="P289" s="18" t="str">
        <x:v>Los acuerdos de suspensión de actos solo en el caso de algunos motivos concretos.</x:v>
      </x:c>
      <x:c r="Q289" s="18" t="str">
        <x:v>Los actos que acuerden la terminación del procedimiento por la imposibilidad material de continuarlo no es necesario motivarlos cuando se trate de causas sobrevenidas.</x:v>
      </x:c>
      <x:c r="R289" s="18" t="str">
        <x:v>G15</x:v>
      </x:c>
      <x:c r="S289" s="18" t="n">
        <x:v>15</x:v>
      </x:c>
      <x:c r="T289" s="18" t="str">
        <x:v>Temario general</x:v>
      </x:c>
      <x:c r="U289" s="18" t="str">
        <x:v>Los actos administrativos. Concepto y clases. Motivación, forma y eficacia de los actos administrativos. Notificación y publicación. Nulidad y anulabilidad. La revisión de oficio.</x:v>
      </x:c>
      <x:c r="V289" s="18" t="str">
        <x:v>G15</x:v>
      </x:c>
      <x:c r="W289" s="18" t="str">
        <x:v>Ley 39/2015</x:v>
      </x:c>
      <x:c r="X289" s="18" t="str">
        <x:v>35</x:v>
      </x:c>
      <x:c r="Y289" s="18" t="str">
        <x:v>Procedimientos</x:v>
      </x:c>
      <x:c r="Z289" s="18" t="str">
        <x:v>Media</x:v>
      </x:c>
      <x:c r="AA289" s="18" t="str">
        <x:v>G15</x:v>
      </x:c>
      <x:c r="AB289" s="18" t="str"/>
      <x:c r="AC289" s="18" t="str"/>
      <x:c r="AD289" s="18" t="str">
        <x:v>No</x:v>
      </x:c>
      <x:c r="AE289" s="18" t="str">
        <x:v>Teórico</x:v>
      </x:c>
      <x:c r="AF289" s="18" t="str">
        <x:v>A</x:v>
      </x:c>
      <x:c r="AG289" s="18" t="str">
        <x:v>A</x:v>
      </x:c>
      <x:c r="AH289" s="18" t="str">
        <x:v>Válida</x:v>
      </x:c>
      <x:c r="AI289" s="18" t="str">
        <x:v>01. Información oficial de la oposición\Exámenes oficiales anteriores\2025 Convocatoria 2024 - Examen extraordinario acceso libre.pdf</x:v>
      </x:c>
      <x:c r="AJ289" s="18" t="str">
        <x:v>https://www.seg-social.es/wps/portal/wss/internet/InformacionUtil/9950/88beb45d-ca83-4bab-8162-f94ef2894562/7e46efac-32c8-4cf6-b3d3-d592c3560dff/rdpi_administrativos_2024</x:v>
      </x:c>
      <x:c r="AK289" s="18" t="str">
        <x:v>Texto PDF</x:v>
      </x:c>
      <x:c r="AL289" s="18" t="n">
        <x:v>100</x:v>
      </x:c>
      <x:c r="AM289" s="18" t="str">
        <x:v>Alta</x:v>
      </x:c>
      <x:c r="AN289" s="18" t="str">
        <x:v>Regla jurídica determinista</x:v>
      </x:c>
      <x:c r="AO289" s="18" t="str">
        <x:v>2025_conv2024_extraordinario-T15</x:v>
      </x:c>
      <x:c r="AP289" s="18" t="n">
        <x:v>1</x:v>
      </x:c>
    </x:row>
    <x:row r="290">
      <x:c r="A290" s="18" t="str">
        <x:v>2025_conv2024_extraordinario-T16</x:v>
      </x:c>
      <x:c r="B290" s="18" t="n">
        <x:v>2025</x:v>
      </x:c>
      <x:c r="C290" s="18" t="n">
        <x:v>2024</x:v>
      </x:c>
      <x:c r="D290" s="28" t="n">
        <x:v>45956</x:v>
      </x:c>
      <x:c r="E290" s="18" t="str">
        <x:v>Acceso libre</x:v>
      </x:c>
      <x:c r="F290" s="18" t="str">
        <x:v>Primera parte</x:v>
      </x:c>
      <x:c r="G290" s="18" t="str">
        <x:v>Extraordinario</x:v>
      </x:c>
      <x:c r="H290" s="18" t="str">
        <x:v>Único</x:v>
      </x:c>
      <x:c r="I290" s="18" t="str">
        <x:v>Sí</x:v>
      </x:c>
      <x:c r="J290" s="18" t="str">
        <x:v>Cuestionario extraordinario sin modelo paralelo.</x:v>
      </x:c>
      <x:c r="K290" s="18" t="n">
        <x:v>16</x:v>
      </x:c>
      <x:c r="L290" s="18" t="str">
        <x:v>No</x:v>
      </x:c>
      <x:c r="M290" s="18" t="str">
        <x:v>De conformidad con el artículo 11 de la Ley 39/2015, de 1 de octubre, del Procedimiento Administrativo Común de las Administraciones Públicas, señale la respuesta correcta:</x:v>
      </x:c>
      <x:c r="N290" s="18" t="str">
        <x:v>Para realizar cualquier actuación prevista en el procedimiento administrativo, no será necesario en ningún caso que los interesados acrediten previamente su identidad.</x:v>
      </x:c>
      <x:c r="O290" s="18" t="str">
        <x:v>Las Administraciones Públicas no requerirán a los interesados el uso obligatorio de firma para formular solicitudes y presentar declaraciones responsables o comunicaciones.</x:v>
      </x:c>
      <x:c r="P290" s="18" t="str">
        <x:v>Las Administraciones Públicas únicamente requerirán a los interesados el uso obligatorio de firma para acreditar la autenticidad de la expresión de la voluntad y consentimiento en un procedimiento administrativo.</x:v>
      </x:c>
      <x:c r="Q290" s="18" t="str">
        <x:v>Las Administraciones Públicas sólo requerirán a los interesados el uso obligatorio de firma para formular solicitudes, presentar declaraciones responsables o comunicaciones, interponer recursos, desistir de acciones y renunciar a derechos.</x:v>
      </x:c>
      <x:c r="R290" s="18" t="str">
        <x:v>G16</x:v>
      </x:c>
      <x:c r="S290" s="18" t="n">
        <x:v>16</x:v>
      </x:c>
      <x:c r="T290" s="18" t="str">
        <x:v>Temario general</x:v>
      </x:c>
      <x:c r="U290" s="18" t="str">
        <x:v>El procedimiento administrativo común. La capacidad de obrar y el concepto de interesado. Representación. Identificación y firma de los interesados. Derechos del interesado en el procedimiento administrativo. Obligación de resolver y silencio administrativo. Términos y plazos.</x:v>
      </x:c>
      <x:c r="V290" s="18" t="str">
        <x:v>G16</x:v>
      </x:c>
      <x:c r="W290" s="18" t="str">
        <x:v>Ley 39/2015</x:v>
      </x:c>
      <x:c r="X290" s="18" t="str">
        <x:v>11</x:v>
      </x:c>
      <x:c r="Y290" s="18" t="str">
        <x:v>Procedimientos</x:v>
      </x:c>
      <x:c r="Z290" s="18" t="str">
        <x:v>Media</x:v>
      </x:c>
      <x:c r="AA290" s="18" t="str">
        <x:v>G16</x:v>
      </x:c>
      <x:c r="AB290" s="18" t="str"/>
      <x:c r="AC290" s="18" t="str"/>
      <x:c r="AD290" s="18" t="str">
        <x:v>No</x:v>
      </x:c>
      <x:c r="AE290" s="18" t="str">
        <x:v>Teórico</x:v>
      </x:c>
      <x:c r="AF290" s="18" t="str">
        <x:v>D</x:v>
      </x:c>
      <x:c r="AG290" s="18" t="str">
        <x:v>D</x:v>
      </x:c>
      <x:c r="AH290" s="18" t="str">
        <x:v>Válida</x:v>
      </x:c>
      <x:c r="AI290" s="18" t="str">
        <x:v>01. Información oficial de la oposición\Exámenes oficiales anteriores\2025 Convocatoria 2024 - Examen extraordinario acceso libre.pdf</x:v>
      </x:c>
      <x:c r="AJ290" s="18" t="str">
        <x:v>https://www.seg-social.es/wps/portal/wss/internet/InformacionUtil/9950/88beb45d-ca83-4bab-8162-f94ef2894562/7e46efac-32c8-4cf6-b3d3-d592c3560dff/rdpi_administrativos_2024</x:v>
      </x:c>
      <x:c r="AK290" s="18" t="str">
        <x:v>Texto PDF</x:v>
      </x:c>
      <x:c r="AL290" s="18" t="n">
        <x:v>100</x:v>
      </x:c>
      <x:c r="AM290" s="18" t="str">
        <x:v>Alta</x:v>
      </x:c>
      <x:c r="AN290" s="18" t="str">
        <x:v>Regla jurídica determinista</x:v>
      </x:c>
      <x:c r="AO290" s="18" t="str">
        <x:v>2025_conv2024_extraordinario-T16</x:v>
      </x:c>
      <x:c r="AP290" s="18" t="n">
        <x:v>1</x:v>
      </x:c>
    </x:row>
    <x:row r="291">
      <x:c r="A291" s="18" t="str">
        <x:v>2025_conv2024_extraordinario-T17</x:v>
      </x:c>
      <x:c r="B291" s="18" t="n">
        <x:v>2025</x:v>
      </x:c>
      <x:c r="C291" s="18" t="n">
        <x:v>2024</x:v>
      </x:c>
      <x:c r="D291" s="28" t="n">
        <x:v>45956</x:v>
      </x:c>
      <x:c r="E291" s="18" t="str">
        <x:v>Acceso libre</x:v>
      </x:c>
      <x:c r="F291" s="18" t="str">
        <x:v>Primera parte</x:v>
      </x:c>
      <x:c r="G291" s="18" t="str">
        <x:v>Extraordinario</x:v>
      </x:c>
      <x:c r="H291" s="18" t="str">
        <x:v>Único</x:v>
      </x:c>
      <x:c r="I291" s="18" t="str">
        <x:v>Sí</x:v>
      </x:c>
      <x:c r="J291" s="18" t="str">
        <x:v>Cuestionario extraordinario sin modelo paralelo.</x:v>
      </x:c>
      <x:c r="K291" s="18" t="n">
        <x:v>17</x:v>
      </x:c>
      <x:c r="L291" s="18" t="str">
        <x:v>No</x:v>
      </x:c>
      <x:c r="M291" s="18" t="str">
        <x:v>De acuerdo con el artículo 63 de la Ley 39/2015, de 1 de octubre, del Procedimiento Administrativo Común de las Administraciones Públicas, en cuanto a los procedimientos de naturaleza sancionadora, señale la respuesta INCORRECTA:</x:v>
      </x:c>
      <x:c r="N291" s="18" t="str">
        <x:v>Los procedimientos de naturaleza sancionadora se iniciarán siempre de oficio por acuerdo del órgano competente.</x:v>
      </x:c>
      <x:c r="O291" s="18" t="str">
        <x:v>Los procedimientos de naturaleza sancionadora establecerán la debida separación entre la fase instructora y la sancionadora, que se encomendará a órganos distintos.</x:v>
      </x:c>
      <x:c r="P291" s="18" t="str">
        <x:v>Se podrán iniciar nuevos procedimientos de carácter sancionador por hechos o conductas tipificadas como infracciones en cuya comisión el infractor persista de forma continuada, aun no habiendo una primera resolución sancionadora.</x:v>
      </x:c>
      <x:c r="Q291" s="18" t="str">
        <x:v>Iniciado un procedimiento sancionador, si el infractor reconoce su responsabilidad, se podrá resolver el procedimiento con la imposición de la sanción que proceda.</x:v>
      </x:c>
      <x:c r="R291" s="18" t="str">
        <x:v>G17</x:v>
      </x:c>
      <x:c r="S291" s="18" t="n">
        <x:v>17</x:v>
      </x:c>
      <x:c r="T291" s="18" t="str">
        <x:v>Temario general</x:v>
      </x:c>
      <x:c r="U291" s="18" t="str">
        <x:v>Las fases del procedimiento administrativo: Iniciación, ordenación, instrucción y finalización. La ejecución de los actos y resoluciones administrativas.</x:v>
      </x:c>
      <x:c r="V291" s="18" t="str">
        <x:v>G17</x:v>
      </x:c>
      <x:c r="W291" s="18" t="str">
        <x:v>Ley 39/2015</x:v>
      </x:c>
      <x:c r="X291" s="18" t="str">
        <x:v>63</x:v>
      </x:c>
      <x:c r="Y291" s="18" t="str">
        <x:v>Procedimientos</x:v>
      </x:c>
      <x:c r="Z291" s="18" t="str">
        <x:v>Alta</x:v>
      </x:c>
      <x:c r="AA291" s="18" t="str">
        <x:v>G17</x:v>
      </x:c>
      <x:c r="AB291" s="18" t="str"/>
      <x:c r="AC291" s="18" t="str"/>
      <x:c r="AD291" s="18" t="str">
        <x:v>Sí</x:v>
      </x:c>
      <x:c r="AE291" s="18" t="str">
        <x:v>Teórico</x:v>
      </x:c>
      <x:c r="AF291" s="18" t="str">
        <x:v>C</x:v>
      </x:c>
      <x:c r="AG291" s="18" t="str">
        <x:v>C</x:v>
      </x:c>
      <x:c r="AH291" s="18" t="str">
        <x:v>Válida</x:v>
      </x:c>
      <x:c r="AI291" s="18" t="str">
        <x:v>01. Información oficial de la oposición\Exámenes oficiales anteriores\2025 Convocatoria 2024 - Examen extraordinario acceso libre.pdf</x:v>
      </x:c>
      <x:c r="AJ291" s="18" t="str">
        <x:v>https://www.seg-social.es/wps/portal/wss/internet/InformacionUtil/9950/88beb45d-ca83-4bab-8162-f94ef2894562/7e46efac-32c8-4cf6-b3d3-d592c3560dff/rdpi_administrativos_2024</x:v>
      </x:c>
      <x:c r="AK291" s="18" t="str">
        <x:v>Texto PDF</x:v>
      </x:c>
      <x:c r="AL291" s="18" t="n">
        <x:v>100</x:v>
      </x:c>
      <x:c r="AM291" s="18" t="str">
        <x:v>Alta</x:v>
      </x:c>
      <x:c r="AN291" s="18" t="str">
        <x:v>Regla jurídica determinista</x:v>
      </x:c>
      <x:c r="AO291" s="18" t="str">
        <x:v>2025_conv2024_extraordinario-T17</x:v>
      </x:c>
      <x:c r="AP291" s="18" t="n">
        <x:v>1</x:v>
      </x:c>
    </x:row>
    <x:row r="292">
      <x:c r="A292" s="18" t="str">
        <x:v>2025_conv2024_extraordinario-T18</x:v>
      </x:c>
      <x:c r="B292" s="18" t="n">
        <x:v>2025</x:v>
      </x:c>
      <x:c r="C292" s="18" t="n">
        <x:v>2024</x:v>
      </x:c>
      <x:c r="D292" s="28" t="n">
        <x:v>45956</x:v>
      </x:c>
      <x:c r="E292" s="18" t="str">
        <x:v>Acceso libre</x:v>
      </x:c>
      <x:c r="F292" s="18" t="str">
        <x:v>Primera parte</x:v>
      </x:c>
      <x:c r="G292" s="18" t="str">
        <x:v>Extraordinario</x:v>
      </x:c>
      <x:c r="H292" s="18" t="str">
        <x:v>Único</x:v>
      </x:c>
      <x:c r="I292" s="18" t="str">
        <x:v>Sí</x:v>
      </x:c>
      <x:c r="J292" s="18" t="str">
        <x:v>Cuestionario extraordinario sin modelo paralelo.</x:v>
      </x:c>
      <x:c r="K292" s="18" t="n">
        <x:v>18</x:v>
      </x:c>
      <x:c r="L292" s="18" t="str">
        <x:v>No</x:v>
      </x:c>
      <x:c r="M292" s="18" t="str">
        <x:v>Según el artículo 126 de la Ley 39/2015, de 1 de octubre, del Procedimiento Administrativo Común de las Administraciones Públicas, ¿qué efecto produce la falta de resolución en plazo del recurso extraordinario de revisión?</x:v>
      </x:c>
      <x:c r="N292" s="18" t="str">
        <x:v>Se entenderá desestimado.</x:v>
      </x:c>
      <x:c r="O292" s="18" t="str">
        <x:v>Estimación presunta.</x:v>
      </x:c>
      <x:c r="P292" s="18" t="str">
        <x:v>Archivo del expediente.</x:v>
      </x:c>
      <x:c r="Q292" s="18" t="str">
        <x:v>Invalidez automática del acto recurrido.</x:v>
      </x:c>
      <x:c r="R292" s="18" t="str">
        <x:v>G18</x:v>
      </x:c>
      <x:c r="S292" s="18" t="n">
        <x:v>18</x:v>
      </x:c>
      <x:c r="T292" s="18" t="str">
        <x:v>Temario general</x:v>
      </x:c>
      <x:c r="U292" s="18" t="str">
        <x:v>Los recursos administrativos: concepto y clases. Recurso de alzada. Recurso potestativo de reposición. Recurso extraordinario de revisión. La jurisdicción contencioso-administrativa: objeto y plazos de interposición del recurso contencioso administrativo.</x:v>
      </x:c>
      <x:c r="V292" s="18" t="str">
        <x:v>G18</x:v>
      </x:c>
      <x:c r="W292" s="18" t="str">
        <x:v>Ley 39/2015</x:v>
      </x:c>
      <x:c r="X292" s="18" t="str">
        <x:v>126</x:v>
      </x:c>
      <x:c r="Y292" s="18" t="str">
        <x:v>Plazos</x:v>
      </x:c>
      <x:c r="Z292" s="18" t="str">
        <x:v>Media</x:v>
      </x:c>
      <x:c r="AA292" s="18" t="str">
        <x:v>G18</x:v>
      </x:c>
      <x:c r="AB292" s="18" t="str"/>
      <x:c r="AC292" s="18" t="str"/>
      <x:c r="AD292" s="18" t="str">
        <x:v>No</x:v>
      </x:c>
      <x:c r="AE292" s="18" t="str">
        <x:v>Teórico</x:v>
      </x:c>
      <x:c r="AF292" s="18" t="str">
        <x:v>A</x:v>
      </x:c>
      <x:c r="AG292" s="18" t="str">
        <x:v>A</x:v>
      </x:c>
      <x:c r="AH292" s="18" t="str">
        <x:v>Válida</x:v>
      </x:c>
      <x:c r="AI292" s="18" t="str">
        <x:v>01. Información oficial de la oposición\Exámenes oficiales anteriores\2025 Convocatoria 2024 - Examen extraordinario acceso libre.pdf</x:v>
      </x:c>
      <x:c r="AJ292" s="18" t="str">
        <x:v>https://www.seg-social.es/wps/portal/wss/internet/InformacionUtil/9950/88beb45d-ca83-4bab-8162-f94ef2894562/7e46efac-32c8-4cf6-b3d3-d592c3560dff/rdpi_administrativos_2024</x:v>
      </x:c>
      <x:c r="AK292" s="18" t="str">
        <x:v>Texto PDF</x:v>
      </x:c>
      <x:c r="AL292" s="18" t="n">
        <x:v>100</x:v>
      </x:c>
      <x:c r="AM292" s="18" t="str">
        <x:v>Alta</x:v>
      </x:c>
      <x:c r="AN292" s="18" t="str">
        <x:v>Regla jurídica determinista</x:v>
      </x:c>
      <x:c r="AO292" s="18" t="str">
        <x:v>2025_conv2024_extraordinario-T18</x:v>
      </x:c>
      <x:c r="AP292" s="18" t="n">
        <x:v>1</x:v>
      </x:c>
    </x:row>
    <x:row r="293">
      <x:c r="A293" s="18" t="str">
        <x:v>2025_conv2024_extraordinario-T19</x:v>
      </x:c>
      <x:c r="B293" s="18" t="n">
        <x:v>2025</x:v>
      </x:c>
      <x:c r="C293" s="18" t="n">
        <x:v>2024</x:v>
      </x:c>
      <x:c r="D293" s="28" t="n">
        <x:v>45956</x:v>
      </x:c>
      <x:c r="E293" s="18" t="str">
        <x:v>Acceso libre</x:v>
      </x:c>
      <x:c r="F293" s="18" t="str">
        <x:v>Primera parte</x:v>
      </x:c>
      <x:c r="G293" s="18" t="str">
        <x:v>Extraordinario</x:v>
      </x:c>
      <x:c r="H293" s="18" t="str">
        <x:v>Único</x:v>
      </x:c>
      <x:c r="I293" s="18" t="str">
        <x:v>Sí</x:v>
      </x:c>
      <x:c r="J293" s="18" t="str">
        <x:v>Cuestionario extraordinario sin modelo paralelo.</x:v>
      </x:c>
      <x:c r="K293" s="18" t="n">
        <x:v>19</x:v>
      </x:c>
      <x:c r="L293" s="18" t="str">
        <x:v>No</x:v>
      </x:c>
      <x:c r="M293" s="18" t="str">
        <x:v>De conformidad con lo previsto en el Régimen disciplinario de los empleados públicos del Título VII del Real Decreto Legislativo 5/2015, de 30 de octubre, por el que se aprueba el texto refundido de la Ley del Estatuto Básico del Empleado Público (TREBEP), el incumplimiento de las normas sobre incompatibilidades cuando ello dé lugar a una situación de incompatibilidad , es una falta:</x:v>
      </x:c>
      <x:c r="N293" s="18" t="str">
        <x:v>Muy grave.</x:v>
      </x:c>
      <x:c r="O293" s="18" t="str">
        <x:v>Grave.</x:v>
      </x:c>
      <x:c r="P293" s="18" t="str">
        <x:v>Leve.</x:v>
      </x:c>
      <x:c r="Q293" s="18" t="str">
        <x:v>No tiene la condición de falta disciplinaria salvo que haya reiteración en el incumplimiento.</x:v>
      </x:c>
      <x:c r="R293" s="18" t="str">
        <x:v>G19</x:v>
      </x:c>
      <x:c r="S293" s="18" t="n">
        <x:v>19</x:v>
      </x:c>
      <x:c r="T293" s="18" t="str">
        <x:v>Temario general</x:v>
      </x:c>
      <x:c r="U293" s="18" t="str">
        <x:v>El personal al servicio de las Administraciones Públicas: concepto y clases. Derechos y deberes de los funcionarios. La carrera administrativa. Las incompatibilidades. Régimen disciplinario: faltas, sanciones y procedimiento.</x:v>
      </x:c>
      <x:c r="V293" s="18" t="str">
        <x:v>G19</x:v>
      </x:c>
      <x:c r="W293" s="18" t="str">
        <x:v>Real Decreto Legislativo 5/2015</x:v>
      </x:c>
      <x:c r="X293" s="18" t="str"/>
      <x:c r="Y293" s="18" t="str">
        <x:v>Artículos literales</x:v>
      </x:c>
      <x:c r="Z293" s="18" t="str">
        <x:v>Alta</x:v>
      </x:c>
      <x:c r="AA293" s="18" t="str">
        <x:v>G19</x:v>
      </x:c>
      <x:c r="AB293" s="18" t="str"/>
      <x:c r="AC293" s="18" t="str"/>
      <x:c r="AD293" s="18" t="str">
        <x:v>No</x:v>
      </x:c>
      <x:c r="AE293" s="18" t="str">
        <x:v>Teórico</x:v>
      </x:c>
      <x:c r="AF293" s="18" t="str">
        <x:v>A</x:v>
      </x:c>
      <x:c r="AG293" s="18" t="str">
        <x:v>A</x:v>
      </x:c>
      <x:c r="AH293" s="18" t="str">
        <x:v>Válida</x:v>
      </x:c>
      <x:c r="AI293" s="18" t="str">
        <x:v>01. Información oficial de la oposición\Exámenes oficiales anteriores\2025 Convocatoria 2024 - Examen extraordinario acceso libre.pdf</x:v>
      </x:c>
      <x:c r="AJ293" s="18" t="str">
        <x:v>https://www.seg-social.es/wps/portal/wss/internet/InformacionUtil/9950/88beb45d-ca83-4bab-8162-f94ef2894562/7e46efac-32c8-4cf6-b3d3-d592c3560dff/rdpi_administrativos_2024</x:v>
      </x:c>
      <x:c r="AK293" s="18" t="str">
        <x:v>Texto PDF</x:v>
      </x:c>
      <x:c r="AL293" s="18" t="n">
        <x:v>100</x:v>
      </x:c>
      <x:c r="AM293" s="18" t="str">
        <x:v>Alta</x:v>
      </x:c>
      <x:c r="AN293" s="18" t="str">
        <x:v>Regla jurídica determinista</x:v>
      </x:c>
      <x:c r="AO293" s="18" t="str">
        <x:v>2025_conv2024_extraordinario-T19</x:v>
      </x:c>
      <x:c r="AP293" s="18" t="n">
        <x:v>1</x:v>
      </x:c>
    </x:row>
    <x:row r="294">
      <x:c r="A294" s="18" t="str">
        <x:v>2025_conv2024_extraordinario-T20</x:v>
      </x:c>
      <x:c r="B294" s="18" t="n">
        <x:v>2025</x:v>
      </x:c>
      <x:c r="C294" s="18" t="n">
        <x:v>2024</x:v>
      </x:c>
      <x:c r="D294" s="28" t="n">
        <x:v>45956</x:v>
      </x:c>
      <x:c r="E294" s="18" t="str">
        <x:v>Acceso libre</x:v>
      </x:c>
      <x:c r="F294" s="18" t="str">
        <x:v>Primera parte</x:v>
      </x:c>
      <x:c r="G294" s="18" t="str">
        <x:v>Extraordinario</x:v>
      </x:c>
      <x:c r="H294" s="18" t="str">
        <x:v>Único</x:v>
      </x:c>
      <x:c r="I294" s="18" t="str">
        <x:v>Sí</x:v>
      </x:c>
      <x:c r="J294" s="18" t="str">
        <x:v>Cuestionario extraordinario sin modelo paralelo.</x:v>
      </x:c>
      <x:c r="K294" s="18" t="n">
        <x:v>20</x:v>
      </x:c>
      <x:c r="L294" s="18" t="str">
        <x:v>No</x:v>
      </x:c>
      <x:c r="M294" s="18" t="str">
        <x:v>El artículo 6 del Real Decreto 208/1996, de 9 de febrero, por el que se regulan los servicios de información administrativa y atención al ciudadano, establece que, serán funciones del Centro de Información Administrativa:</x:v>
      </x:c>
      <x:c r="N294" s="18" t="str">
        <x:v>Cooperar en el desarrollo de las unidades y oficinas de información de los demás Departamentos y organismos de la Administración General del Estado, procurando mantener la necesaria coordinación y cohesión entre ellos para lograr un nivel y un sistema hom ogéneos de atención al ciudadano.</x:v>
      </x:c>
      <x:c r="O294" s="18" t="str">
        <x:v>Representar al Departamento ante los órganos colegiados de información administrativa.</x:v>
      </x:c>
      <x:c r="P294" s="18" t="str">
        <x:v>Dirigir las oficinas de información y atención al ciudadano del Departamento, incluidas las sectoriales de ámbito territorial que dependan funcionalmente del mismo, así como coordinar las correspondientes a las entidades de derecho público vinculadas o dependientes del Departamento, sin perjuicio de las funciones de esta índole que tenga atribuidas la Comisión Ministerial de Información Administrativa.</x:v>
      </x:c>
      <x:c r="Q294" s="18" t="str">
        <x:v>Participar en la elaboración y distribución de las publicaciones y demás medios de difusión informativa del Departamento, y mantener actualizado un catálogo de los mismos, sin perjuicio de las competencias atribuidas a las unidades editoras departamentales.</x:v>
      </x:c>
      <x:c r="R294" s="18" t="str">
        <x:v>G20</x:v>
      </x:c>
      <x:c r="S294" s="18" t="n">
        <x:v>20</x:v>
      </x:c>
      <x:c r="T294" s="18" t="str">
        <x:v>Temario general</x:v>
      </x:c>
      <x:c r="U294" s="18" t="str">
        <x:v>Atención al público. Atención de personas con discapacidad. Los servicios de información administrativa. Información general y particular al ciudadano. Iniciativas. Reclamaciones. Quejas. Peticiones.</x:v>
      </x:c>
      <x:c r="V294" s="18" t="str">
        <x:v>G20</x:v>
      </x:c>
      <x:c r="W294" s="18" t="str">
        <x:v>Real Decreto 208/1996</x:v>
      </x:c>
      <x:c r="X294" s="18" t="str">
        <x:v>6</x:v>
      </x:c>
      <x:c r="Y294" s="18" t="str">
        <x:v>Artículos literales</x:v>
      </x:c>
      <x:c r="Z294" s="18" t="str">
        <x:v>Media</x:v>
      </x:c>
      <x:c r="AA294" s="18" t="str">
        <x:v>G20</x:v>
      </x:c>
      <x:c r="AB294" s="18" t="str"/>
      <x:c r="AC294" s="18" t="str"/>
      <x:c r="AD294" s="18" t="str">
        <x:v>No</x:v>
      </x:c>
      <x:c r="AE294" s="18" t="str">
        <x:v>Teórico</x:v>
      </x:c>
      <x:c r="AF294" s="18" t="str">
        <x:v>A</x:v>
      </x:c>
      <x:c r="AG294" s="18" t="str">
        <x:v>A</x:v>
      </x:c>
      <x:c r="AH294" s="18" t="str">
        <x:v>Válida</x:v>
      </x:c>
      <x:c r="AI294" s="18" t="str">
        <x:v>01. Información oficial de la oposición\Exámenes oficiales anteriores\2025 Convocatoria 2024 - Examen extraordinario acceso libre.pdf</x:v>
      </x:c>
      <x:c r="AJ294" s="18" t="str">
        <x:v>https://www.seg-social.es/wps/portal/wss/internet/InformacionUtil/9950/88beb45d-ca83-4bab-8162-f94ef2894562/7e46efac-32c8-4cf6-b3d3-d592c3560dff/rdpi_administrativos_2024</x:v>
      </x:c>
      <x:c r="AK294" s="18" t="str">
        <x:v>Texto PDF</x:v>
      </x:c>
      <x:c r="AL294" s="18" t="n">
        <x:v>100</x:v>
      </x:c>
      <x:c r="AM294" s="18" t="str">
        <x:v>Alta</x:v>
      </x:c>
      <x:c r="AN294" s="18" t="str">
        <x:v>Regla jurídica determinista</x:v>
      </x:c>
      <x:c r="AO294" s="18" t="str">
        <x:v>2025_conv2024_extraordinario-T20</x:v>
      </x:c>
      <x:c r="AP294" s="18" t="n">
        <x:v>1</x:v>
      </x:c>
    </x:row>
    <x:row r="295">
      <x:c r="A295" s="18" t="str">
        <x:v>2025_conv2024_extraordinario-T21</x:v>
      </x:c>
      <x:c r="B295" s="18" t="n">
        <x:v>2025</x:v>
      </x:c>
      <x:c r="C295" s="18" t="n">
        <x:v>2024</x:v>
      </x:c>
      <x:c r="D295" s="28" t="n">
        <x:v>45956</x:v>
      </x:c>
      <x:c r="E295" s="18" t="str">
        <x:v>Acceso libre</x:v>
      </x:c>
      <x:c r="F295" s="18" t="str">
        <x:v>Primera parte</x:v>
      </x:c>
      <x:c r="G295" s="18" t="str">
        <x:v>Extraordinario</x:v>
      </x:c>
      <x:c r="H295" s="18" t="str">
        <x:v>Único</x:v>
      </x:c>
      <x:c r="I295" s="18" t="str">
        <x:v>Sí</x:v>
      </x:c>
      <x:c r="J295" s="18" t="str">
        <x:v>Cuestionario extraordinario sin modelo paralelo.</x:v>
      </x:c>
      <x:c r="K295" s="18" t="n">
        <x:v>21</x:v>
      </x:c>
      <x:c r="L295" s="18" t="str">
        <x:v>No</x:v>
      </x:c>
      <x:c r="M295" s="18" t="str">
        <x:v>Según lo establecido en el artículo 10 de la ley 4/2023, de 28 de febrero, para la igualdad real y efectiva de las personas trans y para la garantía de los derechos de las personas LGTBI, la estrategia estatal para la igualdad de trato y no discriminación de las personas LGTBI tendrá carácter:</x:v>
      </x:c>
      <x:c r="N295" s="18" t="str">
        <x:v>Cuatrienal.</x:v>
      </x:c>
      <x:c r="O295" s="18" t="str">
        <x:v>Anual.</x:v>
      </x:c>
      <x:c r="P295" s="18" t="str">
        <x:v>Trianual.</x:v>
      </x:c>
      <x:c r="Q295" s="18" t="str">
        <x:v>Semestral.</x:v>
      </x:c>
      <x:c r="R295" s="18" t="str">
        <x:v>G21</x:v>
      </x:c>
      <x:c r="S295" s="18" t="n">
        <x:v>21</x:v>
      </x:c>
      <x:c r="T295" s="18" t="str">
        <x:v>Temario general</x:v>
      </x:c>
      <x:c r="U295" s="18" t="str">
        <x:v>Políticas de igualdad y contra la violencia de género. Discapacidad y dependencia: régimen jurídico. La Ley 4/2023, de 28 de febrero, para la igualdad real y efectiva de las personas trans y para la garantía de los derechos de las personas LGTBI.</x:v>
      </x:c>
      <x:c r="V295" s="18" t="str">
        <x:v>G21</x:v>
      </x:c>
      <x:c r="W295" s="18" t="str">
        <x:v>ley 4/2023</x:v>
      </x:c>
      <x:c r="X295" s="18" t="str">
        <x:v>10</x:v>
      </x:c>
      <x:c r="Y295" s="18" t="str">
        <x:v>Artículos literales</x:v>
      </x:c>
      <x:c r="Z295" s="18" t="str">
        <x:v>Media</x:v>
      </x:c>
      <x:c r="AA295" s="18" t="str">
        <x:v>G21</x:v>
      </x:c>
      <x:c r="AB295" s="18" t="str"/>
      <x:c r="AC295" s="18" t="str"/>
      <x:c r="AD295" s="18" t="str">
        <x:v>No</x:v>
      </x:c>
      <x:c r="AE295" s="18" t="str">
        <x:v>Teórico</x:v>
      </x:c>
      <x:c r="AF295" s="18" t="str">
        <x:v>A</x:v>
      </x:c>
      <x:c r="AG295" s="18" t="str">
        <x:v>A</x:v>
      </x:c>
      <x:c r="AH295" s="18" t="str">
        <x:v>Válida</x:v>
      </x:c>
      <x:c r="AI295" s="18" t="str">
        <x:v>01. Información oficial de la oposición\Exámenes oficiales anteriores\2025 Convocatoria 2024 - Examen extraordinario acceso libre.pdf</x:v>
      </x:c>
      <x:c r="AJ295" s="18" t="str">
        <x:v>https://www.seg-social.es/wps/portal/wss/internet/InformacionUtil/9950/88beb45d-ca83-4bab-8162-f94ef2894562/7e46efac-32c8-4cf6-b3d3-d592c3560dff/rdpi_administrativos_2024</x:v>
      </x:c>
      <x:c r="AK295" s="18" t="str">
        <x:v>Texto PDF</x:v>
      </x:c>
      <x:c r="AL295" s="18" t="n">
        <x:v>100</x:v>
      </x:c>
      <x:c r="AM295" s="18" t="str">
        <x:v>Alta</x:v>
      </x:c>
      <x:c r="AN295" s="18" t="str">
        <x:v>Regla jurídica determinista</x:v>
      </x:c>
      <x:c r="AO295" s="18" t="str">
        <x:v>2025_conv2024_extraordinario-T21</x:v>
      </x:c>
      <x:c r="AP295" s="18" t="n">
        <x:v>1</x:v>
      </x:c>
    </x:row>
    <x:row r="296">
      <x:c r="A296" s="18" t="str">
        <x:v>2025_conv2024_extraordinario-T22</x:v>
      </x:c>
      <x:c r="B296" s="18" t="n">
        <x:v>2025</x:v>
      </x:c>
      <x:c r="C296" s="18" t="n">
        <x:v>2024</x:v>
      </x:c>
      <x:c r="D296" s="28" t="n">
        <x:v>45956</x:v>
      </x:c>
      <x:c r="E296" s="18" t="str">
        <x:v>Acceso libre</x:v>
      </x:c>
      <x:c r="F296" s="18" t="str">
        <x:v>Primera parte</x:v>
      </x:c>
      <x:c r="G296" s="18" t="str">
        <x:v>Extraordinario</x:v>
      </x:c>
      <x:c r="H296" s="18" t="str">
        <x:v>Único</x:v>
      </x:c>
      <x:c r="I296" s="18" t="str">
        <x:v>Sí</x:v>
      </x:c>
      <x:c r="J296" s="18" t="str">
        <x:v>Cuestionario extraordinario sin modelo paralelo.</x:v>
      </x:c>
      <x:c r="K296" s="18" t="n">
        <x:v>22</x:v>
      </x:c>
      <x:c r="L296" s="18" t="str">
        <x:v>No</x:v>
      </x:c>
      <x:c r="M296" s="18" t="str">
        <x:v>La Ley Orgánica 3/2018, de 5 de diciembre, de Protección de Datos Personales y garantía de los derechos digitales, establece en su artículo 13 que, a los efectos establecidos en el artículo 12.5 del Reglamento (UE) 2016/679, se podrá considerar repetitivo el ejercicio del derecho de acceso:</x:v>
      </x:c>
      <x:c r="N296" s="18" t="str">
        <x:v>En más de una ocasión durante el plazo de tres meses, a menos que exista una causa legítima para ello.</x:v>
      </x:c>
      <x:c r="O296" s="18" t="str">
        <x:v>En más de tres ocasiones durante el plazo de un año, pudiendo denegarse el derecho de acceso por considerar la solicitud repetitiva.</x:v>
      </x:c>
      <x:c r="P296" s="18" t="str">
        <x:v>En más de una ocasión durante el plazo de seis meses, a menos que exista una causa legítima para ello.</x:v>
      </x:c>
      <x:c r="Q296" s="18" t="str">
        <x:v>En más de dos ocasiones durante el plazo de seis meses, pudiendo denegarse el derecho de acceso, en todo caso, al considerar la solicitud repetitiva.</x:v>
      </x:c>
      <x:c r="R296" s="18" t="str">
        <x:v>G22</x:v>
      </x:c>
      <x:c r="S296" s="18" t="n">
        <x:v>22</x:v>
      </x:c>
      <x:c r="T296" s="18" t="str">
        <x:v>Temario general</x:v>
      </x:c>
      <x:c r="U296" s="18" t="str">
        <x:v>Normativa reguladora de la protección de datos personales: principios, derechos de las personas y ejercicios de los derechos.</x:v>
      </x:c>
      <x:c r="V296" s="18" t="str">
        <x:v>G22</x:v>
      </x:c>
      <x:c r="W296" s="18" t="str">
        <x:v>Ley Orgánica 3/2018</x:v>
      </x:c>
      <x:c r="X296" s="18" t="str">
        <x:v>13; 12.5</x:v>
      </x:c>
      <x:c r="Y296" s="18" t="str">
        <x:v>Artículos literales</x:v>
      </x:c>
      <x:c r="Z296" s="18" t="str">
        <x:v>Media</x:v>
      </x:c>
      <x:c r="AA296" s="18" t="str">
        <x:v>G22</x:v>
      </x:c>
      <x:c r="AB296" s="18" t="str"/>
      <x:c r="AC296" s="18" t="str"/>
      <x:c r="AD296" s="18" t="str">
        <x:v>No</x:v>
      </x:c>
      <x:c r="AE296" s="18" t="str">
        <x:v>Teórico</x:v>
      </x:c>
      <x:c r="AF296" s="18" t="str">
        <x:v>C</x:v>
      </x:c>
      <x:c r="AG296" s="18" t="str">
        <x:v>C</x:v>
      </x:c>
      <x:c r="AH296" s="18" t="str">
        <x:v>Válida</x:v>
      </x:c>
      <x:c r="AI296" s="18" t="str">
        <x:v>01. Información oficial de la oposición\Exámenes oficiales anteriores\2025 Convocatoria 2024 - Examen extraordinario acceso libre.pdf</x:v>
      </x:c>
      <x:c r="AJ296" s="18" t="str">
        <x:v>https://www.seg-social.es/wps/portal/wss/internet/InformacionUtil/9950/88beb45d-ca83-4bab-8162-f94ef2894562/7e46efac-32c8-4cf6-b3d3-d592c3560dff/rdpi_administrativos_2024</x:v>
      </x:c>
      <x:c r="AK296" s="18" t="str">
        <x:v>Texto PDF</x:v>
      </x:c>
      <x:c r="AL296" s="18" t="n">
        <x:v>100</x:v>
      </x:c>
      <x:c r="AM296" s="18" t="str">
        <x:v>Alta</x:v>
      </x:c>
      <x:c r="AN296" s="18" t="str">
        <x:v>Regla jurídica determinista</x:v>
      </x:c>
      <x:c r="AO296" s="18" t="str">
        <x:v>2025_conv2024_extraordinario-T22</x:v>
      </x:c>
      <x:c r="AP296" s="18" t="n">
        <x:v>1</x:v>
      </x:c>
    </x:row>
    <x:row r="297">
      <x:c r="A297" s="18" t="str">
        <x:v>2025_conv2024_extraordinario-T23</x:v>
      </x:c>
      <x:c r="B297" s="18" t="n">
        <x:v>2025</x:v>
      </x:c>
      <x:c r="C297" s="18" t="n">
        <x:v>2024</x:v>
      </x:c>
      <x:c r="D297" s="28" t="n">
        <x:v>45956</x:v>
      </x:c>
      <x:c r="E297" s="18" t="str">
        <x:v>Acceso libre</x:v>
      </x:c>
      <x:c r="F297" s="18" t="str">
        <x:v>Primera parte</x:v>
      </x:c>
      <x:c r="G297" s="18" t="str">
        <x:v>Extraordinario</x:v>
      </x:c>
      <x:c r="H297" s="18" t="str">
        <x:v>Único</x:v>
      </x:c>
      <x:c r="I297" s="18" t="str">
        <x:v>Sí</x:v>
      </x:c>
      <x:c r="J297" s="18" t="str">
        <x:v>Cuestionario extraordinario sin modelo paralelo.</x:v>
      </x:c>
      <x:c r="K297" s="18" t="n">
        <x:v>23</x:v>
      </x:c>
      <x:c r="L297" s="18" t="str">
        <x:v>No</x:v>
      </x:c>
      <x:c r="M297" s="18" t="str">
        <x:v>Según el artículo 43 de la Ley 39/2015, de 1 de octubre, del Procedimiento Administrativo Común de las Administraciones Públicas, cuando la notificación por medios electrónicos haya sido expresamente elegida por el interesado, se entenderá rechazada cuando hayan transcurrido, desde la puesta a disposición de la notificación sin que se acceda a su contenido:</x:v>
      </x:c>
      <x:c r="N297" s="18" t="str">
        <x:v>Diez días naturales.</x:v>
      </x:c>
      <x:c r="O297" s="18" t="str">
        <x:v>Cinco días naturales.</x:v>
      </x:c>
      <x:c r="P297" s="18" t="str">
        <x:v>Quince días naturales.</x:v>
      </x:c>
      <x:c r="Q297" s="18" t="str">
        <x:v>Veinte días naturales.</x:v>
      </x:c>
      <x:c r="R297" s="18" t="str">
        <x:v>G23</x:v>
      </x:c>
      <x:c r="S297" s="18" t="n">
        <x:v>23</x:v>
      </x:c>
      <x:c r="T297" s="18" t="str">
        <x:v>Temario general</x:v>
      </x:c>
      <x:c r="U297" s="18" t="str">
        <x:v>El funcionamiento electrónico del sector público. Derecho y obligación de relacionarse electrónicamente con las Administraciones Públicas, registros y archivo electrónico.</x:v>
      </x:c>
      <x:c r="V297" s="18" t="str">
        <x:v>notificación</x:v>
      </x:c>
      <x:c r="W297" s="18" t="str">
        <x:v>Ley 39/2015</x:v>
      </x:c>
      <x:c r="X297" s="18" t="str">
        <x:v>43</x:v>
      </x:c>
      <x:c r="Y297" s="18" t="str">
        <x:v>Procedimientos</x:v>
      </x:c>
      <x:c r="Z297" s="18" t="str">
        <x:v>Alta</x:v>
      </x:c>
      <x:c r="AA297" s="18" t="str">
        <x:v>notificación</x:v>
      </x:c>
      <x:c r="AB297" s="18" t="str"/>
      <x:c r="AC297" s="18" t="str"/>
      <x:c r="AD297" s="18" t="str">
        <x:v>No</x:v>
      </x:c>
      <x:c r="AE297" s="18" t="str">
        <x:v>Teórico</x:v>
      </x:c>
      <x:c r="AF297" s="18" t="str">
        <x:v>A</x:v>
      </x:c>
      <x:c r="AG297" s="18" t="str">
        <x:v>A</x:v>
      </x:c>
      <x:c r="AH297" s="18" t="str">
        <x:v>Válida</x:v>
      </x:c>
      <x:c r="AI297" s="18" t="str">
        <x:v>01. Información oficial de la oposición\Exámenes oficiales anteriores\2025 Convocatoria 2024 - Examen extraordinario acceso libre.pdf</x:v>
      </x:c>
      <x:c r="AJ297" s="18" t="str">
        <x:v>https://www.seg-social.es/wps/portal/wss/internet/InformacionUtil/9950/88beb45d-ca83-4bab-8162-f94ef2894562/7e46efac-32c8-4cf6-b3d3-d592c3560dff/rdpi_administrativos_2024</x:v>
      </x:c>
      <x:c r="AK297" s="18" t="str">
        <x:v>Texto PDF</x:v>
      </x:c>
      <x:c r="AL297" s="18" t="n">
        <x:v>100</x:v>
      </x:c>
      <x:c r="AM297" s="18" t="str">
        <x:v>Alta</x:v>
      </x:c>
      <x:c r="AN297" s="18" t="str">
        <x:v>Regla jurídica determinista</x:v>
      </x:c>
      <x:c r="AO297" s="18" t="str">
        <x:v>2025_conv2024_extraordinario-T23</x:v>
      </x:c>
      <x:c r="AP297" s="18" t="n">
        <x:v>1</x:v>
      </x:c>
    </x:row>
    <x:row r="298">
      <x:c r="A298" s="18" t="str">
        <x:v>2025_conv2024_extraordinario-T24</x:v>
      </x:c>
      <x:c r="B298" s="18" t="n">
        <x:v>2025</x:v>
      </x:c>
      <x:c r="C298" s="18" t="n">
        <x:v>2024</x:v>
      </x:c>
      <x:c r="D298" s="28" t="n">
        <x:v>45956</x:v>
      </x:c>
      <x:c r="E298" s="18" t="str">
        <x:v>Acceso libre</x:v>
      </x:c>
      <x:c r="F298" s="18" t="str">
        <x:v>Primera parte</x:v>
      </x:c>
      <x:c r="G298" s="18" t="str">
        <x:v>Extraordinario</x:v>
      </x:c>
      <x:c r="H298" s="18" t="str">
        <x:v>Único</x:v>
      </x:c>
      <x:c r="I298" s="18" t="str">
        <x:v>Sí</x:v>
      </x:c>
      <x:c r="J298" s="18" t="str">
        <x:v>Cuestionario extraordinario sin modelo paralelo.</x:v>
      </x:c>
      <x:c r="K298" s="18" t="n">
        <x:v>24</x:v>
      </x:c>
      <x:c r="L298" s="18" t="str">
        <x:v>No</x:v>
      </x:c>
      <x:c r="M298" s="18" t="str">
        <x:v>De acuerdo con el artículo 2 del texto refundido de la Ley General de la Seguridad Social, el sistema de la Seguridad Social, configurado por la acción protectora en sus modalidades contributiva y no contributiva, se fundamenta en los principios de:</x:v>
      </x:c>
      <x:c r="N298" s="18" t="str">
        <x:v>Universalidad, unidad, solidaridad e igualdad.</x:v>
      </x:c>
      <x:c r="O298" s="18" t="str">
        <x:v>Universalidad, transparencia, solidaridad e igualdad.</x:v>
      </x:c>
      <x:c r="P298" s="18" t="str">
        <x:v>Unidad, igualdad, solidaridad y justicia social.</x:v>
      </x:c>
      <x:c r="Q298" s="18" t="str">
        <x:v>Universalidad, unidad, sostenibilidad e igualdad.</x:v>
      </x:c>
      <x:c r="R298" s="18" t="str">
        <x:v>S01</x:v>
      </x:c>
      <x:c r="S298" s="18" t="n">
        <x:v>1</x:v>
      </x:c>
      <x:c r="T298" s="18" t="str">
        <x:v>Temario específico Seguridad Social</x:v>
      </x:c>
      <x:c r="U298" s="18" t="str">
        <x:v>La Seguridad Social en la Constitución española de 1978. El texto refundido de la Ley General de la Seguridad Social.</x:v>
      </x:c>
      <x:c r="V298" s="18" t="str">
        <x:v>S01</x:v>
      </x:c>
      <x:c r="W298" s="18" t="str">
        <x:v>texto refundido de la Ley General de la Seguridad Social</x:v>
      </x:c>
      <x:c r="X298" s="18" t="str">
        <x:v>2</x:v>
      </x:c>
      <x:c r="Y298" s="18" t="str">
        <x:v>Artículos literales</x:v>
      </x:c>
      <x:c r="Z298" s="18" t="str">
        <x:v>Media</x:v>
      </x:c>
      <x:c r="AA298" s="18" t="str">
        <x:v>S01</x:v>
      </x:c>
      <x:c r="AB298" s="18" t="str"/>
      <x:c r="AC298" s="18" t="str"/>
      <x:c r="AD298" s="18" t="str">
        <x:v>No</x:v>
      </x:c>
      <x:c r="AE298" s="18" t="str">
        <x:v>Teórico</x:v>
      </x:c>
      <x:c r="AF298" s="18" t="str">
        <x:v>A</x:v>
      </x:c>
      <x:c r="AG298" s="18" t="str">
        <x:v>A</x:v>
      </x:c>
      <x:c r="AH298" s="18" t="str">
        <x:v>Válida</x:v>
      </x:c>
      <x:c r="AI298" s="18" t="str">
        <x:v>01. Información oficial de la oposición\Exámenes oficiales anteriores\2025 Convocatoria 2024 - Examen extraordinario acceso libre.pdf</x:v>
      </x:c>
      <x:c r="AJ298" s="18" t="str">
        <x:v>https://www.seg-social.es/wps/portal/wss/internet/InformacionUtil/9950/88beb45d-ca83-4bab-8162-f94ef2894562/7e46efac-32c8-4cf6-b3d3-d592c3560dff/rdpi_administrativos_2024</x:v>
      </x:c>
      <x:c r="AK298" s="18" t="str">
        <x:v>Texto PDF</x:v>
      </x:c>
      <x:c r="AL298" s="18" t="n">
        <x:v>100</x:v>
      </x:c>
      <x:c r="AM298" s="18" t="str">
        <x:v>Alta</x:v>
      </x:c>
      <x:c r="AN298" s="18" t="str">
        <x:v>Revisión jurídica individual</x:v>
      </x:c>
      <x:c r="AO298" s="18" t="str">
        <x:v>2025_conv2024_extraordinario-T24</x:v>
      </x:c>
      <x:c r="AP298" s="18" t="n">
        <x:v>1</x:v>
      </x:c>
    </x:row>
    <x:row r="299">
      <x:c r="A299" s="18" t="str">
        <x:v>2025_conv2024_extraordinario-T25</x:v>
      </x:c>
      <x:c r="B299" s="18" t="n">
        <x:v>2025</x:v>
      </x:c>
      <x:c r="C299" s="18" t="n">
        <x:v>2024</x:v>
      </x:c>
      <x:c r="D299" s="28" t="n">
        <x:v>45956</x:v>
      </x:c>
      <x:c r="E299" s="18" t="str">
        <x:v>Acceso libre</x:v>
      </x:c>
      <x:c r="F299" s="18" t="str">
        <x:v>Primera parte</x:v>
      </x:c>
      <x:c r="G299" s="18" t="str">
        <x:v>Extraordinario</x:v>
      </x:c>
      <x:c r="H299" s="18" t="str">
        <x:v>Único</x:v>
      </x:c>
      <x:c r="I299" s="18" t="str">
        <x:v>Sí</x:v>
      </x:c>
      <x:c r="J299" s="18" t="str">
        <x:v>Cuestionario extraordinario sin modelo paralelo.</x:v>
      </x:c>
      <x:c r="K299" s="18" t="n">
        <x:v>25</x:v>
      </x:c>
      <x:c r="L299" s="18" t="str">
        <x:v>No</x:v>
      </x:c>
      <x:c r="M299" s="18" t="str">
        <x:v>En el artículo 43 de la Constitución Española, se reconoce el derecho a:</x:v>
      </x:c>
      <x:c r="N299" s="18" t="str">
        <x:v>Disfrutar de una vivienda digna.</x:v>
      </x:c>
      <x:c r="O299" s="18" t="str">
        <x:v>La protección de la familia.</x:v>
      </x:c>
      <x:c r="P299" s="18" t="str">
        <x:v>La protección de la salud.</x:v>
      </x:c>
      <x:c r="Q299" s="18" t="str">
        <x:v>A disfrutar de un medio ambiente adecuado.</x:v>
      </x:c>
      <x:c r="R299" s="18" t="str">
        <x:v>S01</x:v>
      </x:c>
      <x:c r="S299" s="18" t="n">
        <x:v>1</x:v>
      </x:c>
      <x:c r="T299" s="18" t="str">
        <x:v>Temario específico Seguridad Social</x:v>
      </x:c>
      <x:c r="U299" s="18" t="str">
        <x:v>La Seguridad Social en la Constitución española de 1978. El texto refundido de la Ley General de la Seguridad Social.</x:v>
      </x:c>
      <x:c r="V299" s="18" t="str">
        <x:v>S01</x:v>
      </x:c>
      <x:c r="W299" s="18" t="str">
        <x:v>Constitución Española</x:v>
      </x:c>
      <x:c r="X299" s="18" t="str">
        <x:v>43</x:v>
      </x:c>
      <x:c r="Y299" s="18" t="str">
        <x:v>Artículos literales</x:v>
      </x:c>
      <x:c r="Z299" s="18" t="str">
        <x:v>Media</x:v>
      </x:c>
      <x:c r="AA299" s="18" t="str">
        <x:v>S01</x:v>
      </x:c>
      <x:c r="AB299" s="18" t="str"/>
      <x:c r="AC299" s="18" t="str"/>
      <x:c r="AD299" s="18" t="str">
        <x:v>No</x:v>
      </x:c>
      <x:c r="AE299" s="18" t="str">
        <x:v>Teórico</x:v>
      </x:c>
      <x:c r="AF299" s="18" t="str">
        <x:v>C</x:v>
      </x:c>
      <x:c r="AG299" s="18" t="str">
        <x:v>C</x:v>
      </x:c>
      <x:c r="AH299" s="18" t="str">
        <x:v>Válida</x:v>
      </x:c>
      <x:c r="AI299" s="18" t="str">
        <x:v>01. Información oficial de la oposición\Exámenes oficiales anteriores\2025 Convocatoria 2024 - Examen extraordinario acceso libre.pdf</x:v>
      </x:c>
      <x:c r="AJ299" s="18" t="str">
        <x:v>https://www.seg-social.es/wps/portal/wss/internet/InformacionUtil/9950/88beb45d-ca83-4bab-8162-f94ef2894562/7e46efac-32c8-4cf6-b3d3-d592c3560dff/rdpi_administrativos_2024</x:v>
      </x:c>
      <x:c r="AK299" s="18" t="str">
        <x:v>Texto PDF</x:v>
      </x:c>
      <x:c r="AL299" s="18" t="n">
        <x:v>100</x:v>
      </x:c>
      <x:c r="AM299" s="18" t="str">
        <x:v>Alta</x:v>
      </x:c>
      <x:c r="AN299" s="18" t="str">
        <x:v>Revisión jurídica individual</x:v>
      </x:c>
      <x:c r="AO299" s="18" t="str">
        <x:v>2025_conv2024_extraordinario-T25</x:v>
      </x:c>
      <x:c r="AP299" s="18" t="n">
        <x:v>1</x:v>
      </x:c>
    </x:row>
    <x:row r="300">
      <x:c r="A300" s="18" t="str">
        <x:v>2025_conv2024_extraordinario-T26</x:v>
      </x:c>
      <x:c r="B300" s="18" t="n">
        <x:v>2025</x:v>
      </x:c>
      <x:c r="C300" s="18" t="n">
        <x:v>2024</x:v>
      </x:c>
      <x:c r="D300" s="28" t="n">
        <x:v>45956</x:v>
      </x:c>
      <x:c r="E300" s="18" t="str">
        <x:v>Acceso libre</x:v>
      </x:c>
      <x:c r="F300" s="18" t="str">
        <x:v>Primera parte</x:v>
      </x:c>
      <x:c r="G300" s="18" t="str">
        <x:v>Extraordinario</x:v>
      </x:c>
      <x:c r="H300" s="18" t="str">
        <x:v>Único</x:v>
      </x:c>
      <x:c r="I300" s="18" t="str">
        <x:v>Sí</x:v>
      </x:c>
      <x:c r="J300" s="18" t="str">
        <x:v>Cuestionario extraordinario sin modelo paralelo.</x:v>
      </x:c>
      <x:c r="K300" s="18" t="n">
        <x:v>26</x:v>
      </x:c>
      <x:c r="L300" s="18" t="str">
        <x:v>No</x:v>
      </x:c>
      <x:c r="M300" s="18" t="str">
        <x:v>En su conjunto, ¿cuántos artículos contiene el texto refundido de la Ley General de la Seguridad Social?</x:v>
      </x:c>
      <x:c r="N300" s="18" t="str">
        <x:v>270 artículos.</x:v>
      </x:c>
      <x:c r="O300" s="18" t="str">
        <x:v>373 artículos.</x:v>
      </x:c>
      <x:c r="P300" s="18" t="str">
        <x:v>412 artículos.</x:v>
      </x:c>
      <x:c r="Q300" s="18" t="str">
        <x:v>257 artículos.</x:v>
      </x:c>
      <x:c r="R300" s="18" t="str">
        <x:v>S01</x:v>
      </x:c>
      <x:c r="S300" s="18" t="n">
        <x:v>1</x:v>
      </x:c>
      <x:c r="T300" s="18" t="str">
        <x:v>Temario específico Seguridad Social</x:v>
      </x:c>
      <x:c r="U300" s="18" t="str">
        <x:v>La Seguridad Social en la Constitución española de 1978. El texto refundido de la Ley General de la Seguridad Social.</x:v>
      </x:c>
      <x:c r="V300" s="18" t="str">
        <x:v>S01</x:v>
      </x:c>
      <x:c r="W300" s="18" t="str">
        <x:v>texto refundido de la Ley General de la Seguridad Social</x:v>
      </x:c>
      <x:c r="X300" s="18" t="str"/>
      <x:c r="Y300" s="18" t="str">
        <x:v>Artículos literales</x:v>
      </x:c>
      <x:c r="Z300" s="18" t="str">
        <x:v>Básica</x:v>
      </x:c>
      <x:c r="AA300" s="18" t="str">
        <x:v>S01</x:v>
      </x:c>
      <x:c r="AB300" s="18" t="str"/>
      <x:c r="AC300" s="18" t="str"/>
      <x:c r="AD300" s="18" t="str">
        <x:v>No</x:v>
      </x:c>
      <x:c r="AE300" s="18" t="str">
        <x:v>Teórico</x:v>
      </x:c>
      <x:c r="AF300" s="18" t="str">
        <x:v>B</x:v>
      </x:c>
      <x:c r="AG300" s="18" t="str">
        <x:v>B</x:v>
      </x:c>
      <x:c r="AH300" s="18" t="str">
        <x:v>Válida</x:v>
      </x:c>
      <x:c r="AI300" s="18" t="str">
        <x:v>01. Información oficial de la oposición\Exámenes oficiales anteriores\2025 Convocatoria 2024 - Examen extraordinario acceso libre.pdf</x:v>
      </x:c>
      <x:c r="AJ300" s="18" t="str">
        <x:v>https://www.seg-social.es/wps/portal/wss/internet/InformacionUtil/9950/88beb45d-ca83-4bab-8162-f94ef2894562/7e46efac-32c8-4cf6-b3d3-d592c3560dff/rdpi_administrativos_2024</x:v>
      </x:c>
      <x:c r="AK300" s="18" t="str">
        <x:v>Texto PDF</x:v>
      </x:c>
      <x:c r="AL300" s="18" t="n">
        <x:v>100</x:v>
      </x:c>
      <x:c r="AM300" s="18" t="str">
        <x:v>Alta</x:v>
      </x:c>
      <x:c r="AN300" s="18" t="str">
        <x:v>Revisión jurídica individual</x:v>
      </x:c>
      <x:c r="AO300" s="18" t="str">
        <x:v>2025_conv2024_extraordinario-T26</x:v>
      </x:c>
      <x:c r="AP300" s="18" t="n">
        <x:v>1</x:v>
      </x:c>
    </x:row>
    <x:row r="301">
      <x:c r="A301" s="18" t="str">
        <x:v>2025_conv2024_extraordinario-T27</x:v>
      </x:c>
      <x:c r="B301" s="18" t="n">
        <x:v>2025</x:v>
      </x:c>
      <x:c r="C301" s="18" t="n">
        <x:v>2024</x:v>
      </x:c>
      <x:c r="D301" s="28" t="n">
        <x:v>45956</x:v>
      </x:c>
      <x:c r="E301" s="18" t="str">
        <x:v>Acceso libre</x:v>
      </x:c>
      <x:c r="F301" s="18" t="str">
        <x:v>Primera parte</x:v>
      </x:c>
      <x:c r="G301" s="18" t="str">
        <x:v>Extraordinario</x:v>
      </x:c>
      <x:c r="H301" s="18" t="str">
        <x:v>Único</x:v>
      </x:c>
      <x:c r="I301" s="18" t="str">
        <x:v>Sí</x:v>
      </x:c>
      <x:c r="J301" s="18" t="str">
        <x:v>Cuestionario extraordinario sin modelo paralelo.</x:v>
      </x:c>
      <x:c r="K301" s="18" t="n">
        <x:v>27</x:v>
      </x:c>
      <x:c r="L301" s="18" t="str">
        <x:v>No</x:v>
      </x:c>
      <x:c r="M301" s="18" t="str">
        <x:v>Según el artículo 10 del texto refundido de la Ley General de la Seguridad Social, ¿ cuáles son los regímenes especiales que se regirán por leyes específicas?</x:v>
      </x:c>
      <x:c r="N301" s="18" t="str">
        <x:v>Trabajadores por cuenta propia o autónomos, Trabajadores del mar y Trabajadores agrarios</x:v>
      </x:c>
      <x:c r="O301" s="18" t="str">
        <x:v>Trabajadores del mar, Funcionarios públicos, civiles y militares y Estudiantes.</x:v>
      </x:c>
      <x:c r="P301" s="18" t="str">
        <x:v>Trabajadores del mar y Funcionarios públicos, civiles y militares.</x:v>
      </x:c>
      <x:c r="Q301" s="18" t="str">
        <x:v>Funcionarios públicos, civiles y militares, Trabajadores del mar y Trabajadores agrarios.</x:v>
      </x:c>
      <x:c r="R301" s="18" t="str">
        <x:v>S02</x:v>
      </x:c>
      <x:c r="S301" s="18" t="n">
        <x:v>2</x:v>
      </x:c>
      <x:c r="T301" s="18" t="str">
        <x:v>Temario específico Seguridad Social</x:v>
      </x:c>
      <x:c r="U301" s="18" t="str">
        <x:v>Campo de aplicación y composición del sistema de la Seguridad Social. Régimen general: ámbito subjetivo de aplicación, inclusiones y exclusiones. Regímenes especiales: enumeración, características generales, altas, bajas y cotización. Particularidades de la acción protectora. Sistemas especiales: enumeración y características generales. Altas, bajas y cotización. Particularidades de la acción protectora.</x:v>
      </x:c>
      <x:c r="V301" s="18" t="str">
        <x:v>S02</x:v>
      </x:c>
      <x:c r="W301" s="18" t="str">
        <x:v>texto refundido de la Ley General de la Seguridad Social</x:v>
      </x:c>
      <x:c r="X301" s="18" t="str">
        <x:v>10</x:v>
      </x:c>
      <x:c r="Y301" s="18" t="str">
        <x:v>Artículos literales</x:v>
      </x:c>
      <x:c r="Z301" s="18" t="str">
        <x:v>Media</x:v>
      </x:c>
      <x:c r="AA301" s="18" t="str">
        <x:v>S02</x:v>
      </x:c>
      <x:c r="AB301" s="18" t="str"/>
      <x:c r="AC301" s="18" t="str"/>
      <x:c r="AD301" s="18" t="str">
        <x:v>No</x:v>
      </x:c>
      <x:c r="AE301" s="18" t="str">
        <x:v>Teórico</x:v>
      </x:c>
      <x:c r="AF301" s="18" t="str">
        <x:v>C</x:v>
      </x:c>
      <x:c r="AG301" s="18" t="str">
        <x:v>C</x:v>
      </x:c>
      <x:c r="AH301" s="18" t="str">
        <x:v>Válida</x:v>
      </x:c>
      <x:c r="AI301" s="18" t="str">
        <x:v>01. Información oficial de la oposición\Exámenes oficiales anteriores\2025 Convocatoria 2024 - Examen extraordinario acceso libre.pdf</x:v>
      </x:c>
      <x:c r="AJ301" s="18" t="str">
        <x:v>https://www.seg-social.es/wps/portal/wss/internet/InformacionUtil/9950/88beb45d-ca83-4bab-8162-f94ef2894562/7e46efac-32c8-4cf6-b3d3-d592c3560dff/rdpi_administrativos_2024</x:v>
      </x:c>
      <x:c r="AK301" s="18" t="str">
        <x:v>Texto PDF</x:v>
      </x:c>
      <x:c r="AL301" s="18" t="n">
        <x:v>100</x:v>
      </x:c>
      <x:c r="AM301" s="18" t="str">
        <x:v>Alta</x:v>
      </x:c>
      <x:c r="AN301" s="18" t="str">
        <x:v>Regla jurídica determinista</x:v>
      </x:c>
      <x:c r="AO301" s="18" t="str">
        <x:v>2025_conv2024_extraordinario-T27</x:v>
      </x:c>
      <x:c r="AP301" s="18" t="n">
        <x:v>1</x:v>
      </x:c>
    </x:row>
    <x:row r="302">
      <x:c r="A302" s="18" t="str">
        <x:v>2025_conv2024_extraordinario-T28</x:v>
      </x:c>
      <x:c r="B302" s="18" t="n">
        <x:v>2025</x:v>
      </x:c>
      <x:c r="C302" s="18" t="n">
        <x:v>2024</x:v>
      </x:c>
      <x:c r="D302" s="28" t="n">
        <x:v>45956</x:v>
      </x:c>
      <x:c r="E302" s="18" t="str">
        <x:v>Acceso libre</x:v>
      </x:c>
      <x:c r="F302" s="18" t="str">
        <x:v>Primera parte</x:v>
      </x:c>
      <x:c r="G302" s="18" t="str">
        <x:v>Extraordinario</x:v>
      </x:c>
      <x:c r="H302" s="18" t="str">
        <x:v>Único</x:v>
      </x:c>
      <x:c r="I302" s="18" t="str">
        <x:v>Sí</x:v>
      </x:c>
      <x:c r="J302" s="18" t="str">
        <x:v>Cuestionario extraordinario sin modelo paralelo.</x:v>
      </x:c>
      <x:c r="K302" s="18" t="n">
        <x:v>28</x:v>
      </x:c>
      <x:c r="L302" s="18" t="str">
        <x:v>No</x:v>
      </x:c>
      <x:c r="M302" s="18" t="str">
        <x:v>Según el artículo 305 del texto refundido de la Ley General de la Seguridad Social, ¿en qué régimen se declaran expresamente incluidos los miembros del Cuerpo Único de Notarios?</x:v>
      </x:c>
      <x:c r="N302" s="18" t="str">
        <x:v>En la Mutualidad de Funcionarios de la Administración Civil del Estado (MUFACE).</x:v>
      </x:c>
      <x:c r="O302" s="18" t="str">
        <x:v>En la Mutualidad General del Poder Judicial (MUGEJU).</x:v>
      </x:c>
      <x:c r="P302" s="18" t="str">
        <x:v>En el Régimen General como asimilados a trabajadores por cuenta ajena, con exclusión de desempleo y FOGASA.</x:v>
      </x:c>
      <x:c r="Q302" s="18" t="str">
        <x:v>En el Régimen Especial de Trabajadores por Cuenta Propia o Autónomos.</x:v>
      </x:c>
      <x:c r="R302" s="18" t="str">
        <x:v>S02</x:v>
      </x:c>
      <x:c r="S302" s="18" t="n">
        <x:v>2</x:v>
      </x:c>
      <x:c r="T302" s="18" t="str">
        <x:v>Temario específico Seguridad Social</x:v>
      </x:c>
      <x:c r="U302" s="18" t="str">
        <x:v>Campo de aplicación y composición del sistema de la Seguridad Social. Régimen general: ámbito subjetivo de aplicación, inclusiones y exclusiones. Regímenes especiales: enumeración, características generales, altas, bajas y cotización. Particularidades de la acción protectora. Sistemas especiales: enumeración y características generales. Altas, bajas y cotización. Particularidades de la acción protectora.</x:v>
      </x:c>
      <x:c r="V302" s="18" t="str">
        <x:v>S02</x:v>
      </x:c>
      <x:c r="W302" s="18" t="str">
        <x:v>texto refundido de la Ley General de la Seguridad Social</x:v>
      </x:c>
      <x:c r="X302" s="18" t="str">
        <x:v>305</x:v>
      </x:c>
      <x:c r="Y302" s="18" t="str">
        <x:v>Artículos literales</x:v>
      </x:c>
      <x:c r="Z302" s="18" t="str">
        <x:v>Media</x:v>
      </x:c>
      <x:c r="AA302" s="18" t="str">
        <x:v>S02</x:v>
      </x:c>
      <x:c r="AB302" s="18" t="str"/>
      <x:c r="AC302" s="18" t="str"/>
      <x:c r="AD302" s="18" t="str">
        <x:v>No</x:v>
      </x:c>
      <x:c r="AE302" s="18" t="str">
        <x:v>Teórico</x:v>
      </x:c>
      <x:c r="AF302" s="18" t="str">
        <x:v>D</x:v>
      </x:c>
      <x:c r="AG302" s="18" t="str">
        <x:v>D</x:v>
      </x:c>
      <x:c r="AH302" s="18" t="str">
        <x:v>Válida</x:v>
      </x:c>
      <x:c r="AI302" s="18" t="str">
        <x:v>01. Información oficial de la oposición\Exámenes oficiales anteriores\2025 Convocatoria 2024 - Examen extraordinario acceso libre.pdf</x:v>
      </x:c>
      <x:c r="AJ302" s="18" t="str">
        <x:v>https://www.seg-social.es/wps/portal/wss/internet/InformacionUtil/9950/88beb45d-ca83-4bab-8162-f94ef2894562/7e46efac-32c8-4cf6-b3d3-d592c3560dff/rdpi_administrativos_2024</x:v>
      </x:c>
      <x:c r="AK302" s="18" t="str">
        <x:v>Texto PDF</x:v>
      </x:c>
      <x:c r="AL302" s="18" t="n">
        <x:v>100</x:v>
      </x:c>
      <x:c r="AM302" s="18" t="str">
        <x:v>Alta</x:v>
      </x:c>
      <x:c r="AN302" s="18" t="str">
        <x:v>Regla jurídica determinista</x:v>
      </x:c>
      <x:c r="AO302" s="18" t="str">
        <x:v>2025_conv2024_extraordinario-T28</x:v>
      </x:c>
      <x:c r="AP302" s="18" t="n">
        <x:v>1</x:v>
      </x:c>
    </x:row>
    <x:row r="303">
      <x:c r="A303" s="18" t="str">
        <x:v>2025_conv2024_extraordinario-T29</x:v>
      </x:c>
      <x:c r="B303" s="18" t="n">
        <x:v>2025</x:v>
      </x:c>
      <x:c r="C303" s="18" t="n">
        <x:v>2024</x:v>
      </x:c>
      <x:c r="D303" s="28" t="n">
        <x:v>45956</x:v>
      </x:c>
      <x:c r="E303" s="18" t="str">
        <x:v>Acceso libre</x:v>
      </x:c>
      <x:c r="F303" s="18" t="str">
        <x:v>Primera parte</x:v>
      </x:c>
      <x:c r="G303" s="18" t="str">
        <x:v>Extraordinario</x:v>
      </x:c>
      <x:c r="H303" s="18" t="str">
        <x:v>Único</x:v>
      </x:c>
      <x:c r="I303" s="18" t="str">
        <x:v>Sí</x:v>
      </x:c>
      <x:c r="J303" s="18" t="str">
        <x:v>Cuestionario extraordinario sin modelo paralelo.</x:v>
      </x:c>
      <x:c r="K303" s="18" t="n">
        <x:v>29</x:v>
      </x:c>
      <x:c r="L303" s="18" t="str">
        <x:v>No</x:v>
      </x:c>
      <x:c r="M303" s="18" t="str">
        <x:v>Conforme al artículo 43 del Real Decreto 84/1996, de 26 de enero, ¿cuándo surtirán efectos las altas y bajas de los funcionarios públicos incluidos en el campo de aplicación del Régimen General de la Seguridad Social en los cambios de destino?</x:v>
      </x:c>
      <x:c r="N303" s="18" t="str">
        <x:v>Las altas, desde el día primero del mes siguiente a aquel en que se produzca el cese, y las bajas desde el último día del mes en que se produzca dicho cese.</x:v>
      </x:c>
      <x:c r="O303" s="18" t="str">
        <x:v>Las altas, a partir del día que se inicie la actividad en el nuevo destino, y las bajas desde el día anterior.</x:v>
      </x:c>
      <x:c r="P303" s="18" t="str">
        <x:v>Las altas y bajas surtirán efecto en la fecha que determine la Subsecretaría del Ministerio correspondiente mediante publicación en el B.O.E.</x:v>
      </x:c>
      <x:c r="Q303" s="18" t="str">
        <x:v>No hay peculiaridades respecto a otros trabajadores por cuenta ajena incluidos en el Régimen General de la Seguridad Social.</x:v>
      </x:c>
      <x:c r="R303" s="18" t="str">
        <x:v>S03</x:v>
      </x:c>
      <x:c r="S303" s="18" t="n">
        <x:v>3</x:v>
      </x:c>
      <x:c r="T303" s="18" t="str">
        <x:v>Temario específico Seguridad Social</x:v>
      </x:c>
      <x:c r="U303" s="18" t="str">
        <x:v>Normas sobre afiliación. Altas y bajas en el régimen general. Procedimiento y efectos. El convenio especial y otras situaciones asimiladas a la del alta. Encuadramiento e inscripción.</x:v>
      </x:c>
      <x:c r="V303" s="18" t="str">
        <x:v>S03</x:v>
      </x:c>
      <x:c r="W303" s="18" t="str">
        <x:v>Real Decreto 84/1996</x:v>
      </x:c>
      <x:c r="X303" s="18" t="str">
        <x:v>43</x:v>
      </x:c>
      <x:c r="Y303" s="18" t="str">
        <x:v>Afiliación, altas y bajas</x:v>
      </x:c>
      <x:c r="Z303" s="18" t="str">
        <x:v>Media</x:v>
      </x:c>
      <x:c r="AA303" s="18" t="str">
        <x:v>S03</x:v>
      </x:c>
      <x:c r="AB303" s="18" t="str"/>
      <x:c r="AC303" s="18" t="str"/>
      <x:c r="AD303" s="18" t="str">
        <x:v>No</x:v>
      </x:c>
      <x:c r="AE303" s="18" t="str">
        <x:v>Teórico</x:v>
      </x:c>
      <x:c r="AF303" s="18" t="str">
        <x:v>A</x:v>
      </x:c>
      <x:c r="AG303" s="18" t="str">
        <x:v>A</x:v>
      </x:c>
      <x:c r="AH303" s="18" t="str">
        <x:v>Válida</x:v>
      </x:c>
      <x:c r="AI303" s="18" t="str">
        <x:v>01. Información oficial de la oposición\Exámenes oficiales anteriores\2025 Convocatoria 2024 - Examen extraordinario acceso libre.pdf</x:v>
      </x:c>
      <x:c r="AJ303" s="18" t="str">
        <x:v>https://www.seg-social.es/wps/portal/wss/internet/InformacionUtil/9950/88beb45d-ca83-4bab-8162-f94ef2894562/7e46efac-32c8-4cf6-b3d3-d592c3560dff/rdpi_administrativos_2024</x:v>
      </x:c>
      <x:c r="AK303" s="18" t="str">
        <x:v>Texto PDF</x:v>
      </x:c>
      <x:c r="AL303" s="18" t="n">
        <x:v>100</x:v>
      </x:c>
      <x:c r="AM303" s="18" t="str">
        <x:v>Alta</x:v>
      </x:c>
      <x:c r="AN303" s="18" t="str">
        <x:v>Regla jurídica determinista</x:v>
      </x:c>
      <x:c r="AO303" s="18" t="str">
        <x:v>2025_conv2024_extraordinario-T29</x:v>
      </x:c>
      <x:c r="AP303" s="18" t="n">
        <x:v>1</x:v>
      </x:c>
    </x:row>
    <x:row r="304">
      <x:c r="A304" s="18" t="str">
        <x:v>2025_conv2024_extraordinario-T30</x:v>
      </x:c>
      <x:c r="B304" s="18" t="n">
        <x:v>2025</x:v>
      </x:c>
      <x:c r="C304" s="18" t="n">
        <x:v>2024</x:v>
      </x:c>
      <x:c r="D304" s="28" t="n">
        <x:v>45956</x:v>
      </x:c>
      <x:c r="E304" s="18" t="str">
        <x:v>Acceso libre</x:v>
      </x:c>
      <x:c r="F304" s="18" t="str">
        <x:v>Primera parte</x:v>
      </x:c>
      <x:c r="G304" s="18" t="str">
        <x:v>Extraordinario</x:v>
      </x:c>
      <x:c r="H304" s="18" t="str">
        <x:v>Único</x:v>
      </x:c>
      <x:c r="I304" s="18" t="str">
        <x:v>Sí</x:v>
      </x:c>
      <x:c r="J304" s="18" t="str">
        <x:v>Cuestionario extraordinario sin modelo paralelo.</x:v>
      </x:c>
      <x:c r="K304" s="18" t="n">
        <x:v>30</x:v>
      </x:c>
      <x:c r="L304" s="18" t="str">
        <x:v>No</x:v>
      </x:c>
      <x:c r="M304" s="18" t="str">
        <x:v>De acuerdo con el artículo 63 del R eal Decreto 84/1996, de 26 de enero, ¿ cuál es el plazo máximo para dictar resolución y notificación en las solicitudes de inscripción de los empresarios?</x:v>
      </x:c>
      <x:c r="N304" s="18" t="str">
        <x:v>Cuarenta y cinco días.</x:v>
      </x:c>
      <x:c r="O304" s="18" t="str">
        <x:v>Tres meses.</x:v>
      </x:c>
      <x:c r="P304" s="18" t="str">
        <x:v>Tres días.</x:v>
      </x:c>
      <x:c r="Q304" s="18" t="str">
        <x:v>Diez días.</x:v>
      </x:c>
      <x:c r="R304" s="18" t="str">
        <x:v>S03</x:v>
      </x:c>
      <x:c r="S304" s="18" t="n">
        <x:v>3</x:v>
      </x:c>
      <x:c r="T304" s="18" t="str">
        <x:v>Temario específico Seguridad Social</x:v>
      </x:c>
      <x:c r="U304" s="18" t="str">
        <x:v>Normas sobre afiliación. Altas y bajas en el régimen general. Procedimiento y efectos. El convenio especial y otras situaciones asimiladas a la del alta. Encuadramiento e inscripción.</x:v>
      </x:c>
      <x:c r="V304" s="18" t="str">
        <x:v>notificación</x:v>
      </x:c>
      <x:c r="W304" s="18" t="str"/>
      <x:c r="X304" s="18" t="str">
        <x:v>63</x:v>
      </x:c>
      <x:c r="Y304" s="18" t="str">
        <x:v>Plazos</x:v>
      </x:c>
      <x:c r="Z304" s="18" t="str">
        <x:v>Media</x:v>
      </x:c>
      <x:c r="AA304" s="18" t="str">
        <x:v>notificación</x:v>
      </x:c>
      <x:c r="AB304" s="18" t="str"/>
      <x:c r="AC304" s="18" t="str"/>
      <x:c r="AD304" s="18" t="str">
        <x:v>No</x:v>
      </x:c>
      <x:c r="AE304" s="18" t="str">
        <x:v>Teórico</x:v>
      </x:c>
      <x:c r="AF304" s="18" t="str">
        <x:v>A</x:v>
      </x:c>
      <x:c r="AG304" s="18" t="str">
        <x:v>A</x:v>
      </x:c>
      <x:c r="AH304" s="18" t="str">
        <x:v>Válida</x:v>
      </x:c>
      <x:c r="AI304" s="18" t="str">
        <x:v>01. Información oficial de la oposición\Exámenes oficiales anteriores\2025 Convocatoria 2024 - Examen extraordinario acceso libre.pdf</x:v>
      </x:c>
      <x:c r="AJ304" s="18" t="str">
        <x:v>https://www.seg-social.es/wps/portal/wss/internet/InformacionUtil/9950/88beb45d-ca83-4bab-8162-f94ef2894562/7e46efac-32c8-4cf6-b3d3-d592c3560dff/rdpi_administrativos_2024</x:v>
      </x:c>
      <x:c r="AK304" s="18" t="str">
        <x:v>Texto PDF</x:v>
      </x:c>
      <x:c r="AL304" s="18" t="n">
        <x:v>100</x:v>
      </x:c>
      <x:c r="AM304" s="18" t="str">
        <x:v>Alta</x:v>
      </x:c>
      <x:c r="AN304" s="18" t="str">
        <x:v>Revisión jurídica individual</x:v>
      </x:c>
      <x:c r="AO304" s="18" t="str">
        <x:v>2025_conv2024_extraordinario-T30</x:v>
      </x:c>
      <x:c r="AP304" s="18" t="n">
        <x:v>1</x:v>
      </x:c>
    </x:row>
    <x:row r="305">
      <x:c r="A305" s="18" t="str">
        <x:v>2025_conv2024_extraordinario-T31</x:v>
      </x:c>
      <x:c r="B305" s="18" t="n">
        <x:v>2025</x:v>
      </x:c>
      <x:c r="C305" s="18" t="n">
        <x:v>2024</x:v>
      </x:c>
      <x:c r="D305" s="28" t="n">
        <x:v>45956</x:v>
      </x:c>
      <x:c r="E305" s="18" t="str">
        <x:v>Acceso libre</x:v>
      </x:c>
      <x:c r="F305" s="18" t="str">
        <x:v>Primera parte</x:v>
      </x:c>
      <x:c r="G305" s="18" t="str">
        <x:v>Extraordinario</x:v>
      </x:c>
      <x:c r="H305" s="18" t="str">
        <x:v>Único</x:v>
      </x:c>
      <x:c r="I305" s="18" t="str">
        <x:v>Sí</x:v>
      </x:c>
      <x:c r="J305" s="18" t="str">
        <x:v>Cuestionario extraordinario sin modelo paralelo.</x:v>
      </x:c>
      <x:c r="K305" s="18" t="n">
        <x:v>31</x:v>
      </x:c>
      <x:c r="L305" s="18" t="str">
        <x:v>No</x:v>
      </x:c>
      <x:c r="M305" s="18" t="str">
        <x:v>Según lo dispuesto en el artículo 49 del Real Decreto 84/1996, de 26 de enero, los trabajadores por cuenta propia incluidos en el Régimen Especial del Mar están obligados a proteger la incapacidad temporal derivada de contingencias comunes, las contingencias de accidentes de trabajo y enfermedades profesionales y el cese de actividad . ¿Con quién deberán proteger dichas contingencias?</x:v>
      </x:c>
      <x:c r="N305" s="18" t="str">
        <x:v>Con el Instituto Social de la Marina o con una mutua colaboradora con la Seguridad Social, cualquiera que sea su grupo de cotización.</x:v>
      </x:c>
      <x:c r="O305" s="18" t="str">
        <x:v>Con el Instituto Social de la Marina o con una mutua colaboradora con la Seguridad Social, excepto en el caso de los trabajadores incluidos en el grupo tercero de cotización, que deberán formalizar la protección de la incapacidad temporal derivada de contingencias comunes con el Instituto Social de la Marina.</x:v>
      </x:c>
      <x:c r="P305" s="18" t="str">
        <x:v>Con el Instituto Nacional de la Seguridad Social o con una mutua colaboradora con la Seguridad Social, cualquiera que sea su grupo de cotización.</x:v>
      </x:c>
      <x:c r="Q305" s="18" t="str">
        <x:v>Con una mutua colaboradora con la Seguridad Social, en todo caso.</x:v>
      </x:c>
      <x:c r="R305" s="18" t="str">
        <x:v>S02</x:v>
      </x:c>
      <x:c r="S305" s="18" t="n">
        <x:v>2</x:v>
      </x:c>
      <x:c r="T305" s="18" t="str">
        <x:v>Temario específico Seguridad Social</x:v>
      </x:c>
      <x:c r="U305" s="18" t="str">
        <x:v>Campo de aplicación y composición del sistema de la Seguridad Social. Régimen general: ámbito subjetivo de aplicación, inclusiones y exclusiones. Regímenes especiales: enumeración, características generales, altas, bajas y cotización. Particularidades de la acción protectora. Sistemas especiales: enumeración y características generales. Altas, bajas y cotización. Particularidades de la acción protectora.</x:v>
      </x:c>
      <x:c r="V305" s="18" t="str">
        <x:v>incapacidad temporal</x:v>
      </x:c>
      <x:c r="W305" s="18" t="str">
        <x:v>Real Decreto 84/1996</x:v>
      </x:c>
      <x:c r="X305" s="18" t="str">
        <x:v>49</x:v>
      </x:c>
      <x:c r="Y305" s="18" t="str">
        <x:v>Artículos literales</x:v>
      </x:c>
      <x:c r="Z305" s="18" t="str">
        <x:v>Alta</x:v>
      </x:c>
      <x:c r="AA305" s="18" t="str">
        <x:v>incapacidad temporal</x:v>
      </x:c>
      <x:c r="AB305" s="18" t="str"/>
      <x:c r="AC305" s="18" t="str"/>
      <x:c r="AD305" s="18" t="str">
        <x:v>No</x:v>
      </x:c>
      <x:c r="AE305" s="18" t="str">
        <x:v>Teórico</x:v>
      </x:c>
      <x:c r="AF305" s="18" t="str">
        <x:v>B</x:v>
      </x:c>
      <x:c r="AG305" s="18" t="str">
        <x:v>B</x:v>
      </x:c>
      <x:c r="AH305" s="18" t="str">
        <x:v>Válida</x:v>
      </x:c>
      <x:c r="AI305" s="18" t="str">
        <x:v>01. Información oficial de la oposición\Exámenes oficiales anteriores\2025 Convocatoria 2024 - Examen extraordinario acceso libre.pdf</x:v>
      </x:c>
      <x:c r="AJ305" s="18" t="str">
        <x:v>https://www.seg-social.es/wps/portal/wss/internet/InformacionUtil/9950/88beb45d-ca83-4bab-8162-f94ef2894562/7e46efac-32c8-4cf6-b3d3-d592c3560dff/rdpi_administrativos_2024</x:v>
      </x:c>
      <x:c r="AK305" s="18" t="str">
        <x:v>Texto PDF</x:v>
      </x:c>
      <x:c r="AL305" s="18" t="n">
        <x:v>100</x:v>
      </x:c>
      <x:c r="AM305" s="18" t="str">
        <x:v>Alta</x:v>
      </x:c>
      <x:c r="AN305" s="18" t="str">
        <x:v>Revisión jurídica individual</x:v>
      </x:c>
      <x:c r="AO305" s="18" t="str">
        <x:v>2025_conv2024_extraordinario-T31</x:v>
      </x:c>
      <x:c r="AP305" s="18" t="n">
        <x:v>1</x:v>
      </x:c>
    </x:row>
    <x:row r="306">
      <x:c r="A306" s="18" t="str">
        <x:v>2025_conv2024_extraordinario-T32</x:v>
      </x:c>
      <x:c r="B306" s="18" t="n">
        <x:v>2025</x:v>
      </x:c>
      <x:c r="C306" s="18" t="n">
        <x:v>2024</x:v>
      </x:c>
      <x:c r="D306" s="28" t="n">
        <x:v>45956</x:v>
      </x:c>
      <x:c r="E306" s="18" t="str">
        <x:v>Acceso libre</x:v>
      </x:c>
      <x:c r="F306" s="18" t="str">
        <x:v>Primera parte</x:v>
      </x:c>
      <x:c r="G306" s="18" t="str">
        <x:v>Extraordinario</x:v>
      </x:c>
      <x:c r="H306" s="18" t="str">
        <x:v>Único</x:v>
      </x:c>
      <x:c r="I306" s="18" t="str">
        <x:v>Sí</x:v>
      </x:c>
      <x:c r="J306" s="18" t="str">
        <x:v>Cuestionario extraordinario sin modelo paralelo.</x:v>
      </x:c>
      <x:c r="K306" s="18" t="n">
        <x:v>32</x:v>
      </x:c>
      <x:c r="L306" s="18" t="str">
        <x:v>No</x:v>
      </x:c>
      <x:c r="M306" s="18" t="str">
        <x:v>Conforme al artículo 26 de l texto refundido de la Ley General de la Seguridad Social , el derecho a la devolución de ingresos indebidos prescribirá:</x:v>
      </x:c>
      <x:c r="N306" s="18" t="str">
        <x:v>A los cuatro años, a contar desde el mismo día de su ingreso.</x:v>
      </x:c>
      <x:c r="O306" s="18" t="str">
        <x:v>A los cinco años, a contar desde el día siguiente al de su ingreso.</x:v>
      </x:c>
      <x:c r="P306" s="18" t="str">
        <x:v>A los cuatro años, a contar desde el siguiente al día de su ingreso.</x:v>
      </x:c>
      <x:c r="Q306" s="18" t="str">
        <x:v>A los cinco años, desde el mismo día de su ingreso.</x:v>
      </x:c>
      <x:c r="R306" s="18" t="str">
        <x:v>S05</x:v>
      </x:c>
      <x:c r="S306" s="18" t="n">
        <x:v>5</x:v>
      </x:c>
      <x:c r="T306" s="18" t="str">
        <x:v>Temario específico Seguridad Social</x:v>
      </x:c>
      <x:c r="U306" s="18" t="str">
        <x:v>La gestión recaudatoria: concepto, competencia y objeto. Responsables del pago. Requisitos para el pago. Medios de pago. Control de recaudación. Revisión de los actos de gestión recaudatoria. La recaudación en periodo voluntario. Efectos de la falta de cotización en período reglamentario. Recaudación de otros recursos. Aplazamientos. Devolución de ingresos indebidos. Capital coste de pensiones.</x:v>
      </x:c>
      <x:c r="V306" s="18" t="str">
        <x:v>S05</x:v>
      </x:c>
      <x:c r="W306" s="18" t="str">
        <x:v>texto refundido de la Ley General de la Seguridad Social</x:v>
      </x:c>
      <x:c r="X306" s="18" t="str">
        <x:v>26</x:v>
      </x:c>
      <x:c r="Y306" s="18" t="str">
        <x:v>Recaudación</x:v>
      </x:c>
      <x:c r="Z306" s="18" t="str">
        <x:v>Media</x:v>
      </x:c>
      <x:c r="AA306" s="18" t="str">
        <x:v>S05</x:v>
      </x:c>
      <x:c r="AB306" s="18" t="str"/>
      <x:c r="AC306" s="18" t="str"/>
      <x:c r="AD306" s="18" t="str">
        <x:v>No</x:v>
      </x:c>
      <x:c r="AE306" s="18" t="str">
        <x:v>Teórico</x:v>
      </x:c>
      <x:c r="AF306" s="18" t="str">
        <x:v>C</x:v>
      </x:c>
      <x:c r="AG306" s="18" t="str">
        <x:v>C</x:v>
      </x:c>
      <x:c r="AH306" s="18" t="str">
        <x:v>Válida</x:v>
      </x:c>
      <x:c r="AI306" s="18" t="str">
        <x:v>01. Información oficial de la oposición\Exámenes oficiales anteriores\2025 Convocatoria 2024 - Examen extraordinario acceso libre.pdf</x:v>
      </x:c>
      <x:c r="AJ306" s="18" t="str">
        <x:v>https://www.seg-social.es/wps/portal/wss/internet/InformacionUtil/9950/88beb45d-ca83-4bab-8162-f94ef2894562/7e46efac-32c8-4cf6-b3d3-d592c3560dff/rdpi_administrativos_2024</x:v>
      </x:c>
      <x:c r="AK306" s="18" t="str">
        <x:v>Texto PDF</x:v>
      </x:c>
      <x:c r="AL306" s="18" t="n">
        <x:v>100</x:v>
      </x:c>
      <x:c r="AM306" s="18" t="str">
        <x:v>Alta</x:v>
      </x:c>
      <x:c r="AN306" s="18" t="str">
        <x:v>Regla jurídica determinista</x:v>
      </x:c>
      <x:c r="AO306" s="18" t="str">
        <x:v>2025_conv2024_extraordinario-T32</x:v>
      </x:c>
      <x:c r="AP306" s="18" t="n">
        <x:v>1</x:v>
      </x:c>
    </x:row>
    <x:row r="307">
      <x:c r="A307" s="18" t="str">
        <x:v>2025_conv2024_extraordinario-T33</x:v>
      </x:c>
      <x:c r="B307" s="18" t="n">
        <x:v>2025</x:v>
      </x:c>
      <x:c r="C307" s="18" t="n">
        <x:v>2024</x:v>
      </x:c>
      <x:c r="D307" s="28" t="n">
        <x:v>45956</x:v>
      </x:c>
      <x:c r="E307" s="18" t="str">
        <x:v>Acceso libre</x:v>
      </x:c>
      <x:c r="F307" s="18" t="str">
        <x:v>Primera parte</x:v>
      </x:c>
      <x:c r="G307" s="18" t="str">
        <x:v>Extraordinario</x:v>
      </x:c>
      <x:c r="H307" s="18" t="str">
        <x:v>Único</x:v>
      </x:c>
      <x:c r="I307" s="18" t="str">
        <x:v>Sí</x:v>
      </x:c>
      <x:c r="J307" s="18" t="str">
        <x:v>Cuestionario extraordinario sin modelo paralelo.</x:v>
      </x:c>
      <x:c r="K307" s="18" t="n">
        <x:v>33</x:v>
      </x:c>
      <x:c r="L307" s="18" t="str">
        <x:v>No</x:v>
      </x:c>
      <x:c r="M307" s="18" t="str">
        <x:v>Según establece el artículo 8 del Reglamento General de Recaudación de la Seguridad Social, aprobado por el Real Decreto 1415/2004, de 11 de junio, cuando los plazos reglamentarios para el pago de las deudas con la Seguridad Social se señalen por días y no se indique otra cosa, se entenderán:</x:v>
      </x:c>
      <x:c r="N307" s="18" t="str">
        <x:v>Que son días naturales y si el último día del plazo es inhábil, se entenderá que finaliza el anterior día hábil del plazo.</x:v>
      </x:c>
      <x:c r="O307" s="18" t="str">
        <x:v>Que son días hábiles, excluyéndose del cómputo los sábados, domingos y festivos.</x:v>
      </x:c>
      <x:c r="P307" s="18" t="str">
        <x:v>Que son días naturales y si el último día del plazo es inhábil, se entenderá que finaliza el siguiente día hábil del plazo.</x:v>
      </x:c>
      <x:c r="Q307" s="18" t="str">
        <x:v>Que son días hábiles, incluyéndose en el cómputo los sábados.</x:v>
      </x:c>
      <x:c r="R307" s="18" t="str">
        <x:v>S05</x:v>
      </x:c>
      <x:c r="S307" s="18" t="n">
        <x:v>5</x:v>
      </x:c>
      <x:c r="T307" s="18" t="str">
        <x:v>Temario específico Seguridad Social</x:v>
      </x:c>
      <x:c r="U307" s="18" t="str">
        <x:v>La gestión recaudatoria: concepto, competencia y objeto. Responsables del pago. Requisitos para el pago. Medios de pago. Control de recaudación. Revisión de los actos de gestión recaudatoria. La recaudación en periodo voluntario. Efectos de la falta de cotización en período reglamentario. Recaudación de otros recursos. Aplazamientos. Devolución de ingresos indebidos. Capital coste de pensiones.</x:v>
      </x:c>
      <x:c r="V307" s="18" t="str">
        <x:v>S05</x:v>
      </x:c>
      <x:c r="W307" s="18" t="str">
        <x:v>Real Decreto 1415/2004</x:v>
      </x:c>
      <x:c r="X307" s="18" t="str">
        <x:v>8</x:v>
      </x:c>
      <x:c r="Y307" s="18" t="str">
        <x:v>Plazos</x:v>
      </x:c>
      <x:c r="Z307" s="18" t="str">
        <x:v>Media</x:v>
      </x:c>
      <x:c r="AA307" s="18" t="str">
        <x:v>S05</x:v>
      </x:c>
      <x:c r="AB307" s="18" t="str"/>
      <x:c r="AC307" s="18" t="str"/>
      <x:c r="AD307" s="18" t="str">
        <x:v>No</x:v>
      </x:c>
      <x:c r="AE307" s="18" t="str">
        <x:v>Teórico</x:v>
      </x:c>
      <x:c r="AF307" s="18" t="str">
        <x:v>B</x:v>
      </x:c>
      <x:c r="AG307" s="18" t="str">
        <x:v>B</x:v>
      </x:c>
      <x:c r="AH307" s="18" t="str">
        <x:v>Válida</x:v>
      </x:c>
      <x:c r="AI307" s="18" t="str">
        <x:v>01. Información oficial de la oposición\Exámenes oficiales anteriores\2025 Convocatoria 2024 - Examen extraordinario acceso libre.pdf</x:v>
      </x:c>
      <x:c r="AJ307" s="18" t="str">
        <x:v>https://www.seg-social.es/wps/portal/wss/internet/InformacionUtil/9950/88beb45d-ca83-4bab-8162-f94ef2894562/7e46efac-32c8-4cf6-b3d3-d592c3560dff/rdpi_administrativos_2024</x:v>
      </x:c>
      <x:c r="AK307" s="18" t="str">
        <x:v>Texto PDF</x:v>
      </x:c>
      <x:c r="AL307" s="18" t="n">
        <x:v>100</x:v>
      </x:c>
      <x:c r="AM307" s="18" t="str">
        <x:v>Alta</x:v>
      </x:c>
      <x:c r="AN307" s="18" t="str">
        <x:v>Regla jurídica determinista</x:v>
      </x:c>
      <x:c r="AO307" s="18" t="str">
        <x:v>2025_conv2024_extraordinario-T33</x:v>
      </x:c>
      <x:c r="AP307" s="18" t="n">
        <x:v>1</x:v>
      </x:c>
    </x:row>
    <x:row r="308">
      <x:c r="A308" s="18" t="str">
        <x:v>2025_conv2024_extraordinario-T34</x:v>
      </x:c>
      <x:c r="B308" s="18" t="n">
        <x:v>2025</x:v>
      </x:c>
      <x:c r="C308" s="18" t="n">
        <x:v>2024</x:v>
      </x:c>
      <x:c r="D308" s="28" t="n">
        <x:v>45956</x:v>
      </x:c>
      <x:c r="E308" s="18" t="str">
        <x:v>Acceso libre</x:v>
      </x:c>
      <x:c r="F308" s="18" t="str">
        <x:v>Primera parte</x:v>
      </x:c>
      <x:c r="G308" s="18" t="str">
        <x:v>Extraordinario</x:v>
      </x:c>
      <x:c r="H308" s="18" t="str">
        <x:v>Único</x:v>
      </x:c>
      <x:c r="I308" s="18" t="str">
        <x:v>Sí</x:v>
      </x:c>
      <x:c r="J308" s="18" t="str">
        <x:v>Cuestionario extraordinario sin modelo paralelo.</x:v>
      </x:c>
      <x:c r="K308" s="18" t="n">
        <x:v>34</x:v>
      </x:c>
      <x:c r="L308" s="18" t="str">
        <x:v>No</x:v>
      </x:c>
      <x:c r="M308" s="18" t="str">
        <x:v>El pago de las deudas a la Seguridad Social conforme establece el artículo 21 del Reglamento General de Recaudación de la Seguridad Social, aprobado por el Real Decreto 1415/20 04, de 11 de junio, además de por cualquier otro medio de pago autorizado por la Tesorería General de la Seguridad Social, deberá de realizarse:</x:v>
      </x:c>
      <x:c r="N308" s="18" t="str">
        <x:v>En efectivo, mediante dinero de curso legal, cheque, giro postal, transferencia o domiciliación bancaria.</x:v>
      </x:c>
      <x:c r="O308" s="18" t="str">
        <x:v>En efectivo, mediante dinero de curso legal, cheque, letra de cambio, transferencia o domiciliación bancaria.</x:v>
      </x:c>
      <x:c r="P308" s="18" t="str">
        <x:v>En efectivo, mediante dinero de curso legal, cheque, pagaré, transferencia o domiciliación bancaria.</x:v>
      </x:c>
      <x:c r="Q308" s="18" t="str">
        <x:v>En efectivo, mediante dinero de curso legal, cheque, transferencia o domiciliación bancaria.</x:v>
      </x:c>
      <x:c r="R308" s="18" t="str">
        <x:v>S05</x:v>
      </x:c>
      <x:c r="S308" s="18" t="n">
        <x:v>5</x:v>
      </x:c>
      <x:c r="T308" s="18" t="str">
        <x:v>Temario específico Seguridad Social</x:v>
      </x:c>
      <x:c r="U308" s="18" t="str">
        <x:v>La gestión recaudatoria: concepto, competencia y objeto. Responsables del pago. Requisitos para el pago. Medios de pago. Control de recaudación. Revisión de los actos de gestión recaudatoria. La recaudación en periodo voluntario. Efectos de la falta de cotización en período reglamentario. Recaudación de otros recursos. Aplazamientos. Devolución de ingresos indebidos. Capital coste de pensiones.</x:v>
      </x:c>
      <x:c r="V308" s="18" t="str">
        <x:v>S05</x:v>
      </x:c>
      <x:c r="W308" s="18" t="str"/>
      <x:c r="X308" s="18" t="str">
        <x:v>21</x:v>
      </x:c>
      <x:c r="Y308" s="18" t="str">
        <x:v>Recaudación</x:v>
      </x:c>
      <x:c r="Z308" s="18" t="str">
        <x:v>Alta</x:v>
      </x:c>
      <x:c r="AA308" s="18" t="str">
        <x:v>S05</x:v>
      </x:c>
      <x:c r="AB308" s="18" t="str">
        <x:v>Tesorería General de la Seguridad Social</x:v>
      </x:c>
      <x:c r="AC308" s="18" t="str"/>
      <x:c r="AD308" s="18" t="str">
        <x:v>No</x:v>
      </x:c>
      <x:c r="AE308" s="18" t="str">
        <x:v>Teórico</x:v>
      </x:c>
      <x:c r="AF308" s="18" t="str">
        <x:v>D</x:v>
      </x:c>
      <x:c r="AG308" s="18" t="str">
        <x:v>D</x:v>
      </x:c>
      <x:c r="AH308" s="18" t="str">
        <x:v>Válida</x:v>
      </x:c>
      <x:c r="AI308" s="18" t="str">
        <x:v>01. Información oficial de la oposición\Exámenes oficiales anteriores\2025 Convocatoria 2024 - Examen extraordinario acceso libre.pdf</x:v>
      </x:c>
      <x:c r="AJ308" s="18" t="str">
        <x:v>https://www.seg-social.es/wps/portal/wss/internet/InformacionUtil/9950/88beb45d-ca83-4bab-8162-f94ef2894562/7e46efac-32c8-4cf6-b3d3-d592c3560dff/rdpi_administrativos_2024</x:v>
      </x:c>
      <x:c r="AK308" s="18" t="str">
        <x:v>Texto PDF</x:v>
      </x:c>
      <x:c r="AL308" s="18" t="n">
        <x:v>100</x:v>
      </x:c>
      <x:c r="AM308" s="18" t="str">
        <x:v>Alta</x:v>
      </x:c>
      <x:c r="AN308" s="18" t="str">
        <x:v>Regla jurídica determinista</x:v>
      </x:c>
      <x:c r="AO308" s="18" t="str">
        <x:v>2025_conv2024_extraordinario-T34</x:v>
      </x:c>
      <x:c r="AP308" s="18" t="n">
        <x:v>1</x:v>
      </x:c>
    </x:row>
    <x:row r="309">
      <x:c r="A309" s="18" t="str">
        <x:v>2025_conv2024_extraordinario-T35</x:v>
      </x:c>
      <x:c r="B309" s="18" t="n">
        <x:v>2025</x:v>
      </x:c>
      <x:c r="C309" s="18" t="n">
        <x:v>2024</x:v>
      </x:c>
      <x:c r="D309" s="28" t="n">
        <x:v>45956</x:v>
      </x:c>
      <x:c r="E309" s="18" t="str">
        <x:v>Acceso libre</x:v>
      </x:c>
      <x:c r="F309" s="18" t="str">
        <x:v>Primera parte</x:v>
      </x:c>
      <x:c r="G309" s="18" t="str">
        <x:v>Extraordinario</x:v>
      </x:c>
      <x:c r="H309" s="18" t="str">
        <x:v>Único</x:v>
      </x:c>
      <x:c r="I309" s="18" t="str">
        <x:v>Sí</x:v>
      </x:c>
      <x:c r="J309" s="18" t="str">
        <x:v>Cuestionario extraordinario sin modelo paralelo.</x:v>
      </x:c>
      <x:c r="K309" s="18" t="n">
        <x:v>35</x:v>
      </x:c>
      <x:c r="L309" s="18" t="str">
        <x:v>No</x:v>
      </x:c>
      <x:c r="M309" s="18" t="str">
        <x:v>El artículo 35 del Reglamento General de Recaudación de la Seguridad Social, aprobado por el Real Decreto 1415/20 04, de 11 de junio, establece que en general dará lugar a la denegación de la solicitud de aplazamiento que el importe de la deuda aplazable no supere:</x:v>
      </x:c>
      <x:c r="N309" s="18" t="str">
        <x:v>El doble del salario mínimo interprofesional mensual vigente al momento de la solicitud.</x:v>
      </x:c>
      <x:c r="O309" s="18" t="str">
        <x:v>El doble del Indicador Público de Rentas de Efectos Múltiples mensual vigente al momento de la solicitud.</x:v>
      </x:c>
      <x:c r="P309" s="18" t="str">
        <x:v>El salario mínimo interprofesional anual vigente al momento de la solicitud.</x:v>
      </x:c>
      <x:c r="Q309" s="18" t="str">
        <x:v>El Indicador Público de Rentas de Efectos Múltiples anual vigente al momento de la solicitud.</x:v>
      </x:c>
      <x:c r="R309" s="18" t="str">
        <x:v>S05</x:v>
      </x:c>
      <x:c r="S309" s="18" t="n">
        <x:v>5</x:v>
      </x:c>
      <x:c r="T309" s="18" t="str">
        <x:v>Temario específico Seguridad Social</x:v>
      </x:c>
      <x:c r="U309" s="18" t="str">
        <x:v>La gestión recaudatoria: concepto, competencia y objeto. Responsables del pago. Requisitos para el pago. Medios de pago. Control de recaudación. Revisión de los actos de gestión recaudatoria. La recaudación en periodo voluntario. Efectos de la falta de cotización en período reglamentario. Recaudación de otros recursos. Aplazamientos. Devolución de ingresos indebidos. Capital coste de pensiones.</x:v>
      </x:c>
      <x:c r="V309" s="18" t="str">
        <x:v>aplazamiento</x:v>
      </x:c>
      <x:c r="W309" s="18" t="str"/>
      <x:c r="X309" s="18" t="str">
        <x:v>35</x:v>
      </x:c>
      <x:c r="Y309" s="18" t="str">
        <x:v>Cálculos</x:v>
      </x:c>
      <x:c r="Z309" s="18" t="str">
        <x:v>Media</x:v>
      </x:c>
      <x:c r="AA309" s="18" t="str">
        <x:v>aplazamiento</x:v>
      </x:c>
      <x:c r="AB309" s="18" t="str"/>
      <x:c r="AC309" s="18" t="str"/>
      <x:c r="AD309" s="18" t="str">
        <x:v>No</x:v>
      </x:c>
      <x:c r="AE309" s="18" t="str">
        <x:v>Teórico</x:v>
      </x:c>
      <x:c r="AF309" s="18" t="str">
        <x:v>A</x:v>
      </x:c>
      <x:c r="AG309" s="18" t="str">
        <x:v>A</x:v>
      </x:c>
      <x:c r="AH309" s="18" t="str">
        <x:v>Válida</x:v>
      </x:c>
      <x:c r="AI309" s="18" t="str">
        <x:v>01. Información oficial de la oposición\Exámenes oficiales anteriores\2025 Convocatoria 2024 - Examen extraordinario acceso libre.pdf</x:v>
      </x:c>
      <x:c r="AJ309" s="18" t="str">
        <x:v>https://www.seg-social.es/wps/portal/wss/internet/InformacionUtil/9950/88beb45d-ca83-4bab-8162-f94ef2894562/7e46efac-32c8-4cf6-b3d3-d592c3560dff/rdpi_administrativos_2024</x:v>
      </x:c>
      <x:c r="AK309" s="18" t="str">
        <x:v>Texto PDF</x:v>
      </x:c>
      <x:c r="AL309" s="18" t="n">
        <x:v>100</x:v>
      </x:c>
      <x:c r="AM309" s="18" t="str">
        <x:v>Alta</x:v>
      </x:c>
      <x:c r="AN309" s="18" t="str">
        <x:v>Regla jurídica determinista</x:v>
      </x:c>
      <x:c r="AO309" s="18" t="str">
        <x:v>2025_conv2024_extraordinario-T35</x:v>
      </x:c>
      <x:c r="AP309" s="18" t="n">
        <x:v>1</x:v>
      </x:c>
    </x:row>
    <x:row r="310">
      <x:c r="A310" s="18" t="str">
        <x:v>2025_conv2024_extraordinario-T36</x:v>
      </x:c>
      <x:c r="B310" s="18" t="n">
        <x:v>2025</x:v>
      </x:c>
      <x:c r="C310" s="18" t="n">
        <x:v>2024</x:v>
      </x:c>
      <x:c r="D310" s="28" t="n">
        <x:v>45956</x:v>
      </x:c>
      <x:c r="E310" s="18" t="str">
        <x:v>Acceso libre</x:v>
      </x:c>
      <x:c r="F310" s="18" t="str">
        <x:v>Primera parte</x:v>
      </x:c>
      <x:c r="G310" s="18" t="str">
        <x:v>Extraordinario</x:v>
      </x:c>
      <x:c r="H310" s="18" t="str">
        <x:v>Único</x:v>
      </x:c>
      <x:c r="I310" s="18" t="str">
        <x:v>Sí</x:v>
      </x:c>
      <x:c r="J310" s="18" t="str">
        <x:v>Cuestionario extraordinario sin modelo paralelo.</x:v>
      </x:c>
      <x:c r="K310" s="18" t="n">
        <x:v>36</x:v>
      </x:c>
      <x:c r="L310" s="18" t="str">
        <x:v>No</x:v>
      </x:c>
      <x:c r="M310" s="18" t="str">
        <x:v>Tal y como establece el artículo 13 del Reglamento General de Recaudación de la Seguridad Social, aprobado por el Real Decreto 1415/20 04, de 11 de junio, el plazo máximo para notificar la reclamación de deuda por derivación de responsabilidad solidaria, a contar desde el día siguiente a la fecha del acuerdo de iniciación, será de:</x:v>
      </x:c>
      <x:c r="N310" s="18" t="str">
        <x:v>Dieciocho meses.</x:v>
      </x:c>
      <x:c r="O310" s="18" t="str">
        <x:v>Doce meses.</x:v>
      </x:c>
      <x:c r="P310" s="18" t="str">
        <x:v>Nueve meses.</x:v>
      </x:c>
      <x:c r="Q310" s="18" t="str">
        <x:v>Seis meses.</x:v>
      </x:c>
      <x:c r="R310" s="18" t="str">
        <x:v>S05</x:v>
      </x:c>
      <x:c r="S310" s="18" t="n">
        <x:v>5</x:v>
      </x:c>
      <x:c r="T310" s="18" t="str">
        <x:v>Temario específico Seguridad Social</x:v>
      </x:c>
      <x:c r="U310" s="18" t="str">
        <x:v>La gestión recaudatoria: concepto, competencia y objeto. Responsables del pago. Requisitos para el pago. Medios de pago. Control de recaudación. Revisión de los actos de gestión recaudatoria. La recaudación en periodo voluntario. Efectos de la falta de cotización en período reglamentario. Recaudación de otros recursos. Aplazamientos. Devolución de ingresos indebidos. Capital coste de pensiones.</x:v>
      </x:c>
      <x:c r="V310" s="18" t="str">
        <x:v>S05</x:v>
      </x:c>
      <x:c r="W310" s="18" t="str"/>
      <x:c r="X310" s="18" t="str">
        <x:v>13</x:v>
      </x:c>
      <x:c r="Y310" s="18" t="str">
        <x:v>Plazos</x:v>
      </x:c>
      <x:c r="Z310" s="18" t="str">
        <x:v>Alta</x:v>
      </x:c>
      <x:c r="AA310" s="18" t="str">
        <x:v>S05</x:v>
      </x:c>
      <x:c r="AB310" s="18" t="str"/>
      <x:c r="AC310" s="18" t="str"/>
      <x:c r="AD310" s="18" t="str">
        <x:v>No</x:v>
      </x:c>
      <x:c r="AE310" s="18" t="str">
        <x:v>Teórico</x:v>
      </x:c>
      <x:c r="AF310" s="18" t="str">
        <x:v>D</x:v>
      </x:c>
      <x:c r="AG310" s="18" t="str">
        <x:v>D</x:v>
      </x:c>
      <x:c r="AH310" s="18" t="str">
        <x:v>Válida</x:v>
      </x:c>
      <x:c r="AI310" s="18" t="str">
        <x:v>01. Información oficial de la oposición\Exámenes oficiales anteriores\2025 Convocatoria 2024 - Examen extraordinario acceso libre.pdf</x:v>
      </x:c>
      <x:c r="AJ310" s="18" t="str">
        <x:v>https://www.seg-social.es/wps/portal/wss/internet/InformacionUtil/9950/88beb45d-ca83-4bab-8162-f94ef2894562/7e46efac-32c8-4cf6-b3d3-d592c3560dff/rdpi_administrativos_2024</x:v>
      </x:c>
      <x:c r="AK310" s="18" t="str">
        <x:v>Texto PDF</x:v>
      </x:c>
      <x:c r="AL310" s="18" t="n">
        <x:v>100</x:v>
      </x:c>
      <x:c r="AM310" s="18" t="str">
        <x:v>Alta</x:v>
      </x:c>
      <x:c r="AN310" s="18" t="str">
        <x:v>Regla jurídica determinista</x:v>
      </x:c>
      <x:c r="AO310" s="18" t="str">
        <x:v>2025_conv2024_extraordinario-T36</x:v>
      </x:c>
      <x:c r="AP310" s="18" t="n">
        <x:v>1</x:v>
      </x:c>
    </x:row>
    <x:row r="311">
      <x:c r="A311" s="18" t="str">
        <x:v>2025_conv2024_extraordinario-T37</x:v>
      </x:c>
      <x:c r="B311" s="18" t="n">
        <x:v>2025</x:v>
      </x:c>
      <x:c r="C311" s="18" t="n">
        <x:v>2024</x:v>
      </x:c>
      <x:c r="D311" s="28" t="n">
        <x:v>45956</x:v>
      </x:c>
      <x:c r="E311" s="18" t="str">
        <x:v>Acceso libre</x:v>
      </x:c>
      <x:c r="F311" s="18" t="str">
        <x:v>Primera parte</x:v>
      </x:c>
      <x:c r="G311" s="18" t="str">
        <x:v>Extraordinario</x:v>
      </x:c>
      <x:c r="H311" s="18" t="str">
        <x:v>Único</x:v>
      </x:c>
      <x:c r="I311" s="18" t="str">
        <x:v>Sí</x:v>
      </x:c>
      <x:c r="J311" s="18" t="str">
        <x:v>Cuestionario extraordinario sin modelo paralelo.</x:v>
      </x:c>
      <x:c r="K311" s="18" t="n">
        <x:v>37</x:v>
      </x:c>
      <x:c r="L311" s="18" t="str">
        <x:v>No</x:v>
      </x:c>
      <x:c r="M311" s="18" t="str">
        <x:v>El artículo 46 del Reglamento General de Recaudación de la Seguridad Social, aprobado por el Real Decreto 1415/2004, de 11 de junio, establece que l as Administraciones públicas y las entidades y organismos de ellas dependientes frente a los actos de gestión recaudatoria de la Tesorería General de la Seguridad Social:</x:v>
      </x:c>
      <x:c r="N311" s="18" t="str">
        <x:v>Podrán formular exclusivamente recurso administrativo de alzada.</x:v>
      </x:c>
      <x:c r="O311" s="18" t="str">
        <x:v>No podrán formular recurso administrativo.</x:v>
      </x:c>
      <x:c r="P311" s="18" t="str">
        <x:v>Podrán formular exclusivamente recurso administrativo de reposición.</x:v>
      </x:c>
      <x:c r="Q311" s="18" t="str">
        <x:v>Podrán formular recurso administrativo de alzada y de reposición.</x:v>
      </x:c>
      <x:c r="R311" s="18" t="str">
        <x:v>S05</x:v>
      </x:c>
      <x:c r="S311" s="18" t="n">
        <x:v>5</x:v>
      </x:c>
      <x:c r="T311" s="18" t="str">
        <x:v>Temario específico Seguridad Social</x:v>
      </x:c>
      <x:c r="U311" s="18" t="str">
        <x:v>La gestión recaudatoria: concepto, competencia y objeto. Responsables del pago. Requisitos para el pago. Medios de pago. Control de recaudación. Revisión de los actos de gestión recaudatoria. La recaudación en periodo voluntario. Efectos de la falta de cotización en período reglamentario. Recaudación de otros recursos. Aplazamientos. Devolución de ingresos indebidos. Capital coste de pensiones.</x:v>
      </x:c>
      <x:c r="V311" s="18" t="str">
        <x:v>S05</x:v>
      </x:c>
      <x:c r="W311" s="18" t="str">
        <x:v>Real Decreto 1415/2004</x:v>
      </x:c>
      <x:c r="X311" s="18" t="str">
        <x:v>46</x:v>
      </x:c>
      <x:c r="Y311" s="18" t="str">
        <x:v>Recaudación</x:v>
      </x:c>
      <x:c r="Z311" s="18" t="str">
        <x:v>Media</x:v>
      </x:c>
      <x:c r="AA311" s="18" t="str">
        <x:v>S05</x:v>
      </x:c>
      <x:c r="AB311" s="18" t="str">
        <x:v>Tesorería General de la Seguridad Social; ISM</x:v>
      </x:c>
      <x:c r="AC311" s="18" t="str"/>
      <x:c r="AD311" s="18" t="str">
        <x:v>No</x:v>
      </x:c>
      <x:c r="AE311" s="18" t="str">
        <x:v>Teórico</x:v>
      </x:c>
      <x:c r="AF311" s="18" t="str">
        <x:v>B</x:v>
      </x:c>
      <x:c r="AG311" s="18" t="str">
        <x:v>B</x:v>
      </x:c>
      <x:c r="AH311" s="18" t="str">
        <x:v>Válida</x:v>
      </x:c>
      <x:c r="AI311" s="18" t="str">
        <x:v>01. Información oficial de la oposición\Exámenes oficiales anteriores\2025 Convocatoria 2024 - Examen extraordinario acceso libre.pdf</x:v>
      </x:c>
      <x:c r="AJ311" s="18" t="str">
        <x:v>https://www.seg-social.es/wps/portal/wss/internet/InformacionUtil/9950/88beb45d-ca83-4bab-8162-f94ef2894562/7e46efac-32c8-4cf6-b3d3-d592c3560dff/rdpi_administrativos_2024</x:v>
      </x:c>
      <x:c r="AK311" s="18" t="str">
        <x:v>Texto PDF</x:v>
      </x:c>
      <x:c r="AL311" s="18" t="n">
        <x:v>100</x:v>
      </x:c>
      <x:c r="AM311" s="18" t="str">
        <x:v>Alta</x:v>
      </x:c>
      <x:c r="AN311" s="18" t="str">
        <x:v>Regla jurídica determinista</x:v>
      </x:c>
      <x:c r="AO311" s="18" t="str">
        <x:v>2025_conv2024_extraordinario-T37</x:v>
      </x:c>
      <x:c r="AP311" s="18" t="n">
        <x:v>1</x:v>
      </x:c>
    </x:row>
    <x:row r="312">
      <x:c r="A312" s="18" t="str">
        <x:v>2025_conv2024_extraordinario-T38</x:v>
      </x:c>
      <x:c r="B312" s="18" t="n">
        <x:v>2025</x:v>
      </x:c>
      <x:c r="C312" s="18" t="n">
        <x:v>2024</x:v>
      </x:c>
      <x:c r="D312" s="28" t="n">
        <x:v>45956</x:v>
      </x:c>
      <x:c r="E312" s="18" t="str">
        <x:v>Acceso libre</x:v>
      </x:c>
      <x:c r="F312" s="18" t="str">
        <x:v>Primera parte</x:v>
      </x:c>
      <x:c r="G312" s="18" t="str">
        <x:v>Extraordinario</x:v>
      </x:c>
      <x:c r="H312" s="18" t="str">
        <x:v>Único</x:v>
      </x:c>
      <x:c r="I312" s="18" t="str">
        <x:v>Sí</x:v>
      </x:c>
      <x:c r="J312" s="18" t="str">
        <x:v>Cuestionario extraordinario sin modelo paralelo.</x:v>
      </x:c>
      <x:c r="K312" s="18" t="n">
        <x:v>38</x:v>
      </x:c>
      <x:c r="L312" s="18" t="str">
        <x:v>No</x:v>
      </x:c>
      <x:c r="M312" s="18" t="str">
        <x:v>Conforme al artículo 121 del Reglamento General de Recaudación de la Seguridad Social, aprobado por el Real Decreto 1415/20 04, de 11 de junio, l a dirección provincial de la Tesorería General de la Seguridad Social podrá ejercitar derecho de tanteo con anterioridad a la emisión del certificado de adjudicación o de la escritura pública de venta y en el plazo máximo de:</x:v>
      </x:c>
      <x:c r="N312" s="18" t="str">
        <x:v>5 días.</x:v>
      </x:c>
      <x:c r="O312" s="18" t="str">
        <x:v>15 días.</x:v>
      </x:c>
      <x:c r="P312" s="18" t="str">
        <x:v>20 días.</x:v>
      </x:c>
      <x:c r="Q312" s="18" t="str">
        <x:v>30 días.</x:v>
      </x:c>
      <x:c r="R312" s="18" t="str">
        <x:v>S06</x:v>
      </x:c>
      <x:c r="S312" s="18" t="n">
        <x:v>6</x:v>
      </x:c>
      <x:c r="T312" s="18" t="str">
        <x:v>Temario específico Seguridad Social</x:v>
      </x:c>
      <x:c r="U312" s="18" t="str">
        <x:v>La recaudación en vía ejecutiva. Normas generales. Iniciación y título ejecutivo. La providencia de apremio. Oposición y efectos. El embargo de bienes. Enajenación de bienes: modalidades. Créditos incobrables. Tercerías.</x:v>
      </x:c>
      <x:c r="V312" s="18" t="str">
        <x:v>S06</x:v>
      </x:c>
      <x:c r="W312" s="18" t="str"/>
      <x:c r="X312" s="18" t="str">
        <x:v>121</x:v>
      </x:c>
      <x:c r="Y312" s="18" t="str">
        <x:v>Plazos</x:v>
      </x:c>
      <x:c r="Z312" s="18" t="str">
        <x:v>Alta</x:v>
      </x:c>
      <x:c r="AA312" s="18" t="str">
        <x:v>S06</x:v>
      </x:c>
      <x:c r="AB312" s="18" t="str">
        <x:v>Tesorería General de la Seguridad Social</x:v>
      </x:c>
      <x:c r="AC312" s="18" t="str"/>
      <x:c r="AD312" s="18" t="str">
        <x:v>No</x:v>
      </x:c>
      <x:c r="AE312" s="18" t="str">
        <x:v>Teórico</x:v>
      </x:c>
      <x:c r="AF312" s="18" t="str">
        <x:v>D</x:v>
      </x:c>
      <x:c r="AG312" s="18" t="str">
        <x:v>D</x:v>
      </x:c>
      <x:c r="AH312" s="18" t="str">
        <x:v>Válida</x:v>
      </x:c>
      <x:c r="AI312" s="18" t="str">
        <x:v>01. Información oficial de la oposición\Exámenes oficiales anteriores\2025 Convocatoria 2024 - Examen extraordinario acceso libre.pdf</x:v>
      </x:c>
      <x:c r="AJ312" s="18" t="str">
        <x:v>https://www.seg-social.es/wps/portal/wss/internet/InformacionUtil/9950/88beb45d-ca83-4bab-8162-f94ef2894562/7e46efac-32c8-4cf6-b3d3-d592c3560dff/rdpi_administrativos_2024</x:v>
      </x:c>
      <x:c r="AK312" s="18" t="str">
        <x:v>Texto PDF</x:v>
      </x:c>
      <x:c r="AL312" s="18" t="n">
        <x:v>100</x:v>
      </x:c>
      <x:c r="AM312" s="18" t="str">
        <x:v>Alta</x:v>
      </x:c>
      <x:c r="AN312" s="18" t="str">
        <x:v>Regla jurídica determinista</x:v>
      </x:c>
      <x:c r="AO312" s="18" t="str">
        <x:v>2025_conv2024_extraordinario-T38</x:v>
      </x:c>
      <x:c r="AP312" s="18" t="n">
        <x:v>1</x:v>
      </x:c>
    </x:row>
    <x:row r="313">
      <x:c r="A313" s="18" t="str">
        <x:v>2025_conv2024_extraordinario-T39</x:v>
      </x:c>
      <x:c r="B313" s="18" t="n">
        <x:v>2025</x:v>
      </x:c>
      <x:c r="C313" s="18" t="n">
        <x:v>2024</x:v>
      </x:c>
      <x:c r="D313" s="28" t="n">
        <x:v>45956</x:v>
      </x:c>
      <x:c r="E313" s="18" t="str">
        <x:v>Acceso libre</x:v>
      </x:c>
      <x:c r="F313" s="18" t="str">
        <x:v>Primera parte</x:v>
      </x:c>
      <x:c r="G313" s="18" t="str">
        <x:v>Extraordinario</x:v>
      </x:c>
      <x:c r="H313" s="18" t="str">
        <x:v>Único</x:v>
      </x:c>
      <x:c r="I313" s="18" t="str">
        <x:v>Sí</x:v>
      </x:c>
      <x:c r="J313" s="18" t="str">
        <x:v>Cuestionario extraordinario sin modelo paralelo.</x:v>
      </x:c>
      <x:c r="K313" s="18" t="n">
        <x:v>39</x:v>
      </x:c>
      <x:c r="L313" s="18" t="str">
        <x:v>No</x:v>
      </x:c>
      <x:c r="M313" s="18" t="str">
        <x:v>Según dispone el artículo 87 del Reglamento General de Recaudación de la Seguridad Social, aprobado por el Real Decreto 1415/2004, de 11 de junio, la previsión de costas nunca podrá superar el:</x:v>
      </x:c>
      <x:c r="N313" s="18" t="str">
        <x:v>Tres por ciento del importe de la deuda.</x:v>
      </x:c>
      <x:c r="O313" s="18" t="str">
        <x:v>Cinco por ciento del importe de la deuda.</x:v>
      </x:c>
      <x:c r="P313" s="18" t="str">
        <x:v>Diez por ciento del importe de la deuda.</x:v>
      </x:c>
      <x:c r="Q313" s="18" t="str">
        <x:v>Quince por ciento del importe de la deuda.</x:v>
      </x:c>
      <x:c r="R313" s="18" t="str">
        <x:v>S06</x:v>
      </x:c>
      <x:c r="S313" s="18" t="n">
        <x:v>6</x:v>
      </x:c>
      <x:c r="T313" s="18" t="str">
        <x:v>Temario específico Seguridad Social</x:v>
      </x:c>
      <x:c r="U313" s="18" t="str">
        <x:v>La recaudación en vía ejecutiva. Normas generales. Iniciación y título ejecutivo. La providencia de apremio. Oposición y efectos. El embargo de bienes. Enajenación de bienes: modalidades. Créditos incobrables. Tercerías.</x:v>
      </x:c>
      <x:c r="V313" s="18" t="str">
        <x:v>S06</x:v>
      </x:c>
      <x:c r="W313" s="18" t="str">
        <x:v>Real Decreto 1415/2004</x:v>
      </x:c>
      <x:c r="X313" s="18" t="str">
        <x:v>87</x:v>
      </x:c>
      <x:c r="Y313" s="18" t="str">
        <x:v>Recaudación ejecutiva</x:v>
      </x:c>
      <x:c r="Z313" s="18" t="str">
        <x:v>Media</x:v>
      </x:c>
      <x:c r="AA313" s="18" t="str">
        <x:v>S06</x:v>
      </x:c>
      <x:c r="AB313" s="18" t="str"/>
      <x:c r="AC313" s="18" t="str"/>
      <x:c r="AD313" s="18" t="str">
        <x:v>No</x:v>
      </x:c>
      <x:c r="AE313" s="18" t="str">
        <x:v>Teórico</x:v>
      </x:c>
      <x:c r="AF313" s="18" t="str">
        <x:v>A</x:v>
      </x:c>
      <x:c r="AG313" s="18" t="str">
        <x:v>A</x:v>
      </x:c>
      <x:c r="AH313" s="18" t="str">
        <x:v>Válida</x:v>
      </x:c>
      <x:c r="AI313" s="18" t="str">
        <x:v>01. Información oficial de la oposición\Exámenes oficiales anteriores\2025 Convocatoria 2024 - Examen extraordinario acceso libre.pdf</x:v>
      </x:c>
      <x:c r="AJ313" s="18" t="str">
        <x:v>https://www.seg-social.es/wps/portal/wss/internet/InformacionUtil/9950/88beb45d-ca83-4bab-8162-f94ef2894562/7e46efac-32c8-4cf6-b3d3-d592c3560dff/rdpi_administrativos_2024</x:v>
      </x:c>
      <x:c r="AK313" s="18" t="str">
        <x:v>Texto PDF</x:v>
      </x:c>
      <x:c r="AL313" s="18" t="n">
        <x:v>100</x:v>
      </x:c>
      <x:c r="AM313" s="18" t="str">
        <x:v>Alta</x:v>
      </x:c>
      <x:c r="AN313" s="18" t="str">
        <x:v>Regla jurídica determinista</x:v>
      </x:c>
      <x:c r="AO313" s="18" t="str">
        <x:v>2025_conv2024_extraordinario-T39</x:v>
      </x:c>
      <x:c r="AP313" s="18" t="n">
        <x:v>1</x:v>
      </x:c>
    </x:row>
    <x:row r="314">
      <x:c r="A314" s="18" t="str">
        <x:v>2025_conv2024_extraordinario-T40</x:v>
      </x:c>
      <x:c r="B314" s="18" t="n">
        <x:v>2025</x:v>
      </x:c>
      <x:c r="C314" s="18" t="n">
        <x:v>2024</x:v>
      </x:c>
      <x:c r="D314" s="28" t="n">
        <x:v>45956</x:v>
      </x:c>
      <x:c r="E314" s="18" t="str">
        <x:v>Acceso libre</x:v>
      </x:c>
      <x:c r="F314" s="18" t="str">
        <x:v>Primera parte</x:v>
      </x:c>
      <x:c r="G314" s="18" t="str">
        <x:v>Extraordinario</x:v>
      </x:c>
      <x:c r="H314" s="18" t="str">
        <x:v>Único</x:v>
      </x:c>
      <x:c r="I314" s="18" t="str">
        <x:v>Sí</x:v>
      </x:c>
      <x:c r="J314" s="18" t="str">
        <x:v>Cuestionario extraordinario sin modelo paralelo.</x:v>
      </x:c>
      <x:c r="K314" s="18" t="n">
        <x:v>40</x:v>
      </x:c>
      <x:c r="L314" s="18" t="str">
        <x:v>No</x:v>
      </x:c>
      <x:c r="M314" s="18" t="str">
        <x:v>En virtud del artículo 135 del Reglamento General de Recaudación de la Seguridad Social, aprobado por el Real Decreto 1415/20 04, de 11 de junio, l a reclamación en tercería se resolverá, previa la práctica de la prueba que pueda estimarse oportuna, por:</x:v>
      </x:c>
      <x:c r="N314" s="18" t="str">
        <x:v>El titular de la Unidad de Recaudación Ejecutiva.</x:v>
      </x:c>
      <x:c r="O314" s="18" t="str">
        <x:v>El titular de la Subdirección Provincial de Recaudación Ejecutiva.</x:v>
      </x:c>
      <x:c r="P314" s="18" t="str">
        <x:v>El titular de la Dirección Provincial de la Tesorería General de la Seguridad Social.</x:v>
      </x:c>
      <x:c r="Q314" s="18" t="str">
        <x:v>El titular de la Dirección General de la Tesorería General de la Seguridad Social.</x:v>
      </x:c>
      <x:c r="R314" s="18" t="str">
        <x:v>S06</x:v>
      </x:c>
      <x:c r="S314" s="18" t="n">
        <x:v>6</x:v>
      </x:c>
      <x:c r="T314" s="18" t="str">
        <x:v>Temario específico Seguridad Social</x:v>
      </x:c>
      <x:c r="U314" s="18" t="str">
        <x:v>La recaudación en vía ejecutiva. Normas generales. Iniciación y título ejecutivo. La providencia de apremio. Oposición y efectos. El embargo de bienes. Enajenación de bienes: modalidades. Créditos incobrables. Tercerías.</x:v>
      </x:c>
      <x:c r="V314" s="18" t="str">
        <x:v>S06</x:v>
      </x:c>
      <x:c r="W314" s="18" t="str"/>
      <x:c r="X314" s="18" t="str">
        <x:v>135</x:v>
      </x:c>
      <x:c r="Y314" s="18" t="str">
        <x:v>Recaudación ejecutiva</x:v>
      </x:c>
      <x:c r="Z314" s="18" t="str">
        <x:v>Media</x:v>
      </x:c>
      <x:c r="AA314" s="18" t="str">
        <x:v>S06</x:v>
      </x:c>
      <x:c r="AB314" s="18" t="str"/>
      <x:c r="AC314" s="18" t="str"/>
      <x:c r="AD314" s="18" t="str">
        <x:v>No</x:v>
      </x:c>
      <x:c r="AE314" s="18" t="str">
        <x:v>Teórico</x:v>
      </x:c>
      <x:c r="AF314" s="18" t="str">
        <x:v>C</x:v>
      </x:c>
      <x:c r="AG314" s="18" t="str">
        <x:v>C</x:v>
      </x:c>
      <x:c r="AH314" s="18" t="str">
        <x:v>Válida</x:v>
      </x:c>
      <x:c r="AI314" s="18" t="str">
        <x:v>01. Información oficial de la oposición\Exámenes oficiales anteriores\2025 Convocatoria 2024 - Examen extraordinario acceso libre.pdf</x:v>
      </x:c>
      <x:c r="AJ314" s="18" t="str">
        <x:v>https://www.seg-social.es/wps/portal/wss/internet/InformacionUtil/9950/88beb45d-ca83-4bab-8162-f94ef2894562/7e46efac-32c8-4cf6-b3d3-d592c3560dff/rdpi_administrativos_2024</x:v>
      </x:c>
      <x:c r="AK314" s="18" t="str">
        <x:v>Texto PDF</x:v>
      </x:c>
      <x:c r="AL314" s="18" t="n">
        <x:v>100</x:v>
      </x:c>
      <x:c r="AM314" s="18" t="str">
        <x:v>Alta</x:v>
      </x:c>
      <x:c r="AN314" s="18" t="str">
        <x:v>Regla jurídica determinista</x:v>
      </x:c>
      <x:c r="AO314" s="18" t="str">
        <x:v>2025_conv2024_extraordinario-T40</x:v>
      </x:c>
      <x:c r="AP314" s="18" t="n">
        <x:v>1</x:v>
      </x:c>
    </x:row>
    <x:row r="315">
      <x:c r="A315" s="18" t="str">
        <x:v>2025_conv2024_extraordinario-T41</x:v>
      </x:c>
      <x:c r="B315" s="18" t="n">
        <x:v>2025</x:v>
      </x:c>
      <x:c r="C315" s="18" t="n">
        <x:v>2024</x:v>
      </x:c>
      <x:c r="D315" s="28" t="n">
        <x:v>45956</x:v>
      </x:c>
      <x:c r="E315" s="18" t="str">
        <x:v>Acceso libre</x:v>
      </x:c>
      <x:c r="F315" s="18" t="str">
        <x:v>Primera parte</x:v>
      </x:c>
      <x:c r="G315" s="18" t="str">
        <x:v>Extraordinario</x:v>
      </x:c>
      <x:c r="H315" s="18" t="str">
        <x:v>Único</x:v>
      </x:c>
      <x:c r="I315" s="18" t="str">
        <x:v>Sí</x:v>
      </x:c>
      <x:c r="J315" s="18" t="str">
        <x:v>Cuestionario extraordinario sin modelo paralelo.</x:v>
      </x:c>
      <x:c r="K315" s="18" t="n">
        <x:v>41</x:v>
      </x:c>
      <x:c r="L315" s="18" t="str">
        <x:v>No</x:v>
      </x:c>
      <x:c r="M315" s="18" t="str">
        <x:v>Según el artículo 58 del texto refundido de la Ley General de la Seguridad Social, respecto a la revalorización de las pensiones:</x:v>
      </x:c>
      <x:c r="N315" s="18" t="str">
        <x:v>En su modalidad no contributiva, incluido el complemento de brecha de género, se revalorizarán al comienzo de cada año en el porcentaje equivalente al valor medio de las tasas de variación interanual expresadas en tanto por ciento del Índice de Precios al Consumo de los doce meses previos a diciembre del año anterior.</x:v>
      </x:c>
      <x:c r="O315" s="18" t="str">
        <x:v>En su modalidad contributiva, incluido el complemento de brecha de género, se revalorizarán al comienzo de cada año en el porcentaje equivalente al valor medio de las tasas de variación interanual expresadas en tanto por ciento del Índice de Precios al Co nsumo de los doce meses previos a diciembre del año anterior.</x:v>
      </x:c>
      <x:c r="P315" s="18" t="str">
        <x:v>En su modalidad contributiva , incluido el complemento de brecha de género, se revalorizarán al comienzo de cada año en el porcentaje equivalente al valor medio de las tasas de variación interanual expresadas en tanto por ciento del Índice de Precios al Consumo de los seis meses previos a diciembre del año anterior.</x:v>
      </x:c>
      <x:c r="Q315" s="18" t="str">
        <x:v>En su modalidad no contributiva, incluido el complemento de brecha de género, se revalorizarán al comienzo de cada año en el porcentaje equivalente al valor medio de las tasas de variación interanual expresadas en tanto por ciento del Índice de Precios al Consumo de los seis meses previos a diciembre del año anterior.</x:v>
      </x:c>
      <x:c r="R315" s="18" t="str">
        <x:v>S07</x:v>
      </x:c>
      <x:c r="S315" s="18" t="n">
        <x:v>7</x:v>
      </x:c>
      <x:c r="T315" s="18" t="str">
        <x:v>Temario específico Seguridad Social</x:v>
      </x:c>
      <x:c r="U315" s="18" t="str">
        <x:v>Acción protectora. Contenido y clasificación de las prestaciones. Caracteres de las prestaciones. Incompatibilidades. Reintegro de las prestaciones indebidas. Requisitos generales del derecho a las prestaciones. Responsabilidades en orden a las prestaciones por incumplimiento de las obligaciones de afiliación, altas, bajas y cotización. Automaticidad y anticipo de prestaciones. Riesgo protegido: contingencias comunes y profesionales.</x:v>
      </x:c>
      <x:c r="V315" s="18" t="str">
        <x:v>S07</x:v>
      </x:c>
      <x:c r="W315" s="18" t="str">
        <x:v>texto refundido de la Ley General de la Seguridad Social</x:v>
      </x:c>
      <x:c r="X315" s="18" t="str">
        <x:v>58</x:v>
      </x:c>
      <x:c r="Y315" s="18" t="str">
        <x:v>Artículos literales</x:v>
      </x:c>
      <x:c r="Z315" s="18" t="str">
        <x:v>Media</x:v>
      </x:c>
      <x:c r="AA315" s="18" t="str">
        <x:v>S07</x:v>
      </x:c>
      <x:c r="AB315" s="18" t="str"/>
      <x:c r="AC315" s="18" t="str"/>
      <x:c r="AD315" s="18" t="str">
        <x:v>No</x:v>
      </x:c>
      <x:c r="AE315" s="18" t="str">
        <x:v>Teórico</x:v>
      </x:c>
      <x:c r="AF315" s="18" t="str">
        <x:v>B</x:v>
      </x:c>
      <x:c r="AG315" s="18" t="str">
        <x:v>B</x:v>
      </x:c>
      <x:c r="AH315" s="18" t="str">
        <x:v>Válida</x:v>
      </x:c>
      <x:c r="AI315" s="18" t="str">
        <x:v>01. Información oficial de la oposición\Exámenes oficiales anteriores\2025 Convocatoria 2024 - Examen extraordinario acceso libre.pdf</x:v>
      </x:c>
      <x:c r="AJ315" s="18" t="str">
        <x:v>https://www.seg-social.es/wps/portal/wss/internet/InformacionUtil/9950/88beb45d-ca83-4bab-8162-f94ef2894562/7e46efac-32c8-4cf6-b3d3-d592c3560dff/rdpi_administrativos_2024</x:v>
      </x:c>
      <x:c r="AK315" s="18" t="str">
        <x:v>Texto PDF</x:v>
      </x:c>
      <x:c r="AL315" s="18" t="n">
        <x:v>100</x:v>
      </x:c>
      <x:c r="AM315" s="18" t="str">
        <x:v>Alta</x:v>
      </x:c>
      <x:c r="AN315" s="18" t="str">
        <x:v>Regla jurídica determinista</x:v>
      </x:c>
      <x:c r="AO315" s="18" t="str">
        <x:v>2025_conv2024_extraordinario-T41</x:v>
      </x:c>
      <x:c r="AP315" s="18" t="n">
        <x:v>1</x:v>
      </x:c>
    </x:row>
    <x:row r="316">
      <x:c r="A316" s="18" t="str">
        <x:v>2025_conv2024_extraordinario-T42</x:v>
      </x:c>
      <x:c r="B316" s="18" t="n">
        <x:v>2025</x:v>
      </x:c>
      <x:c r="C316" s="18" t="n">
        <x:v>2024</x:v>
      </x:c>
      <x:c r="D316" s="28" t="n">
        <x:v>45956</x:v>
      </x:c>
      <x:c r="E316" s="18" t="str">
        <x:v>Acceso libre</x:v>
      </x:c>
      <x:c r="F316" s="18" t="str">
        <x:v>Primera parte</x:v>
      </x:c>
      <x:c r="G316" s="18" t="str">
        <x:v>Extraordinario</x:v>
      </x:c>
      <x:c r="H316" s="18" t="str">
        <x:v>Único</x:v>
      </x:c>
      <x:c r="I316" s="18" t="str">
        <x:v>Sí</x:v>
      </x:c>
      <x:c r="J316" s="18" t="str">
        <x:v>Cuestionario extraordinario sin modelo paralelo.</x:v>
      </x:c>
      <x:c r="K316" s="18" t="n">
        <x:v>42</x:v>
      </x:c>
      <x:c r="L316" s="18" t="str">
        <x:v>No</x:v>
      </x:c>
      <x:c r="M316" s="18" t="str">
        <x:v>Conforme al artículo 59 del texto refundido de la Ley General de la Seguridad Social , los beneficiarios de pensiones contributivas del sistema de la Seguridad Social que no perciban rendimientos del trabajo, del capital, de actividades económicas, de régimen de atribución de rentas y ganancias patrimoniales, de acuerdo con el concepto establecido para dichas rentas en el Impuesto sobre la Renta de las Personas Físicas, o que, percibiéndolos, no excedan de la cuantía que anualmente establezca la correspondiente Ley de Presupuestos Generales del Estado, tendrán derecho a percibir los complementos necesarios para alcanzar la cuantía mínima de las pensiones</x:v>
      </x:c>
      <x:c r="N316" s="18" t="str">
        <x:v>Siempre que resid an en territorio español en los términos que legal o reglamentariamente se determinen.</x:v>
      </x:c>
      <x:c r="O316" s="18" t="str">
        <x:v>Siempre que residan en la Unión Europea en los términos que legal o reglamentariamente se determinen.</x:v>
      </x:c>
      <x:c r="P316" s="18" t="str">
        <x:v>Siempre que no residan en territorio español en los términos que legal o reglamentariamente se determinen.</x:v>
      </x:c>
      <x:c r="Q316" s="18" t="str">
        <x:v>Siempre que no residan en la Unión Europa en los términos que legal o reglamentariamente se determinen.</x:v>
      </x:c>
      <x:c r="R316" s="18" t="str">
        <x:v>S07</x:v>
      </x:c>
      <x:c r="S316" s="18" t="n">
        <x:v>7</x:v>
      </x:c>
      <x:c r="T316" s="18" t="str">
        <x:v>Temario específico Seguridad Social</x:v>
      </x:c>
      <x:c r="U316" s="18" t="str">
        <x:v>Acción protectora. Contenido y clasificación de las prestaciones. Caracteres de las prestaciones. Incompatibilidades. Reintegro de las prestaciones indebidas. Requisitos generales del derecho a las prestaciones. Responsabilidades en orden a las prestaciones por incumplimiento de las obligaciones de afiliación, altas, bajas y cotización. Automaticidad y anticipo de prestaciones. Riesgo protegido: contingencias comunes y profesionales.</x:v>
      </x:c>
      <x:c r="V316" s="18" t="str">
        <x:v>S07</x:v>
      </x:c>
      <x:c r="W316" s="18" t="str">
        <x:v>texto refundido de la Ley General de la Seguridad Social</x:v>
      </x:c>
      <x:c r="X316" s="18" t="str">
        <x:v>59</x:v>
      </x:c>
      <x:c r="Y316" s="18" t="str">
        <x:v>Cálculos</x:v>
      </x:c>
      <x:c r="Z316" s="18" t="str">
        <x:v>Alta</x:v>
      </x:c>
      <x:c r="AA316" s="18" t="str">
        <x:v>S07</x:v>
      </x:c>
      <x:c r="AB316" s="18" t="str"/>
      <x:c r="AC316" s="18" t="str"/>
      <x:c r="AD316" s="18" t="str">
        <x:v>No</x:v>
      </x:c>
      <x:c r="AE316" s="18" t="str">
        <x:v>Teórico</x:v>
      </x:c>
      <x:c r="AF316" s="18" t="str">
        <x:v>A</x:v>
      </x:c>
      <x:c r="AG316" s="18" t="str">
        <x:v>A</x:v>
      </x:c>
      <x:c r="AH316" s="18" t="str">
        <x:v>Válida</x:v>
      </x:c>
      <x:c r="AI316" s="18" t="str">
        <x:v>01. Información oficial de la oposición\Exámenes oficiales anteriores\2025 Convocatoria 2024 - Examen extraordinario acceso libre.pdf</x:v>
      </x:c>
      <x:c r="AJ316" s="18" t="str">
        <x:v>https://www.seg-social.es/wps/portal/wss/internet/InformacionUtil/9950/88beb45d-ca83-4bab-8162-f94ef2894562/7e46efac-32c8-4cf6-b3d3-d592c3560dff/rdpi_administrativos_2024</x:v>
      </x:c>
      <x:c r="AK316" s="18" t="str">
        <x:v>Texto PDF</x:v>
      </x:c>
      <x:c r="AL316" s="18" t="n">
        <x:v>100</x:v>
      </x:c>
      <x:c r="AM316" s="18" t="str">
        <x:v>Alta</x:v>
      </x:c>
      <x:c r="AN316" s="18" t="str">
        <x:v>Regla jurídica determinista</x:v>
      </x:c>
      <x:c r="AO316" s="18" t="str">
        <x:v>2025_conv2024_extraordinario-T42</x:v>
      </x:c>
      <x:c r="AP316" s="18" t="n">
        <x:v>1</x:v>
      </x:c>
    </x:row>
    <x:row r="317">
      <x:c r="A317" s="18" t="str">
        <x:v>2025_conv2024_extraordinario-T43</x:v>
      </x:c>
      <x:c r="B317" s="18" t="n">
        <x:v>2025</x:v>
      </x:c>
      <x:c r="C317" s="18" t="n">
        <x:v>2024</x:v>
      </x:c>
      <x:c r="D317" s="28" t="n">
        <x:v>45956</x:v>
      </x:c>
      <x:c r="E317" s="18" t="str">
        <x:v>Acceso libre</x:v>
      </x:c>
      <x:c r="F317" s="18" t="str">
        <x:v>Primera parte</x:v>
      </x:c>
      <x:c r="G317" s="18" t="str">
        <x:v>Extraordinario</x:v>
      </x:c>
      <x:c r="H317" s="18" t="str">
        <x:v>Único</x:v>
      </x:c>
      <x:c r="I317" s="18" t="str">
        <x:v>Sí</x:v>
      </x:c>
      <x:c r="J317" s="18" t="str">
        <x:v>Cuestionario extraordinario sin modelo paralelo.</x:v>
      </x:c>
      <x:c r="K317" s="18" t="n">
        <x:v>43</x:v>
      </x:c>
      <x:c r="L317" s="18" t="str">
        <x:v>No</x:v>
      </x:c>
      <x:c r="M317" s="18" t="str">
        <x:v>De acuerdo con el artículo 46 del texto refundido de la Ley General de la Seguridad Social, el pago de las pensiones contributivas derivadas de contingencias comunes de cualquiera de los regímenes que integran el sistema de la Seguridad Social:</x:v>
      </x:c>
      <x:c r="N317" s="18" t="str">
        <x:v>Serán satisfechas en 12 pagas , correspondientes a cada uno de los meses del año y 2 pagas extraordinarias que se devengarán en los meses de julio y noviembre.</x:v>
      </x:c>
      <x:c r="O317" s="18" t="str">
        <x:v>Serán satisfechas en 14 pagas, correspondientes a cada uno de los meses del año y 2 pagas extraordinarias que se devengarán en los meses de julio y diciembre.</x:v>
      </x:c>
      <x:c r="P317" s="18" t="str">
        <x:v>Serán satisfechas en 14 pagas, correspondientes a cada uno de los meses del año y 2 pagas extraordinarias que se devengarán en los meses de junio y diciembre.</x:v>
      </x:c>
      <x:c r="Q317" s="18" t="str">
        <x:v>Serán satisfechas en 14 pagas, correspondientes a cada uno de los meses del año y 2 pagas extraordinarias que se devengarán en los meses de junio y noviembre.</x:v>
      </x:c>
      <x:c r="R317" s="18" t="str">
        <x:v>S07</x:v>
      </x:c>
      <x:c r="S317" s="18" t="n">
        <x:v>7</x:v>
      </x:c>
      <x:c r="T317" s="18" t="str">
        <x:v>Temario específico Seguridad Social</x:v>
      </x:c>
      <x:c r="U317" s="18" t="str">
        <x:v>Acción protectora. Contenido y clasificación de las prestaciones. Caracteres de las prestaciones. Incompatibilidades. Reintegro de las prestaciones indebidas. Requisitos generales del derecho a las prestaciones. Responsabilidades en orden a las prestaciones por incumplimiento de las obligaciones de afiliación, altas, bajas y cotización. Automaticidad y anticipo de prestaciones. Riesgo protegido: contingencias comunes y profesionales.</x:v>
      </x:c>
      <x:c r="V317" s="18" t="str">
        <x:v>S07</x:v>
      </x:c>
      <x:c r="W317" s="18" t="str">
        <x:v>texto refundido de la Ley General de la Seguridad Social</x:v>
      </x:c>
      <x:c r="X317" s="18" t="str">
        <x:v>46</x:v>
      </x:c>
      <x:c r="Y317" s="18" t="str">
        <x:v>Artículos literales</x:v>
      </x:c>
      <x:c r="Z317" s="18" t="str">
        <x:v>Media</x:v>
      </x:c>
      <x:c r="AA317" s="18" t="str">
        <x:v>S07</x:v>
      </x:c>
      <x:c r="AB317" s="18" t="str"/>
      <x:c r="AC317" s="18" t="str"/>
      <x:c r="AD317" s="18" t="str">
        <x:v>No</x:v>
      </x:c>
      <x:c r="AE317" s="18" t="str">
        <x:v>Teórico</x:v>
      </x:c>
      <x:c r="AF317" s="18" t="str">
        <x:v>D</x:v>
      </x:c>
      <x:c r="AG317" s="18" t="str">
        <x:v>D</x:v>
      </x:c>
      <x:c r="AH317" s="18" t="str">
        <x:v>Válida</x:v>
      </x:c>
      <x:c r="AI317" s="18" t="str">
        <x:v>01. Información oficial de la oposición\Exámenes oficiales anteriores\2025 Convocatoria 2024 - Examen extraordinario acceso libre.pdf</x:v>
      </x:c>
      <x:c r="AJ317" s="18" t="str">
        <x:v>https://www.seg-social.es/wps/portal/wss/internet/InformacionUtil/9950/88beb45d-ca83-4bab-8162-f94ef2894562/7e46efac-32c8-4cf6-b3d3-d592c3560dff/rdpi_administrativos_2024</x:v>
      </x:c>
      <x:c r="AK317" s="18" t="str">
        <x:v>Texto PDF</x:v>
      </x:c>
      <x:c r="AL317" s="18" t="n">
        <x:v>100</x:v>
      </x:c>
      <x:c r="AM317" s="18" t="str">
        <x:v>Alta</x:v>
      </x:c>
      <x:c r="AN317" s="18" t="str">
        <x:v>Regla jurídica determinista</x:v>
      </x:c>
      <x:c r="AO317" s="18" t="str">
        <x:v>2025_conv2024_extraordinario-T43</x:v>
      </x:c>
      <x:c r="AP317" s="18" t="n">
        <x:v>1</x:v>
      </x:c>
    </x:row>
    <x:row r="318">
      <x:c r="A318" s="18" t="str">
        <x:v>2025_conv2024_extraordinario-T44</x:v>
      </x:c>
      <x:c r="B318" s="18" t="n">
        <x:v>2025</x:v>
      </x:c>
      <x:c r="C318" s="18" t="n">
        <x:v>2024</x:v>
      </x:c>
      <x:c r="D318" s="28" t="n">
        <x:v>45956</x:v>
      </x:c>
      <x:c r="E318" s="18" t="str">
        <x:v>Acceso libre</x:v>
      </x:c>
      <x:c r="F318" s="18" t="str">
        <x:v>Primera parte</x:v>
      </x:c>
      <x:c r="G318" s="18" t="str">
        <x:v>Extraordinario</x:v>
      </x:c>
      <x:c r="H318" s="18" t="str">
        <x:v>Único</x:v>
      </x:c>
      <x:c r="I318" s="18" t="str">
        <x:v>Sí</x:v>
      </x:c>
      <x:c r="J318" s="18" t="str">
        <x:v>Cuestionario extraordinario sin modelo paralelo.</x:v>
      </x:c>
      <x:c r="K318" s="18" t="n">
        <x:v>44</x:v>
      </x:c>
      <x:c r="L318" s="18" t="str">
        <x:v>No</x:v>
      </x:c>
      <x:c r="M318" s="18" t="str">
        <x:v>Conforme al artículo 54 del del texto refundido de la Ley General de la Seguridad Social, el derecho al percibo de las prestaciones a tanto alzado y por una sola vez caducará:</x:v>
      </x:c>
      <x:c r="N318" s="18" t="str">
        <x:v>Al año a contar desde el día siguiente al de haber sido notificado en forma al interesado su reconocimiento.</x:v>
      </x:c>
      <x:c r="O318" s="18" t="str">
        <x:v>Al año de su respectivo vencimiento.</x:v>
      </x:c>
      <x:c r="P318" s="18" t="str">
        <x:v>A los cinco años de su respectivo vencimiento.</x:v>
      </x:c>
      <x:c r="Q318" s="18" t="str">
        <x:v>Al año, a contar desde el mismo día de haber sido notificado en forma al interesado su reconocimiento.</x:v>
      </x:c>
      <x:c r="R318" s="18" t="str">
        <x:v>S07</x:v>
      </x:c>
      <x:c r="S318" s="18" t="n">
        <x:v>7</x:v>
      </x:c>
      <x:c r="T318" s="18" t="str">
        <x:v>Temario específico Seguridad Social</x:v>
      </x:c>
      <x:c r="U318" s="18" t="str">
        <x:v>Acción protectora. Contenido y clasificación de las prestaciones. Caracteres de las prestaciones. Incompatibilidades. Reintegro de las prestaciones indebidas. Requisitos generales del derecho a las prestaciones. Responsabilidades en orden a las prestaciones por incumplimiento de las obligaciones de afiliación, altas, bajas y cotización. Automaticidad y anticipo de prestaciones. Riesgo protegido: contingencias comunes y profesionales.</x:v>
      </x:c>
      <x:c r="V318" s="18" t="str">
        <x:v>S07</x:v>
      </x:c>
      <x:c r="W318" s="18" t="str">
        <x:v>texto refundido de la Ley General de la Seguridad Social</x:v>
      </x:c>
      <x:c r="X318" s="18" t="str">
        <x:v>54</x:v>
      </x:c>
      <x:c r="Y318" s="18" t="str">
        <x:v>Artículos literales</x:v>
      </x:c>
      <x:c r="Z318" s="18" t="str">
        <x:v>Media</x:v>
      </x:c>
      <x:c r="AA318" s="18" t="str">
        <x:v>S07</x:v>
      </x:c>
      <x:c r="AB318" s="18" t="str"/>
      <x:c r="AC318" s="18" t="str"/>
      <x:c r="AD318" s="18" t="str">
        <x:v>No</x:v>
      </x:c>
      <x:c r="AE318" s="18" t="str">
        <x:v>Teórico</x:v>
      </x:c>
      <x:c r="AF318" s="18" t="str">
        <x:v>A</x:v>
      </x:c>
      <x:c r="AG318" s="18" t="str">
        <x:v>A</x:v>
      </x:c>
      <x:c r="AH318" s="18" t="str">
        <x:v>Válida</x:v>
      </x:c>
      <x:c r="AI318" s="18" t="str">
        <x:v>01. Información oficial de la oposición\Exámenes oficiales anteriores\2025 Convocatoria 2024 - Examen extraordinario acceso libre.pdf</x:v>
      </x:c>
      <x:c r="AJ318" s="18" t="str">
        <x:v>https://www.seg-social.es/wps/portal/wss/internet/InformacionUtil/9950/88beb45d-ca83-4bab-8162-f94ef2894562/7e46efac-32c8-4cf6-b3d3-d592c3560dff/rdpi_administrativos_2024</x:v>
      </x:c>
      <x:c r="AK318" s="18" t="str">
        <x:v>Texto PDF</x:v>
      </x:c>
      <x:c r="AL318" s="18" t="n">
        <x:v>100</x:v>
      </x:c>
      <x:c r="AM318" s="18" t="str">
        <x:v>Alta</x:v>
      </x:c>
      <x:c r="AN318" s="18" t="str">
        <x:v>Regla jurídica determinista</x:v>
      </x:c>
      <x:c r="AO318" s="18" t="str">
        <x:v>2025_conv2024_extraordinario-T44</x:v>
      </x:c>
      <x:c r="AP318" s="18" t="n">
        <x:v>1</x:v>
      </x:c>
    </x:row>
    <x:row r="319">
      <x:c r="A319" s="18" t="str">
        <x:v>2025_conv2024_extraordinario-T45</x:v>
      </x:c>
      <x:c r="B319" s="18" t="n">
        <x:v>2025</x:v>
      </x:c>
      <x:c r="C319" s="18" t="n">
        <x:v>2024</x:v>
      </x:c>
      <x:c r="D319" s="28" t="n">
        <x:v>45956</x:v>
      </x:c>
      <x:c r="E319" s="18" t="str">
        <x:v>Acceso libre</x:v>
      </x:c>
      <x:c r="F319" s="18" t="str">
        <x:v>Primera parte</x:v>
      </x:c>
      <x:c r="G319" s="18" t="str">
        <x:v>Extraordinario</x:v>
      </x:c>
      <x:c r="H319" s="18" t="str">
        <x:v>Único</x:v>
      </x:c>
      <x:c r="I319" s="18" t="str">
        <x:v>Sí</x:v>
      </x:c>
      <x:c r="J319" s="18" t="str">
        <x:v>Cuestionario extraordinario sin modelo paralelo.</x:v>
      </x:c>
      <x:c r="K319" s="18" t="n">
        <x:v>45</x:v>
      </x:c>
      <x:c r="L319" s="18" t="str">
        <x:v>No</x:v>
      </x:c>
      <x:c r="M319" s="18" t="str">
        <x:v>En virtud del artículo 23 de la Orden de 15 de abril de 1969, por la que se establecen normas para la aplicación y desarrollo de las prestaciones por invalidez en el Régimen General de la Seguridad Social, el derecho a las prestaciones económicas por incapacidad permanente podrá ser suspendido:</x:v>
      </x:c>
      <x:c r="N319" s="18" t="str">
        <x:v>Por fallecimiento del beneficiario.</x:v>
      </x:c>
      <x:c r="O319" s="18" t="str">
        <x:v>Por reconocimiento del derecho a la pensión de jubilación, cuando se opte por esta pensión.</x:v>
      </x:c>
      <x:c r="P319" s="18" t="str">
        <x:v>Por revisión de la incapacidad declarada.</x:v>
      </x:c>
      <x:c r="Q319" s="18" t="str">
        <x:v>Cuando el beneficiario haya actuado fraudulentamente para obtener o conservar el derecho a las mismas.</x:v>
      </x:c>
      <x:c r="R319" s="18" t="str">
        <x:v>S08</x:v>
      </x:c>
      <x:c r="S319" s="18" t="n">
        <x:v>8</x:v>
      </x:c>
      <x:c r="T319" s="18" t="str">
        <x:v>Temario específico Seguridad Social</x:v>
      </x:c>
      <x:c r="U319" s="18" t="str">
        <x:v>Incapacidad temporal: concepto y causas que motivan esta situación. Beneficiarios. Prestación económica: determinación y cuantía. Nacimiento, duración y extinción del derecho al subsidio. Reconocimiento y pago. Control de la incapacidad. Incapacidad permanente contributiva: concepto. Grados de incapacidad. Prestaciones. Determinación y cuantía. Beneficiarios. Nacimiento, duración y extinción del derecho. Lesiones permanentes no incapacitantes. La calificación y revisión de la incapacidad permanente.</x:v>
      </x:c>
      <x:c r="V319" s="18" t="str">
        <x:v>incapacidad permanente</x:v>
      </x:c>
      <x:c r="W319" s="18" t="str"/>
      <x:c r="X319" s="18" t="str">
        <x:v>23</x:v>
      </x:c>
      <x:c r="Y319" s="18" t="str">
        <x:v>Incapacidad</x:v>
      </x:c>
      <x:c r="Z319" s="18" t="str">
        <x:v>Media</x:v>
      </x:c>
      <x:c r="AA319" s="18" t="str">
        <x:v>incapacidad permanente</x:v>
      </x:c>
      <x:c r="AB319" s="18" t="str"/>
      <x:c r="AC319" s="18" t="str"/>
      <x:c r="AD319" s="18" t="str">
        <x:v>No</x:v>
      </x:c>
      <x:c r="AE319" s="18" t="str">
        <x:v>Teórico</x:v>
      </x:c>
      <x:c r="AF319" s="18" t="str">
        <x:v>D</x:v>
      </x:c>
      <x:c r="AG319" s="18" t="str">
        <x:v>D</x:v>
      </x:c>
      <x:c r="AH319" s="18" t="str">
        <x:v>Válida</x:v>
      </x:c>
      <x:c r="AI319" s="18" t="str">
        <x:v>01. Información oficial de la oposición\Exámenes oficiales anteriores\2025 Convocatoria 2024 - Examen extraordinario acceso libre.pdf</x:v>
      </x:c>
      <x:c r="AJ319" s="18" t="str">
        <x:v>https://www.seg-social.es/wps/portal/wss/internet/InformacionUtil/9950/88beb45d-ca83-4bab-8162-f94ef2894562/7e46efac-32c8-4cf6-b3d3-d592c3560dff/rdpi_administrativos_2024</x:v>
      </x:c>
      <x:c r="AK319" s="18" t="str">
        <x:v>Texto PDF</x:v>
      </x:c>
      <x:c r="AL319" s="18" t="n">
        <x:v>100</x:v>
      </x:c>
      <x:c r="AM319" s="18" t="str">
        <x:v>Alta</x:v>
      </x:c>
      <x:c r="AN319" s="18" t="str">
        <x:v>Regla jurídica determinista</x:v>
      </x:c>
      <x:c r="AO319" s="18" t="str">
        <x:v>2025_conv2024_extraordinario-T45</x:v>
      </x:c>
      <x:c r="AP319" s="18" t="n">
        <x:v>1</x:v>
      </x:c>
    </x:row>
    <x:row r="320">
      <x:c r="A320" s="18" t="str">
        <x:v>2025_conv2024_extraordinario-T46</x:v>
      </x:c>
      <x:c r="B320" s="18" t="n">
        <x:v>2025</x:v>
      </x:c>
      <x:c r="C320" s="18" t="n">
        <x:v>2024</x:v>
      </x:c>
      <x:c r="D320" s="28" t="n">
        <x:v>45956</x:v>
      </x:c>
      <x:c r="E320" s="18" t="str">
        <x:v>Acceso libre</x:v>
      </x:c>
      <x:c r="F320" s="18" t="str">
        <x:v>Primera parte</x:v>
      </x:c>
      <x:c r="G320" s="18" t="str">
        <x:v>Extraordinario</x:v>
      </x:c>
      <x:c r="H320" s="18" t="str">
        <x:v>Único</x:v>
      </x:c>
      <x:c r="I320" s="18" t="str">
        <x:v>Sí</x:v>
      </x:c>
      <x:c r="J320" s="18" t="str">
        <x:v>Cuestionario extraordinario sin modelo paralelo.</x:v>
      </x:c>
      <x:c r="K320" s="18" t="n">
        <x:v>46</x:v>
      </x:c>
      <x:c r="L320" s="18" t="str">
        <x:v>No</x:v>
      </x:c>
      <x:c r="M320" s="18" t="str">
        <x:v>De acuerdo con el artículo 171 del texto refundido de la Ley General de la Seguridad Social, en la situación especial de incapacidad temporal por donación de órganos o tejidos para su trasplante, la prestación económica consistirá en:</x:v>
      </x:c>
      <x:c r="N320" s="18" t="str">
        <x:v>Un subsidio equivalente al setenta y cinco por ciento de la base reguladora establecida para la prestación de incapacidad temporal derivada de contingencias comunes.</x:v>
      </x:c>
      <x:c r="O320" s="18" t="str">
        <x:v>Un subsidio equivalente al setenta y cinco por ciento de la base reguladora establecida para la prestación de incapacidad temporal derivada de contingencias profesionales.</x:v>
      </x:c>
      <x:c r="P320" s="18" t="str">
        <x:v>Un subsidio equivalente al cien por ciento de la base reguladora establecida para la prestación de incapacidad temporal derivada de contingencias comunes.</x:v>
      </x:c>
      <x:c r="Q320" s="18" t="str">
        <x:v>Un subsidio equivalente al cien por ciento de la base reguladora establecida para la prestación de incapacidad temporal derivada de contingencias profesionales.</x:v>
      </x:c>
      <x:c r="R320" s="18" t="str">
        <x:v>S08</x:v>
      </x:c>
      <x:c r="S320" s="18" t="n">
        <x:v>8</x:v>
      </x:c>
      <x:c r="T320" s="18" t="str">
        <x:v>Temario específico Seguridad Social</x:v>
      </x:c>
      <x:c r="U320" s="18" t="str">
        <x:v>Incapacidad temporal: concepto y causas que motivan esta situación. Beneficiarios. Prestación económica: determinación y cuantía. Nacimiento, duración y extinción del derecho al subsidio. Reconocimiento y pago. Control de la incapacidad. Incapacidad permanente contributiva: concepto. Grados de incapacidad. Prestaciones. Determinación y cuantía. Beneficiarios. Nacimiento, duración y extinción del derecho. Lesiones permanentes no incapacitantes. La calificación y revisión de la incapacidad permanente.</x:v>
      </x:c>
      <x:c r="V320" s="18" t="str">
        <x:v>incapacidad temporal</x:v>
      </x:c>
      <x:c r="W320" s="18" t="str">
        <x:v>texto refundido de la Ley General de la Seguridad Social</x:v>
      </x:c>
      <x:c r="X320" s="18" t="str">
        <x:v>171</x:v>
      </x:c>
      <x:c r="Y320" s="18" t="str">
        <x:v>Órganos</x:v>
      </x:c>
      <x:c r="Z320" s="18" t="str">
        <x:v>Media</x:v>
      </x:c>
      <x:c r="AA320" s="18" t="str">
        <x:v>incapacidad temporal</x:v>
      </x:c>
      <x:c r="AB320" s="18" t="str"/>
      <x:c r="AC320" s="18" t="str"/>
      <x:c r="AD320" s="18" t="str">
        <x:v>No</x:v>
      </x:c>
      <x:c r="AE320" s="18" t="str">
        <x:v>Teórico</x:v>
      </x:c>
      <x:c r="AF320" s="18" t="str">
        <x:v>C</x:v>
      </x:c>
      <x:c r="AG320" s="18" t="str">
        <x:v>C</x:v>
      </x:c>
      <x:c r="AH320" s="18" t="str">
        <x:v>Válida</x:v>
      </x:c>
      <x:c r="AI320" s="18" t="str">
        <x:v>01. Información oficial de la oposición\Exámenes oficiales anteriores\2025 Convocatoria 2024 - Examen extraordinario acceso libre.pdf</x:v>
      </x:c>
      <x:c r="AJ320" s="18" t="str">
        <x:v>https://www.seg-social.es/wps/portal/wss/internet/InformacionUtil/9950/88beb45d-ca83-4bab-8162-f94ef2894562/7e46efac-32c8-4cf6-b3d3-d592c3560dff/rdpi_administrativos_2024</x:v>
      </x:c>
      <x:c r="AK320" s="18" t="str">
        <x:v>Texto PDF</x:v>
      </x:c>
      <x:c r="AL320" s="18" t="n">
        <x:v>100</x:v>
      </x:c>
      <x:c r="AM320" s="18" t="str">
        <x:v>Alta</x:v>
      </x:c>
      <x:c r="AN320" s="18" t="str">
        <x:v>Regla jurídica determinista</x:v>
      </x:c>
      <x:c r="AO320" s="18" t="str">
        <x:v>2025_conv2024_extraordinario-T46</x:v>
      </x:c>
      <x:c r="AP320" s="18" t="n">
        <x:v>1</x:v>
      </x:c>
    </x:row>
    <x:row r="321">
      <x:c r="A321" s="18" t="str">
        <x:v>2025_conv2024_extraordinario-T47</x:v>
      </x:c>
      <x:c r="B321" s="18" t="n">
        <x:v>2025</x:v>
      </x:c>
      <x:c r="C321" s="18" t="n">
        <x:v>2024</x:v>
      </x:c>
      <x:c r="D321" s="28" t="n">
        <x:v>45956</x:v>
      </x:c>
      <x:c r="E321" s="18" t="str">
        <x:v>Acceso libre</x:v>
      </x:c>
      <x:c r="F321" s="18" t="str">
        <x:v>Primera parte</x:v>
      </x:c>
      <x:c r="G321" s="18" t="str">
        <x:v>Extraordinario</x:v>
      </x:c>
      <x:c r="H321" s="18" t="str">
        <x:v>Único</x:v>
      </x:c>
      <x:c r="I321" s="18" t="str">
        <x:v>Sí</x:v>
      </x:c>
      <x:c r="J321" s="18" t="str">
        <x:v>Cuestionario extraordinario sin modelo paralelo.</x:v>
      </x:c>
      <x:c r="K321" s="18" t="n">
        <x:v>47</x:v>
      </x:c>
      <x:c r="L321" s="18" t="str">
        <x:v>No</x:v>
      </x:c>
      <x:c r="M321" s="18" t="str">
        <x:v>En virtud del artículo 173 del texto refundido de la Ley General de la Seguridad Social, en las situaciones especiales de incapacidad temporal por menstruación incapacitante secundaria, el subsidio se abonará:</x:v>
      </x:c>
      <x:c r="N321" s="18" t="str">
        <x:v>A cargo de la entidad gestora o colaboradora que cubra la incapacidad temporal por contingencias comunes desde el mismo día de baja.</x:v>
      </x:c>
      <x:c r="O321" s="18" t="str">
        <x:v>A cargo de la entidad gestora o colaboradora que cubra la incapacidad temporal por contingencias comunes a partir del cuarto día de baja.</x:v>
      </x:c>
      <x:c r="P321" s="18" t="str">
        <x:v>A cargo del empresario desde el mismo día al decimoquinto de baja.</x:v>
      </x:c>
      <x:c r="Q321" s="18" t="str">
        <x:v>A cargo del empresario desde el día cuarto al decimoquinto de baja, ambos inclusive.</x:v>
      </x:c>
      <x:c r="R321" s="18" t="str">
        <x:v>S08</x:v>
      </x:c>
      <x:c r="S321" s="18" t="n">
        <x:v>8</x:v>
      </x:c>
      <x:c r="T321" s="18" t="str">
        <x:v>Temario específico Seguridad Social</x:v>
      </x:c>
      <x:c r="U321" s="18" t="str">
        <x:v>Incapacidad temporal: concepto y causas que motivan esta situación. Beneficiarios. Prestación económica: determinación y cuantía. Nacimiento, duración y extinción del derecho al subsidio. Reconocimiento y pago. Control de la incapacidad. Incapacidad permanente contributiva: concepto. Grados de incapacidad. Prestaciones. Determinación y cuantía. Beneficiarios. Nacimiento, duración y extinción del derecho. Lesiones permanentes no incapacitantes. La calificación y revisión de la incapacidad permanente.</x:v>
      </x:c>
      <x:c r="V321" s="18" t="str">
        <x:v>incapacidad temporal</x:v>
      </x:c>
      <x:c r="W321" s="18" t="str">
        <x:v>texto refundido de la Ley General de la Seguridad Social</x:v>
      </x:c>
      <x:c r="X321" s="18" t="str">
        <x:v>173</x:v>
      </x:c>
      <x:c r="Y321" s="18" t="str">
        <x:v>Incapacidad</x:v>
      </x:c>
      <x:c r="Z321" s="18" t="str">
        <x:v>Media</x:v>
      </x:c>
      <x:c r="AA321" s="18" t="str">
        <x:v>incapacidad temporal</x:v>
      </x:c>
      <x:c r="AB321" s="18" t="str"/>
      <x:c r="AC321" s="18" t="str"/>
      <x:c r="AD321" s="18" t="str">
        <x:v>No</x:v>
      </x:c>
      <x:c r="AE321" s="18" t="str">
        <x:v>Teórico</x:v>
      </x:c>
      <x:c r="AF321" s="18" t="str">
        <x:v>A</x:v>
      </x:c>
      <x:c r="AG321" s="18" t="str">
        <x:v>A</x:v>
      </x:c>
      <x:c r="AH321" s="18" t="str">
        <x:v>Válida</x:v>
      </x:c>
      <x:c r="AI321" s="18" t="str">
        <x:v>01. Información oficial de la oposición\Exámenes oficiales anteriores\2025 Convocatoria 2024 - Examen extraordinario acceso libre.pdf</x:v>
      </x:c>
      <x:c r="AJ321" s="18" t="str">
        <x:v>https://www.seg-social.es/wps/portal/wss/internet/InformacionUtil/9950/88beb45d-ca83-4bab-8162-f94ef2894562/7e46efac-32c8-4cf6-b3d3-d592c3560dff/rdpi_administrativos_2024</x:v>
      </x:c>
      <x:c r="AK321" s="18" t="str">
        <x:v>Texto PDF</x:v>
      </x:c>
      <x:c r="AL321" s="18" t="n">
        <x:v>100</x:v>
      </x:c>
      <x:c r="AM321" s="18" t="str">
        <x:v>Alta</x:v>
      </x:c>
      <x:c r="AN321" s="18" t="str">
        <x:v>Regla jurídica determinista</x:v>
      </x:c>
      <x:c r="AO321" s="18" t="str">
        <x:v>2025_conv2024_extraordinario-T47</x:v>
      </x:c>
      <x:c r="AP321" s="18" t="n">
        <x:v>1</x:v>
      </x:c>
    </x:row>
    <x:row r="322">
      <x:c r="A322" s="18" t="str">
        <x:v>2025_conv2024_extraordinario-T48</x:v>
      </x:c>
      <x:c r="B322" s="18" t="n">
        <x:v>2025</x:v>
      </x:c>
      <x:c r="C322" s="18" t="n">
        <x:v>2024</x:v>
      </x:c>
      <x:c r="D322" s="28" t="n">
        <x:v>45956</x:v>
      </x:c>
      <x:c r="E322" s="18" t="str">
        <x:v>Acceso libre</x:v>
      </x:c>
      <x:c r="F322" s="18" t="str">
        <x:v>Primera parte</x:v>
      </x:c>
      <x:c r="G322" s="18" t="str">
        <x:v>Extraordinario</x:v>
      </x:c>
      <x:c r="H322" s="18" t="str">
        <x:v>Único</x:v>
      </x:c>
      <x:c r="I322" s="18" t="str">
        <x:v>Sí</x:v>
      </x:c>
      <x:c r="J322" s="18" t="str">
        <x:v>Cuestionario extraordinario sin modelo paralelo.</x:v>
      </x:c>
      <x:c r="K322" s="18" t="n">
        <x:v>48</x:v>
      </x:c>
      <x:c r="L322" s="18" t="str">
        <x:v>No</x:v>
      </x:c>
      <x:c r="M322" s="18" t="str">
        <x:v>La base reguladora para la prestación de IT derivada de accidente de trabajo de un trabajador con una antigüedad de cinco años en la empresa se obtiene por la suma de:</x:v>
      </x:c>
      <x:c r="N322" s="18" t="str">
        <x:v>La base de cotización por contingencias profesionales del mes inmediatamente anterior al mes previo, excluido el importe de horas extraordinarias, dividida por el número de días a que corresponda dicha cotización, y el promedio de la suma de las horas ext raordinarias de los 12 meses inmediatamente anteriores al inicio de la situación de IT.</x:v>
      </x:c>
      <x:c r="O322" s="18" t="str">
        <x:v>La base de cotización por contingencias profesionales del mes anterior, incluido el importe de horas extraordinarias, dividida por el número de días a que corresponda dicha cotización, y el promedio de la suma de las horas extraordinarias de los 12 meses inmediatamente anteriores al inicio de la situación de IT.</x:v>
      </x:c>
      <x:c r="P322" s="18" t="str">
        <x:v>La base de cotización por contingencias profesionales del mes anterior, excluido el importe de horas extraordinarias, dividida por el número de días a que corresponda dicha cotización, y el promedio de la suma de las horas extraordinarias de los 12 meses inmediatamente anteriores al inicio de la situación de IT.</x:v>
      </x:c>
      <x:c r="Q322" s="18" t="str">
        <x:v>La base de cotización por contingencias comunes del mes inmediatamente anterior al mes previo, excluido el importe de horas extraordinarias, dividida por el número de días a que corresponda dicha cotización, y el promedio de la suma de las horas extraordi narias de los 12 meses inmediatamente anteriores al inicio de la situación de IT.</x:v>
      </x:c>
      <x:c r="R322" s="18" t="str">
        <x:v>S08</x:v>
      </x:c>
      <x:c r="S322" s="18" t="n">
        <x:v>8</x:v>
      </x:c>
      <x:c r="T322" s="18" t="str">
        <x:v>Temario específico Seguridad Social</x:v>
      </x:c>
      <x:c r="U322" s="18" t="str">
        <x:v>Incapacidad temporal: concepto y causas que motivan esta situación. Beneficiarios. Prestación económica: determinación y cuantía. Nacimiento, duración y extinción del derecho al subsidio. Reconocimiento y pago. Control de la incapacidad. Incapacidad permanente contributiva: concepto. Grados de incapacidad. Prestaciones. Determinación y cuantía. Beneficiarios. Nacimiento, duración y extinción del derecho. Lesiones permanentes no incapacitantes. La calificación y revisión de la incapacidad permanente.</x:v>
      </x:c>
      <x:c r="V322" s="18" t="str">
        <x:v>S08</x:v>
      </x:c>
      <x:c r="W322" s="18" t="str"/>
      <x:c r="X322" s="18" t="str"/>
      <x:c r="Y322" s="18" t="str">
        <x:v>Cálculos</x:v>
      </x:c>
      <x:c r="Z322" s="18" t="str">
        <x:v>Media</x:v>
      </x:c>
      <x:c r="AA322" s="18" t="str">
        <x:v>S08</x:v>
      </x:c>
      <x:c r="AB322" s="18" t="str"/>
      <x:c r="AC322" s="18" t="str"/>
      <x:c r="AD322" s="18" t="str">
        <x:v>No</x:v>
      </x:c>
      <x:c r="AE322" s="18" t="str">
        <x:v>Teórico</x:v>
      </x:c>
      <x:c r="AF322" s="18" t="str">
        <x:v>C</x:v>
      </x:c>
      <x:c r="AG322" s="18" t="str">
        <x:v>C</x:v>
      </x:c>
      <x:c r="AH322" s="18" t="str">
        <x:v>Válida</x:v>
      </x:c>
      <x:c r="AI322" s="18" t="str">
        <x:v>01. Información oficial de la oposición\Exámenes oficiales anteriores\2025 Convocatoria 2024 - Examen extraordinario acceso libre.pdf</x:v>
      </x:c>
      <x:c r="AJ322" s="18" t="str">
        <x:v>https://www.seg-social.es/wps/portal/wss/internet/InformacionUtil/9950/88beb45d-ca83-4bab-8162-f94ef2894562/7e46efac-32c8-4cf6-b3d3-d592c3560dff/rdpi_administrativos_2024</x:v>
      </x:c>
      <x:c r="AK322" s="18" t="str">
        <x:v>Texto PDF</x:v>
      </x:c>
      <x:c r="AL322" s="18" t="n">
        <x:v>100</x:v>
      </x:c>
      <x:c r="AM322" s="18" t="str">
        <x:v>Alta</x:v>
      </x:c>
      <x:c r="AN322" s="18" t="str">
        <x:v>Revisión jurídica individual</x:v>
      </x:c>
      <x:c r="AO322" s="18" t="str">
        <x:v>2025_conv2024_extraordinario-T48</x:v>
      </x:c>
      <x:c r="AP322" s="18" t="n">
        <x:v>1</x:v>
      </x:c>
    </x:row>
    <x:row r="323">
      <x:c r="A323" s="18" t="str">
        <x:v>2025_conv2024_extraordinario-T49</x:v>
      </x:c>
      <x:c r="B323" s="18" t="n">
        <x:v>2025</x:v>
      </x:c>
      <x:c r="C323" s="18" t="n">
        <x:v>2024</x:v>
      </x:c>
      <x:c r="D323" s="28" t="n">
        <x:v>45956</x:v>
      </x:c>
      <x:c r="E323" s="18" t="str">
        <x:v>Acceso libre</x:v>
      </x:c>
      <x:c r="F323" s="18" t="str">
        <x:v>Primera parte</x:v>
      </x:c>
      <x:c r="G323" s="18" t="str">
        <x:v>Extraordinario</x:v>
      </x:c>
      <x:c r="H323" s="18" t="str">
        <x:v>Único</x:v>
      </x:c>
      <x:c r="I323" s="18" t="str">
        <x:v>Sí</x:v>
      </x:c>
      <x:c r="J323" s="18" t="str">
        <x:v>Cuestionario extraordinario sin modelo paralelo.</x:v>
      </x:c>
      <x:c r="K323" s="18" t="n">
        <x:v>49</x:v>
      </x:c>
      <x:c r="L323" s="18" t="str">
        <x:v>No</x:v>
      </x:c>
      <x:c r="M323" s="18" t="str">
        <x:v>En virtud del artículo 174 del texto refundido de la Ley General de la Seguridad Social, cuando el derecho al subsidio por incapacidad temporal se extinga por el transcurso del período de quinientos cuarenta y cinco días naturales, se examinará necesariame nte, el estado del incapacitado a efectos de su calificación, en el grado de incapacidad permanente que corresponda, en el plazo máximo de:</x:v>
      </x:c>
      <x:c r="N323" s="18" t="str">
        <x:v>60 días naturales.</x:v>
      </x:c>
      <x:c r="O323" s="18" t="str">
        <x:v>90 días naturales.</x:v>
      </x:c>
      <x:c r="P323" s="18" t="str">
        <x:v>180 días naturales.</x:v>
      </x:c>
      <x:c r="Q323" s="18" t="str">
        <x:v>365 días naturales.</x:v>
      </x:c>
      <x:c r="R323" s="18" t="str">
        <x:v>S08</x:v>
      </x:c>
      <x:c r="S323" s="18" t="n">
        <x:v>8</x:v>
      </x:c>
      <x:c r="T323" s="18" t="str">
        <x:v>Temario específico Seguridad Social</x:v>
      </x:c>
      <x:c r="U323" s="18" t="str">
        <x:v>Incapacidad temporal: concepto y causas que motivan esta situación. Beneficiarios. Prestación económica: determinación y cuantía. Nacimiento, duración y extinción del derecho al subsidio. Reconocimiento y pago. Control de la incapacidad. Incapacidad permanente contributiva: concepto. Grados de incapacidad. Prestaciones. Determinación y cuantía. Beneficiarios. Nacimiento, duración y extinción del derecho. Lesiones permanentes no incapacitantes. La calificación y revisión de la incapacidad permanente.</x:v>
      </x:c>
      <x:c r="V323" s="18" t="str">
        <x:v>incapacidad temporal</x:v>
      </x:c>
      <x:c r="W323" s="18" t="str">
        <x:v>texto refundido de la Ley General de la Seguridad Social</x:v>
      </x:c>
      <x:c r="X323" s="18" t="str">
        <x:v>174</x:v>
      </x:c>
      <x:c r="Y323" s="18" t="str">
        <x:v>Plazos</x:v>
      </x:c>
      <x:c r="Z323" s="18" t="str">
        <x:v>Alta</x:v>
      </x:c>
      <x:c r="AA323" s="18" t="str">
        <x:v>incapacidad temporal</x:v>
      </x:c>
      <x:c r="AB323" s="18" t="str"/>
      <x:c r="AC323" s="18" t="str"/>
      <x:c r="AD323" s="18" t="str">
        <x:v>No</x:v>
      </x:c>
      <x:c r="AE323" s="18" t="str">
        <x:v>Teórico</x:v>
      </x:c>
      <x:c r="AF323" s="18" t="str">
        <x:v>B</x:v>
      </x:c>
      <x:c r="AG323" s="18" t="str">
        <x:v>B</x:v>
      </x:c>
      <x:c r="AH323" s="18" t="str">
        <x:v>Válida</x:v>
      </x:c>
      <x:c r="AI323" s="18" t="str">
        <x:v>01. Información oficial de la oposición\Exámenes oficiales anteriores\2025 Convocatoria 2024 - Examen extraordinario acceso libre.pdf</x:v>
      </x:c>
      <x:c r="AJ323" s="18" t="str">
        <x:v>https://www.seg-social.es/wps/portal/wss/internet/InformacionUtil/9950/88beb45d-ca83-4bab-8162-f94ef2894562/7e46efac-32c8-4cf6-b3d3-d592c3560dff/rdpi_administrativos_2024</x:v>
      </x:c>
      <x:c r="AK323" s="18" t="str">
        <x:v>Texto PDF</x:v>
      </x:c>
      <x:c r="AL323" s="18" t="n">
        <x:v>100</x:v>
      </x:c>
      <x:c r="AM323" s="18" t="str">
        <x:v>Alta</x:v>
      </x:c>
      <x:c r="AN323" s="18" t="str">
        <x:v>Regla jurídica determinista</x:v>
      </x:c>
      <x:c r="AO323" s="18" t="str">
        <x:v>2025_conv2024_extraordinario-T49</x:v>
      </x:c>
      <x:c r="AP323" s="18" t="n">
        <x:v>1</x:v>
      </x:c>
    </x:row>
    <x:row r="324">
      <x:c r="A324" s="18" t="str">
        <x:v>2025_conv2024_extraordinario-T50</x:v>
      </x:c>
      <x:c r="B324" s="18" t="n">
        <x:v>2025</x:v>
      </x:c>
      <x:c r="C324" s="18" t="n">
        <x:v>2024</x:v>
      </x:c>
      <x:c r="D324" s="28" t="n">
        <x:v>45956</x:v>
      </x:c>
      <x:c r="E324" s="18" t="str">
        <x:v>Acceso libre</x:v>
      </x:c>
      <x:c r="F324" s="18" t="str">
        <x:v>Primera parte</x:v>
      </x:c>
      <x:c r="G324" s="18" t="str">
        <x:v>Extraordinario</x:v>
      </x:c>
      <x:c r="H324" s="18" t="str">
        <x:v>Único</x:v>
      </x:c>
      <x:c r="I324" s="18" t="str">
        <x:v>Sí</x:v>
      </x:c>
      <x:c r="J324" s="18" t="str">
        <x:v>Cuestionario extraordinario sin modelo paralelo.</x:v>
      </x:c>
      <x:c r="K324" s="18" t="n">
        <x:v>50</x:v>
      </x:c>
      <x:c r="L324" s="18" t="str">
        <x:v>No</x:v>
      </x:c>
      <x:c r="M324" s="18" t="str">
        <x:v>Según lo dispuesto en el artículo 182 del texto refundido de la Ley General de la Seguridad Social respecto a la prestación económica por maternidad en el supuesto especial, ¿cuál es la regla sobre su cuantía?</x:v>
      </x:c>
      <x:c r="N324" s="18" t="str">
        <x:v>La cuantía será el 100 % de la base reguladora calculada conforme al artículo 179.</x:v>
      </x:c>
      <x:c r="O324" s="18" t="str">
        <x:v>La cuantía será el 100 % del Indicador Público de Renta de Efectos Múltiples (IPREM) vigente, sin excepción.</x:v>
      </x:c>
      <x:c r="P324" s="18" t="str">
        <x:v>La cuantía será el 100 % del IPREM vigente, salvo que la base reguladora calculada conforme a los artículos 179 o 248 sea de cuantía inferior, en cuyo caso se aplicará ésta última.</x:v>
      </x:c>
      <x:c r="Q324" s="18" t="str">
        <x:v>La cuantía será el 75 % de la base reguladora calculada conforme al artículo 179, con posibles incrementos por parto múltiple.</x:v>
      </x:c>
      <x:c r="R324" s="18" t="str">
        <x:v>S09</x:v>
      </x:c>
      <x:c r="S324" s="18" t="n">
        <x:v>9</x:v>
      </x:c>
      <x:c r="T324" s="18" t="str">
        <x:v>Temario específico Seguridad Social</x:v>
      </x:c>
      <x:c r="U324" s="18" t="str">
        <x:v>Nacimiento y cuidado de menor. Ejercicio corresponsable del cuidado del lactante. Prestación por riesgo durante el embarazo. Prestación por riesgo durante la lactancia natural. Asignación económica por hijo o menor acogido a cargo. Prestación económica por nacimiento o adopción de hijo en supuestos de familias numerosas o monoparentales y en los casos de madres o padres con discapacidad. Prestación por parto o adopción Subsidio por cuidado de menores afectados por cáncer u otra enfermedad grave.</x:v>
      </x:c>
      <x:c r="V324" s="18" t="str">
        <x:v>S09</x:v>
      </x:c>
      <x:c r="W324" s="18" t="str">
        <x:v>texto refundido de la Ley General de la Seguridad Social</x:v>
      </x:c>
      <x:c r="X324" s="18" t="str">
        <x:v>182</x:v>
      </x:c>
      <x:c r="Y324" s="18" t="str">
        <x:v>Cálculos</x:v>
      </x:c>
      <x:c r="Z324" s="18" t="str">
        <x:v>Media</x:v>
      </x:c>
      <x:c r="AA324" s="18" t="str">
        <x:v>S09</x:v>
      </x:c>
      <x:c r="AB324" s="18" t="str"/>
      <x:c r="AC324" s="18" t="str"/>
      <x:c r="AD324" s="18" t="str">
        <x:v>No</x:v>
      </x:c>
      <x:c r="AE324" s="18" t="str">
        <x:v>Teórico</x:v>
      </x:c>
      <x:c r="AF324" s="18" t="str">
        <x:v>C</x:v>
      </x:c>
      <x:c r="AG324" s="18" t="str">
        <x:v>C</x:v>
      </x:c>
      <x:c r="AH324" s="18" t="str">
        <x:v>Válida</x:v>
      </x:c>
      <x:c r="AI324" s="18" t="str">
        <x:v>01. Información oficial de la oposición\Exámenes oficiales anteriores\2025 Convocatoria 2024 - Examen extraordinario acceso libre.pdf</x:v>
      </x:c>
      <x:c r="AJ324" s="18" t="str">
        <x:v>https://www.seg-social.es/wps/portal/wss/internet/InformacionUtil/9950/88beb45d-ca83-4bab-8162-f94ef2894562/7e46efac-32c8-4cf6-b3d3-d592c3560dff/rdpi_administrativos_2024</x:v>
      </x:c>
      <x:c r="AK324" s="18" t="str">
        <x:v>Texto PDF</x:v>
      </x:c>
      <x:c r="AL324" s="18" t="n">
        <x:v>100</x:v>
      </x:c>
      <x:c r="AM324" s="18" t="str">
        <x:v>Alta</x:v>
      </x:c>
      <x:c r="AN324" s="18" t="str">
        <x:v>Regla jurídica determinista</x:v>
      </x:c>
      <x:c r="AO324" s="18" t="str">
        <x:v>2025_conv2024_extraordinario-T50</x:v>
      </x:c>
      <x:c r="AP324" s="18" t="n">
        <x:v>1</x:v>
      </x:c>
    </x:row>
    <x:row r="325">
      <x:c r="A325" s="18" t="str">
        <x:v>2025_conv2024_extraordinario-T51</x:v>
      </x:c>
      <x:c r="B325" s="18" t="n">
        <x:v>2025</x:v>
      </x:c>
      <x:c r="C325" s="18" t="n">
        <x:v>2024</x:v>
      </x:c>
      <x:c r="D325" s="28" t="n">
        <x:v>45956</x:v>
      </x:c>
      <x:c r="E325" s="18" t="str">
        <x:v>Acceso libre</x:v>
      </x:c>
      <x:c r="F325" s="18" t="str">
        <x:v>Primera parte</x:v>
      </x:c>
      <x:c r="G325" s="18" t="str">
        <x:v>Extraordinario</x:v>
      </x:c>
      <x:c r="H325" s="18" t="str">
        <x:v>Único</x:v>
      </x:c>
      <x:c r="I325" s="18" t="str">
        <x:v>Sí</x:v>
      </x:c>
      <x:c r="J325" s="18" t="str">
        <x:v>Cuestionario extraordinario sin modelo paralelo.</x:v>
      </x:c>
      <x:c r="K325" s="18" t="n">
        <x:v>51</x:v>
      </x:c>
      <x:c r="L325" s="18" t="str">
        <x:v>No</x:v>
      </x:c>
      <x:c r="M325" s="18" t="str">
        <x:v>¿Cuál de las siguientes prestaciones está regulada en el capítulo I del Título VI del texto refundido de la Ley General de la Seguridad Social?</x:v>
      </x:c>
      <x:c r="N325" s="18" t="str">
        <x:v>Prestación por desempleo.</x:v>
      </x:c>
      <x:c r="O325" s="18" t="str">
        <x:v>Asignación económica por hijo o menor a cargo.</x:v>
      </x:c>
      <x:c r="P325" s="18" t="str">
        <x:v>Prestación por riesgo durante el embarazo.</x:v>
      </x:c>
      <x:c r="Q325" s="18" t="str">
        <x:v>Incapacidad no contributiva.</x:v>
      </x:c>
      <x:c r="R325" s="18" t="str">
        <x:v>S09</x:v>
      </x:c>
      <x:c r="S325" s="18" t="n">
        <x:v>9</x:v>
      </x:c>
      <x:c r="T325" s="18" t="str">
        <x:v>Temario específico Seguridad Social</x:v>
      </x:c>
      <x:c r="U325" s="18" t="str">
        <x:v>Nacimiento y cuidado de menor. Ejercicio corresponsable del cuidado del lactante. Prestación por riesgo durante el embarazo. Prestación por riesgo durante la lactancia natural. Asignación económica por hijo o menor acogido a cargo. Prestación económica por nacimiento o adopción de hijo en supuestos de familias numerosas o monoparentales y en los casos de madres o padres con discapacidad. Prestación por parto o adopción Subsidio por cuidado de menores afectados por cáncer u otra enfermedad grave.</x:v>
      </x:c>
      <x:c r="V325" s="18" t="str">
        <x:v>S09</x:v>
      </x:c>
      <x:c r="W325" s="18" t="str">
        <x:v>texto refundido de la Ley General de la Seguridad Social</x:v>
      </x:c>
      <x:c r="X325" s="18" t="str"/>
      <x:c r="Y325" s="18" t="str">
        <x:v>Prestaciones familiares</x:v>
      </x:c>
      <x:c r="Z325" s="18" t="str">
        <x:v>Básica</x:v>
      </x:c>
      <x:c r="AA325" s="18" t="str">
        <x:v>S09</x:v>
      </x:c>
      <x:c r="AB325" s="18" t="str"/>
      <x:c r="AC325" s="18" t="str"/>
      <x:c r="AD325" s="18" t="str">
        <x:v>No</x:v>
      </x:c>
      <x:c r="AE325" s="18" t="str">
        <x:v>Teórico</x:v>
      </x:c>
      <x:c r="AF325" s="18" t="str">
        <x:v>B</x:v>
      </x:c>
      <x:c r="AG325" s="18" t="str">
        <x:v>B</x:v>
      </x:c>
      <x:c r="AH325" s="18" t="str">
        <x:v>Válida</x:v>
      </x:c>
      <x:c r="AI325" s="18" t="str">
        <x:v>01. Información oficial de la oposición\Exámenes oficiales anteriores\2025 Convocatoria 2024 - Examen extraordinario acceso libre.pdf</x:v>
      </x:c>
      <x:c r="AJ325" s="18" t="str">
        <x:v>https://www.seg-social.es/wps/portal/wss/internet/InformacionUtil/9950/88beb45d-ca83-4bab-8162-f94ef2894562/7e46efac-32c8-4cf6-b3d3-d592c3560dff/rdpi_administrativos_2024</x:v>
      </x:c>
      <x:c r="AK325" s="18" t="str">
        <x:v>Texto PDF</x:v>
      </x:c>
      <x:c r="AL325" s="18" t="n">
        <x:v>100</x:v>
      </x:c>
      <x:c r="AM325" s="18" t="str">
        <x:v>Alta</x:v>
      </x:c>
      <x:c r="AN325" s="18" t="str">
        <x:v>Revisión jurídica individual</x:v>
      </x:c>
      <x:c r="AO325" s="18" t="str">
        <x:v>2025_conv2024_extraordinario-T51</x:v>
      </x:c>
      <x:c r="AP325" s="18" t="n">
        <x:v>1</x:v>
      </x:c>
    </x:row>
    <x:row r="326">
      <x:c r="A326" s="18" t="str">
        <x:v>2025_conv2024_extraordinario-T52</x:v>
      </x:c>
      <x:c r="B326" s="18" t="n">
        <x:v>2025</x:v>
      </x:c>
      <x:c r="C326" s="18" t="n">
        <x:v>2024</x:v>
      </x:c>
      <x:c r="D326" s="28" t="n">
        <x:v>45956</x:v>
      </x:c>
      <x:c r="E326" s="18" t="str">
        <x:v>Acceso libre</x:v>
      </x:c>
      <x:c r="F326" s="18" t="str">
        <x:v>Primera parte</x:v>
      </x:c>
      <x:c r="G326" s="18" t="str">
        <x:v>Extraordinario</x:v>
      </x:c>
      <x:c r="H326" s="18" t="str">
        <x:v>Único</x:v>
      </x:c>
      <x:c r="I326" s="18" t="str">
        <x:v>Sí</x:v>
      </x:c>
      <x:c r="J326" s="18" t="str">
        <x:v>Cuestionario extraordinario sin modelo paralelo.</x:v>
      </x:c>
      <x:c r="K326" s="18" t="n">
        <x:v>52</x:v>
      </x:c>
      <x:c r="L326" s="18" t="str">
        <x:v>No</x:v>
      </x:c>
      <x:c r="M326" s="18" t="str">
        <x:v>Conforme al artículo 183 del texto refundido de la Ley General de la Seguridad Social, ¿cuál de las siguientes afirmaciones es correcta respecto a la situación protegida a efectos de la prestación económica por ejercicio corresponsable del cuidado del lactante?</x:v>
      </x:c>
      <x:c r="N326" s="18" t="str">
        <x:v>La reducción de jornada debe ser de una hora diaria, de forma acumulable entre ambos progenitores, sin necesidad de que ambos trabajen.</x:v>
      </x:c>
      <x:c r="O326" s="18" t="str">
        <x:v>La reducción de jornada debe ser de media hora diaria, con la misma duración y régimen para ambos progenitores, adoptantes, guardadores con fines de adopción o acogedores de carácter permanente, siempre que ambos trabajen.</x:v>
      </x:c>
      <x:c r="P326" s="18" t="str">
        <x:v>La reducción de jornada puede ser de una hora diaria, con la misma duración y régimen para ambos progenitores, sin necesidad de que ambos trabajen.</x:v>
      </x:c>
      <x:c r="Q326" s="18" t="str">
        <x:v>La reducción de jornada debe ser de media hora diaria, con la misma duración y régimen para ambos progenitores, adoptantes, guardadores con fines de adopción o acogedores de carácter permanente, siempre que al menos uno de ellos trabaje.</x:v>
      </x:c>
      <x:c r="R326" s="18" t="str">
        <x:v>S09</x:v>
      </x:c>
      <x:c r="S326" s="18" t="n">
        <x:v>9</x:v>
      </x:c>
      <x:c r="T326" s="18" t="str">
        <x:v>Temario específico Seguridad Social</x:v>
      </x:c>
      <x:c r="U326" s="18" t="str">
        <x:v>Nacimiento y cuidado de menor. Ejercicio corresponsable del cuidado del lactante. Prestación por riesgo durante el embarazo. Prestación por riesgo durante la lactancia natural. Asignación económica por hijo o menor acogido a cargo. Prestación económica por nacimiento o adopción de hijo en supuestos de familias numerosas o monoparentales y en los casos de madres o padres con discapacidad. Prestación por parto o adopción Subsidio por cuidado de menores afectados por cáncer u otra enfermedad grave.</x:v>
      </x:c>
      <x:c r="V326" s="18" t="str">
        <x:v>S09</x:v>
      </x:c>
      <x:c r="W326" s="18" t="str">
        <x:v>texto refundido de la Ley General de la Seguridad Social</x:v>
      </x:c>
      <x:c r="X326" s="18" t="str">
        <x:v>183</x:v>
      </x:c>
      <x:c r="Y326" s="18" t="str">
        <x:v>Prestaciones familiares</x:v>
      </x:c>
      <x:c r="Z326" s="18" t="str">
        <x:v>Media</x:v>
      </x:c>
      <x:c r="AA326" s="18" t="str">
        <x:v>S09</x:v>
      </x:c>
      <x:c r="AB326" s="18" t="str"/>
      <x:c r="AC326" s="18" t="str"/>
      <x:c r="AD326" s="18" t="str">
        <x:v>No</x:v>
      </x:c>
      <x:c r="AE326" s="18" t="str">
        <x:v>Teórico</x:v>
      </x:c>
      <x:c r="AF326" s="18" t="str">
        <x:v>B</x:v>
      </x:c>
      <x:c r="AG326" s="18" t="str">
        <x:v>B</x:v>
      </x:c>
      <x:c r="AH326" s="18" t="str">
        <x:v>Válida</x:v>
      </x:c>
      <x:c r="AI326" s="18" t="str">
        <x:v>01. Información oficial de la oposición\Exámenes oficiales anteriores\2025 Convocatoria 2024 - Examen extraordinario acceso libre.pdf</x:v>
      </x:c>
      <x:c r="AJ326" s="18" t="str">
        <x:v>https://www.seg-social.es/wps/portal/wss/internet/InformacionUtil/9950/88beb45d-ca83-4bab-8162-f94ef2894562/7e46efac-32c8-4cf6-b3d3-d592c3560dff/rdpi_administrativos_2024</x:v>
      </x:c>
      <x:c r="AK326" s="18" t="str">
        <x:v>Texto PDF</x:v>
      </x:c>
      <x:c r="AL326" s="18" t="n">
        <x:v>100</x:v>
      </x:c>
      <x:c r="AM326" s="18" t="str">
        <x:v>Alta</x:v>
      </x:c>
      <x:c r="AN326" s="18" t="str">
        <x:v>Regla jurídica determinista</x:v>
      </x:c>
      <x:c r="AO326" s="18" t="str">
        <x:v>2025_conv2024_extraordinario-T52</x:v>
      </x:c>
      <x:c r="AP326" s="18" t="n">
        <x:v>1</x:v>
      </x:c>
    </x:row>
    <x:row r="327">
      <x:c r="A327" s="18" t="str">
        <x:v>2025_conv2024_extraordinario-T53</x:v>
      </x:c>
      <x:c r="B327" s="18" t="n">
        <x:v>2025</x:v>
      </x:c>
      <x:c r="C327" s="18" t="n">
        <x:v>2024</x:v>
      </x:c>
      <x:c r="D327" s="28" t="n">
        <x:v>45956</x:v>
      </x:c>
      <x:c r="E327" s="18" t="str">
        <x:v>Acceso libre</x:v>
      </x:c>
      <x:c r="F327" s="18" t="str">
        <x:v>Primera parte</x:v>
      </x:c>
      <x:c r="G327" s="18" t="str">
        <x:v>Extraordinario</x:v>
      </x:c>
      <x:c r="H327" s="18" t="str">
        <x:v>Único</x:v>
      </x:c>
      <x:c r="I327" s="18" t="str">
        <x:v>Sí</x:v>
      </x:c>
      <x:c r="J327" s="18" t="str">
        <x:v>Cuestionario extraordinario sin modelo paralelo.</x:v>
      </x:c>
      <x:c r="K327" s="18" t="n">
        <x:v>53</x:v>
      </x:c>
      <x:c r="L327" s="18" t="str">
        <x:v>No</x:v>
      </x:c>
      <x:c r="M327" s="18" t="str">
        <x:v>Según el artículo 205 del texto refundido de la Ley General de la Seguridad Social, para el cómputo de los periodos de cotización a efectos de reconocimiento del derecho a la pensión de jubilación en su modalidad contributiva:</x:v>
      </x:c>
      <x:c r="N327" s="18" t="str">
        <x:v>Se tomarán años y meses completos, sin que se equiparen a ellos las fracciones de los mismos.</x:v>
      </x:c>
      <x:c r="O327" s="18" t="str">
        <x:v>Se tomarán años y meses completos, equiparándose a ellos las fracciones de los mismos.</x:v>
      </x:c>
      <x:c r="P327" s="18" t="str">
        <x:v>Se tomarán años, meses y días, sin que se equiparen a ellos las fracciones de los mismos.</x:v>
      </x:c>
      <x:c r="Q327" s="18" t="str">
        <x:v>Se tomarán años y días completos, equiparándose a ellos las fracciones de los mismos.</x:v>
      </x:c>
      <x:c r="R327" s="18" t="str">
        <x:v>S10</x:v>
      </x:c>
      <x:c r="S327" s="18" t="n">
        <x:v>10</x:v>
      </x:c>
      <x:c r="T327" s="18" t="str">
        <x:v>Temario específico Seguridad Social</x:v>
      </x:c>
      <x:c r="U327" s="18" t="str">
        <x:v>Jubilación en la modalidad contributiva: concepto. Jubilación ordinaria: requisitos: especial referencia a la edad de jubilación. Determinación de la cuantía de la prestación: base reguladora y porcentaje. Jubilación anticipada, jubilación parcial y jubilación flexible. Compatibilidad de la pensión de jubilación y el trabajo. Suspensión y extinción de la prestación. Especial referencia a la aplicación de la normativa anterior a la Ley 27/2011.</x:v>
      </x:c>
      <x:c r="V327" s="18" t="str">
        <x:v>jubilación</x:v>
      </x:c>
      <x:c r="W327" s="18" t="str">
        <x:v>texto refundido de la Ley General de la Seguridad Social</x:v>
      </x:c>
      <x:c r="X327" s="18" t="str">
        <x:v>205</x:v>
      </x:c>
      <x:c r="Y327" s="18" t="str">
        <x:v>Jubilación</x:v>
      </x:c>
      <x:c r="Z327" s="18" t="str">
        <x:v>Media</x:v>
      </x:c>
      <x:c r="AA327" s="18" t="str">
        <x:v>jubilación</x:v>
      </x:c>
      <x:c r="AB327" s="18" t="str"/>
      <x:c r="AC327" s="18" t="str"/>
      <x:c r="AD327" s="18" t="str">
        <x:v>No</x:v>
      </x:c>
      <x:c r="AE327" s="18" t="str">
        <x:v>Teórico</x:v>
      </x:c>
      <x:c r="AF327" s="18" t="str">
        <x:v>A</x:v>
      </x:c>
      <x:c r="AG327" s="18" t="str">
        <x:v>A</x:v>
      </x:c>
      <x:c r="AH327" s="18" t="str">
        <x:v>Válida</x:v>
      </x:c>
      <x:c r="AI327" s="18" t="str">
        <x:v>01. Información oficial de la oposición\Exámenes oficiales anteriores\2025 Convocatoria 2024 - Examen extraordinario acceso libre.pdf</x:v>
      </x:c>
      <x:c r="AJ327" s="18" t="str">
        <x:v>https://www.seg-social.es/wps/portal/wss/internet/InformacionUtil/9950/88beb45d-ca83-4bab-8162-f94ef2894562/7e46efac-32c8-4cf6-b3d3-d592c3560dff/rdpi_administrativos_2024</x:v>
      </x:c>
      <x:c r="AK327" s="18" t="str">
        <x:v>Texto PDF</x:v>
      </x:c>
      <x:c r="AL327" s="18" t="n">
        <x:v>100</x:v>
      </x:c>
      <x:c r="AM327" s="18" t="str">
        <x:v>Alta</x:v>
      </x:c>
      <x:c r="AN327" s="18" t="str">
        <x:v>Regla jurídica determinista</x:v>
      </x:c>
      <x:c r="AO327" s="18" t="str">
        <x:v>2025_conv2024_extraordinario-T53</x:v>
      </x:c>
      <x:c r="AP327" s="18" t="n">
        <x:v>1</x:v>
      </x:c>
    </x:row>
    <x:row r="328">
      <x:c r="A328" s="18" t="str">
        <x:v>2025_conv2024_extraordinario-T54</x:v>
      </x:c>
      <x:c r="B328" s="18" t="n">
        <x:v>2025</x:v>
      </x:c>
      <x:c r="C328" s="18" t="n">
        <x:v>2024</x:v>
      </x:c>
      <x:c r="D328" s="28" t="n">
        <x:v>45956</x:v>
      </x:c>
      <x:c r="E328" s="18" t="str">
        <x:v>Acceso libre</x:v>
      </x:c>
      <x:c r="F328" s="18" t="str">
        <x:v>Primera parte</x:v>
      </x:c>
      <x:c r="G328" s="18" t="str">
        <x:v>Extraordinario</x:v>
      </x:c>
      <x:c r="H328" s="18" t="str">
        <x:v>Único</x:v>
      </x:c>
      <x:c r="I328" s="18" t="str">
        <x:v>Sí</x:v>
      </x:c>
      <x:c r="J328" s="18" t="str">
        <x:v>Cuestionario extraordinario sin modelo paralelo.</x:v>
      </x:c>
      <x:c r="K328" s="18" t="n">
        <x:v>54</x:v>
      </x:c>
      <x:c r="L328" s="18" t="str">
        <x:v>No</x:v>
      </x:c>
      <x:c r="M328" s="18" t="str">
        <x:v>En la jubilación anticipada por causa no imputable al trabajador del artículo 207 del texto refundido de la Ley General de la Seguridad Social, se exigirá, entre otros, el siguiente requisito:</x:v>
      </x:c>
      <x:c r="N328" s="18" t="str">
        <x:v>Encontrarse inscrito en las oficinas de empleo como demandante de empleo durante un plazo de, al menos, seis meses inmediatamente anteriores a la fecha de la solicitud de la jubilación.</x:v>
      </x:c>
      <x:c r="O328" s="18" t="str">
        <x:v>Encontrarse inscrito en las oficinas de empleo como demandante de empleo durante un plazo de, al menos, tres meses inmediatamente anteriores a la fecha de la solicitud de la jubilación.</x:v>
      </x:c>
      <x:c r="P328" s="18" t="str">
        <x:v>Encontrarse inscrito en las oficinas de empleo como demandante de empleo durante un plazo de, al menos, 15 días inmediatamente anteriores a la fecha de la solicitud de la jubilación.</x:v>
      </x:c>
      <x:c r="Q328" s="18" t="str">
        <x:v>Encontrarse inscrito en las oficinas de empleo como demandante de empleo durante un plazo de, al menos, un mes inmediatamente anterior a la fecha de la solicitud de la jubilación.</x:v>
      </x:c>
      <x:c r="R328" s="18" t="str">
        <x:v>S10</x:v>
      </x:c>
      <x:c r="S328" s="18" t="n">
        <x:v>10</x:v>
      </x:c>
      <x:c r="T328" s="18" t="str">
        <x:v>Temario específico Seguridad Social</x:v>
      </x:c>
      <x:c r="U328" s="18" t="str">
        <x:v>Jubilación en la modalidad contributiva: concepto. Jubilación ordinaria: requisitos: especial referencia a la edad de jubilación. Determinación de la cuantía de la prestación: base reguladora y porcentaje. Jubilación anticipada, jubilación parcial y jubilación flexible. Compatibilidad de la pensión de jubilación y el trabajo. Suspensión y extinción de la prestación. Especial referencia a la aplicación de la normativa anterior a la Ley 27/2011.</x:v>
      </x:c>
      <x:c r="V328" s="18" t="str">
        <x:v>jubilación anticipada</x:v>
      </x:c>
      <x:c r="W328" s="18" t="str">
        <x:v>texto refundido de la Ley General de la Seguridad Social</x:v>
      </x:c>
      <x:c r="X328" s="18" t="str">
        <x:v>207</x:v>
      </x:c>
      <x:c r="Y328" s="18" t="str">
        <x:v>Requisitos</x:v>
      </x:c>
      <x:c r="Z328" s="18" t="str">
        <x:v>Media</x:v>
      </x:c>
      <x:c r="AA328" s="18" t="str">
        <x:v>jubilación anticipada</x:v>
      </x:c>
      <x:c r="AB328" s="18" t="str"/>
      <x:c r="AC328" s="18" t="str"/>
      <x:c r="AD328" s="18" t="str">
        <x:v>No</x:v>
      </x:c>
      <x:c r="AE328" s="18" t="str">
        <x:v>Teórico</x:v>
      </x:c>
      <x:c r="AF328" s="18" t="str">
        <x:v>A</x:v>
      </x:c>
      <x:c r="AG328" s="18" t="str">
        <x:v>A</x:v>
      </x:c>
      <x:c r="AH328" s="18" t="str">
        <x:v>Válida</x:v>
      </x:c>
      <x:c r="AI328" s="18" t="str">
        <x:v>01. Información oficial de la oposición\Exámenes oficiales anteriores\2025 Convocatoria 2024 - Examen extraordinario acceso libre.pdf</x:v>
      </x:c>
      <x:c r="AJ328" s="18" t="str">
        <x:v>https://www.seg-social.es/wps/portal/wss/internet/InformacionUtil/9950/88beb45d-ca83-4bab-8162-f94ef2894562/7e46efac-32c8-4cf6-b3d3-d592c3560dff/rdpi_administrativos_2024</x:v>
      </x:c>
      <x:c r="AK328" s="18" t="str">
        <x:v>Texto PDF</x:v>
      </x:c>
      <x:c r="AL328" s="18" t="n">
        <x:v>100</x:v>
      </x:c>
      <x:c r="AM328" s="18" t="str">
        <x:v>Alta</x:v>
      </x:c>
      <x:c r="AN328" s="18" t="str">
        <x:v>Regla jurídica determinista</x:v>
      </x:c>
      <x:c r="AO328" s="18" t="str">
        <x:v>2025_conv2024_extraordinario-T54</x:v>
      </x:c>
      <x:c r="AP328" s="18" t="n">
        <x:v>1</x:v>
      </x:c>
    </x:row>
    <x:row r="329">
      <x:c r="A329" s="18" t="str">
        <x:v>2025_conv2024_extraordinario-T55</x:v>
      </x:c>
      <x:c r="B329" s="18" t="n">
        <x:v>2025</x:v>
      </x:c>
      <x:c r="C329" s="18" t="n">
        <x:v>2024</x:v>
      </x:c>
      <x:c r="D329" s="28" t="n">
        <x:v>45956</x:v>
      </x:c>
      <x:c r="E329" s="18" t="str">
        <x:v>Acceso libre</x:v>
      </x:c>
      <x:c r="F329" s="18" t="str">
        <x:v>Primera parte</x:v>
      </x:c>
      <x:c r="G329" s="18" t="str">
        <x:v>Extraordinario</x:v>
      </x:c>
      <x:c r="H329" s="18" t="str">
        <x:v>Único</x:v>
      </x:c>
      <x:c r="I329" s="18" t="str">
        <x:v>Sí</x:v>
      </x:c>
      <x:c r="J329" s="18" t="str">
        <x:v>Cuestionario extraordinario sin modelo paralelo.</x:v>
      </x:c>
      <x:c r="K329" s="18" t="n">
        <x:v>55</x:v>
      </x:c>
      <x:c r="L329" s="18" t="str">
        <x:v>No</x:v>
      </x:c>
      <x:c r="M329" s="18" t="str">
        <x:v>En el acceso a la jubilación anticipada por voluntad del interesado del art ículo 208 del texto refundido de la Ley General de la Seguridad Social, ¿cuál es el periodo mínimo de cotización efectiva exigida?</x:v>
      </x:c>
      <x:c r="N329" s="18" t="str">
        <x:v>Treinta y cinco años, sin que, a tales efectos, se tenga en cuenta la parte proporcional por pagas extraordinarias.</x:v>
      </x:c>
      <x:c r="O329" s="18" t="str">
        <x:v>Treinta y ocho años, sin que, a tales efectos, se tenga en cuenta la parte proporcional por pagas extraordinarias.</x:v>
      </x:c>
      <x:c r="P329" s="18" t="str">
        <x:v>Quince años, de los cuales al menos dos deberán estar comprendidos dentro de los quince años inmediatamente anteriores al momento de causar el derecho.</x:v>
      </x:c>
      <x:c r="Q329" s="18" t="str">
        <x:v>Quince años, sin que, a tales efectos, se tenga en cuenta la parte proporcional por pagas extraordinarias.</x:v>
      </x:c>
      <x:c r="R329" s="18" t="str">
        <x:v>S10</x:v>
      </x:c>
      <x:c r="S329" s="18" t="n">
        <x:v>10</x:v>
      </x:c>
      <x:c r="T329" s="18" t="str">
        <x:v>Temario específico Seguridad Social</x:v>
      </x:c>
      <x:c r="U329" s="18" t="str">
        <x:v>Jubilación en la modalidad contributiva: concepto. Jubilación ordinaria: requisitos: especial referencia a la edad de jubilación. Determinación de la cuantía de la prestación: base reguladora y porcentaje. Jubilación anticipada, jubilación parcial y jubilación flexible. Compatibilidad de la pensión de jubilación y el trabajo. Suspensión y extinción de la prestación. Especial referencia a la aplicación de la normativa anterior a la Ley 27/2011.</x:v>
      </x:c>
      <x:c r="V329" s="18" t="str">
        <x:v>jubilación anticipada</x:v>
      </x:c>
      <x:c r="W329" s="18" t="str">
        <x:v>texto refundido de la Ley General de la Seguridad Social</x:v>
      </x:c>
      <x:c r="X329" s="18" t="str"/>
      <x:c r="Y329" s="18" t="str">
        <x:v>Requisitos</x:v>
      </x:c>
      <x:c r="Z329" s="18" t="str">
        <x:v>Media</x:v>
      </x:c>
      <x:c r="AA329" s="18" t="str">
        <x:v>jubilación anticipada</x:v>
      </x:c>
      <x:c r="AB329" s="18" t="str"/>
      <x:c r="AC329" s="18" t="str"/>
      <x:c r="AD329" s="18" t="str">
        <x:v>No</x:v>
      </x:c>
      <x:c r="AE329" s="18" t="str">
        <x:v>Teórico</x:v>
      </x:c>
      <x:c r="AF329" s="18" t="str">
        <x:v>A</x:v>
      </x:c>
      <x:c r="AG329" s="18" t="str">
        <x:v>A</x:v>
      </x:c>
      <x:c r="AH329" s="18" t="str">
        <x:v>Válida</x:v>
      </x:c>
      <x:c r="AI329" s="18" t="str">
        <x:v>01. Información oficial de la oposición\Exámenes oficiales anteriores\2025 Convocatoria 2024 - Examen extraordinario acceso libre.pdf</x:v>
      </x:c>
      <x:c r="AJ329" s="18" t="str">
        <x:v>https://www.seg-social.es/wps/portal/wss/internet/InformacionUtil/9950/88beb45d-ca83-4bab-8162-f94ef2894562/7e46efac-32c8-4cf6-b3d3-d592c3560dff/rdpi_administrativos_2024</x:v>
      </x:c>
      <x:c r="AK329" s="18" t="str">
        <x:v>Texto PDF</x:v>
      </x:c>
      <x:c r="AL329" s="18" t="n">
        <x:v>100</x:v>
      </x:c>
      <x:c r="AM329" s="18" t="str">
        <x:v>Alta</x:v>
      </x:c>
      <x:c r="AN329" s="18" t="str">
        <x:v>Regla jurídica determinista</x:v>
      </x:c>
      <x:c r="AO329" s="18" t="str">
        <x:v>2025_conv2024_extraordinario-T55</x:v>
      </x:c>
      <x:c r="AP329" s="18" t="n">
        <x:v>1</x:v>
      </x:c>
    </x:row>
    <x:row r="330">
      <x:c r="A330" s="18" t="str">
        <x:v>2025_conv2024_extraordinario-T56</x:v>
      </x:c>
      <x:c r="B330" s="18" t="n">
        <x:v>2025</x:v>
      </x:c>
      <x:c r="C330" s="18" t="n">
        <x:v>2024</x:v>
      </x:c>
      <x:c r="D330" s="28" t="n">
        <x:v>45956</x:v>
      </x:c>
      <x:c r="E330" s="18" t="str">
        <x:v>Acceso libre</x:v>
      </x:c>
      <x:c r="F330" s="18" t="str">
        <x:v>Primera parte</x:v>
      </x:c>
      <x:c r="G330" s="18" t="str">
        <x:v>Extraordinario</x:v>
      </x:c>
      <x:c r="H330" s="18" t="str">
        <x:v>Único</x:v>
      </x:c>
      <x:c r="I330" s="18" t="str">
        <x:v>Sí</x:v>
      </x:c>
      <x:c r="J330" s="18" t="str">
        <x:v>Cuestionario extraordinario sin modelo paralelo.</x:v>
      </x:c>
      <x:c r="K330" s="18" t="n">
        <x:v>56</x:v>
      </x:c>
      <x:c r="L330" s="18" t="str">
        <x:v>No</x:v>
      </x:c>
      <x:c r="M330" s="18" t="str">
        <x:v>Según el art ículo 205 del texto refundido de la Ley General de la Seguridad Social, a efectos del cómputo de los años cotizados para tener derecho a la pensión de jubilación en su modalidad contributiva:</x:v>
      </x:c>
      <x:c r="N330" s="18" t="str">
        <x:v>No se tendrá en cuenta la parte proporcional correspondiente a las pagas extraordinarias.</x:v>
      </x:c>
      <x:c r="O330" s="18" t="str">
        <x:v>Se tendrá en cuenta la parte proporcional correspondiente a las pagas extraordinarias.</x:v>
      </x:c>
      <x:c r="P330" s="18" t="str">
        <x:v>Sólo se tendrá en cuenta la parte proporcional correspondiente a las pagas extraordinarias de los quince años inmediatamente anteriores al momento de causar el derecho.</x:v>
      </x:c>
      <x:c r="Q330" s="18" t="str">
        <x:v>Sólo se tendrá en cuenta la parte proporcional correspondiente a las pagas extraordinarias de los dos años inmediatamente anteriores al momento de causar el derecho.</x:v>
      </x:c>
      <x:c r="R330" s="18" t="str">
        <x:v>S10</x:v>
      </x:c>
      <x:c r="S330" s="18" t="n">
        <x:v>10</x:v>
      </x:c>
      <x:c r="T330" s="18" t="str">
        <x:v>Temario específico Seguridad Social</x:v>
      </x:c>
      <x:c r="U330" s="18" t="str">
        <x:v>Jubilación en la modalidad contributiva: concepto. Jubilación ordinaria: requisitos: especial referencia a la edad de jubilación. Determinación de la cuantía de la prestación: base reguladora y porcentaje. Jubilación anticipada, jubilación parcial y jubilación flexible. Compatibilidad de la pensión de jubilación y el trabajo. Suspensión y extinción de la prestación. Especial referencia a la aplicación de la normativa anterior a la Ley 27/2011.</x:v>
      </x:c>
      <x:c r="V330" s="18" t="str">
        <x:v>jubilación</x:v>
      </x:c>
      <x:c r="W330" s="18" t="str">
        <x:v>texto refundido de la Ley General de la Seguridad Social</x:v>
      </x:c>
      <x:c r="X330" s="18" t="str"/>
      <x:c r="Y330" s="18" t="str">
        <x:v>Jubilación</x:v>
      </x:c>
      <x:c r="Z330" s="18" t="str">
        <x:v>Media</x:v>
      </x:c>
      <x:c r="AA330" s="18" t="str">
        <x:v>jubilación</x:v>
      </x:c>
      <x:c r="AB330" s="18" t="str"/>
      <x:c r="AC330" s="18" t="str"/>
      <x:c r="AD330" s="18" t="str">
        <x:v>No</x:v>
      </x:c>
      <x:c r="AE330" s="18" t="str">
        <x:v>Teórico</x:v>
      </x:c>
      <x:c r="AF330" s="18" t="str">
        <x:v>A</x:v>
      </x:c>
      <x:c r="AG330" s="18" t="str">
        <x:v>A</x:v>
      </x:c>
      <x:c r="AH330" s="18" t="str">
        <x:v>Válida</x:v>
      </x:c>
      <x:c r="AI330" s="18" t="str">
        <x:v>01. Información oficial de la oposición\Exámenes oficiales anteriores\2025 Convocatoria 2024 - Examen extraordinario acceso libre.pdf</x:v>
      </x:c>
      <x:c r="AJ330" s="18" t="str">
        <x:v>https://www.seg-social.es/wps/portal/wss/internet/InformacionUtil/9950/88beb45d-ca83-4bab-8162-f94ef2894562/7e46efac-32c8-4cf6-b3d3-d592c3560dff/rdpi_administrativos_2024</x:v>
      </x:c>
      <x:c r="AK330" s="18" t="str">
        <x:v>Texto PDF</x:v>
      </x:c>
      <x:c r="AL330" s="18" t="n">
        <x:v>100</x:v>
      </x:c>
      <x:c r="AM330" s="18" t="str">
        <x:v>Alta</x:v>
      </x:c>
      <x:c r="AN330" s="18" t="str">
        <x:v>Regla jurídica determinista</x:v>
      </x:c>
      <x:c r="AO330" s="18" t="str">
        <x:v>2025_conv2024_extraordinario-T56</x:v>
      </x:c>
      <x:c r="AP330" s="18" t="n">
        <x:v>1</x:v>
      </x:c>
    </x:row>
    <x:row r="331">
      <x:c r="A331" s="18" t="str">
        <x:v>2025_conv2024_extraordinario-T57</x:v>
      </x:c>
      <x:c r="B331" s="18" t="n">
        <x:v>2025</x:v>
      </x:c>
      <x:c r="C331" s="18" t="n">
        <x:v>2024</x:v>
      </x:c>
      <x:c r="D331" s="28" t="n">
        <x:v>45956</x:v>
      </x:c>
      <x:c r="E331" s="18" t="str">
        <x:v>Acceso libre</x:v>
      </x:c>
      <x:c r="F331" s="18" t="str">
        <x:v>Primera parte</x:v>
      </x:c>
      <x:c r="G331" s="18" t="str">
        <x:v>Extraordinario</x:v>
      </x:c>
      <x:c r="H331" s="18" t="str">
        <x:v>Único</x:v>
      </x:c>
      <x:c r="I331" s="18" t="str">
        <x:v>Sí</x:v>
      </x:c>
      <x:c r="J331" s="18" t="str">
        <x:v>Cuestionario extraordinario sin modelo paralelo.</x:v>
      </x:c>
      <x:c r="K331" s="18" t="n">
        <x:v>57</x:v>
      </x:c>
      <x:c r="L331" s="18" t="str">
        <x:v>No</x:v>
      </x:c>
      <x:c r="M331" s="18" t="str">
        <x:v>De acuerdo con el artículo 217 del texto refundido de la Ley General de la Seguridad Social deberá probarse que la muerte ha ocurrido por accidente de trabajo o enfermedad profesional, salvo que tuvieran ya reconocido los causantes una incapacidad permanente absoluta o gran invalidez. Dicha prueba solo se admitirá:</x:v>
      </x:c>
      <x:c r="N331" s="18" t="str">
        <x:v>En caso de accidente de trabajo y enfermedad profesional , si el fallecimiento hubiera ocurrido dentro de los cinco años siguientes a la fecha del hecho causante.</x:v>
      </x:c>
      <x:c r="O331" s="18" t="str">
        <x:v>En caso de accidente de trabajo , si el fallecimiento hubiera ocurrido dentro de los cinco años siguientes a la fecha del accidente. En caso de enfermedad profesional se admitirá tal prueba cualquiera que sea el tiempo transcurrido.</x:v>
      </x:c>
      <x:c r="P331" s="18" t="str">
        <x:v>En caso de accidente de trabajo , si el fallecimiento hubiera ocurrido dentro de los diez años siguientes a la fecha del accidente. En caso de enfermedad profesional se admitirá tal prueba cualquiera que sea el tiempo transcurrido</x:v>
      </x:c>
      <x:c r="Q331" s="18" t="str">
        <x:v>En caso de accidente de trabajo y enfermedad profesional , si el fallecimiento hubiera ocurrido dentro de los diez años siguientes a la fecha del hecho causante.</x:v>
      </x:c>
      <x:c r="R331" s="18" t="str">
        <x:v>S11</x:v>
      </x:c>
      <x:c r="S331" s="18" t="n">
        <x:v>11</x:v>
      </x:c>
      <x:c r="T331" s="18" t="str">
        <x:v>Temario específico Seguridad Social</x:v>
      </x:c>
      <x:c r="U331" s="18" t="str">
        <x:v>La protección por muerte y supervivencia. Hecho causante. Requisitos para las prestaciones de viudedad, orfandad y en favor de familiares. Cuantía de las prestaciones. Compatibilidad. Suspensión y Extinción. Normas específicas en caso de muerte derivada de accidente de trabajo o enfermedad profesional. Efectividad económica de las prestaciones. El auxilio por defunción.</x:v>
      </x:c>
      <x:c r="V331" s="18" t="str">
        <x:v>incapacidad permanente</x:v>
      </x:c>
      <x:c r="W331" s="18" t="str">
        <x:v>texto refundido de la Ley General de la Seguridad Social</x:v>
      </x:c>
      <x:c r="X331" s="18" t="str">
        <x:v>217</x:v>
      </x:c>
      <x:c r="Y331" s="18" t="str">
        <x:v>Muerte y supervivencia</x:v>
      </x:c>
      <x:c r="Z331" s="18" t="str">
        <x:v>Alta</x:v>
      </x:c>
      <x:c r="AA331" s="18" t="str">
        <x:v>incapacidad permanente</x:v>
      </x:c>
      <x:c r="AB331" s="18" t="str"/>
      <x:c r="AC331" s="18" t="str"/>
      <x:c r="AD331" s="18" t="str">
        <x:v>Sí</x:v>
      </x:c>
      <x:c r="AE331" s="18" t="str">
        <x:v>Teórico</x:v>
      </x:c>
      <x:c r="AF331" s="18" t="str">
        <x:v>B</x:v>
      </x:c>
      <x:c r="AG331" s="18" t="str">
        <x:v>B</x:v>
      </x:c>
      <x:c r="AH331" s="18" t="str">
        <x:v>Válida</x:v>
      </x:c>
      <x:c r="AI331" s="18" t="str">
        <x:v>01. Información oficial de la oposición\Exámenes oficiales anteriores\2025 Convocatoria 2024 - Examen extraordinario acceso libre.pdf</x:v>
      </x:c>
      <x:c r="AJ331" s="18" t="str">
        <x:v>https://www.seg-social.es/wps/portal/wss/internet/InformacionUtil/9950/88beb45d-ca83-4bab-8162-f94ef2894562/7e46efac-32c8-4cf6-b3d3-d592c3560dff/rdpi_administrativos_2024</x:v>
      </x:c>
      <x:c r="AK331" s="18" t="str">
        <x:v>Texto PDF</x:v>
      </x:c>
      <x:c r="AL331" s="18" t="n">
        <x:v>100</x:v>
      </x:c>
      <x:c r="AM331" s="18" t="str">
        <x:v>Alta</x:v>
      </x:c>
      <x:c r="AN331" s="18" t="str">
        <x:v>Revisión jurídica individual</x:v>
      </x:c>
      <x:c r="AO331" s="18" t="str">
        <x:v>2025_conv2024_extraordinario-T57</x:v>
      </x:c>
      <x:c r="AP331" s="18" t="n">
        <x:v>1</x:v>
      </x:c>
    </x:row>
    <x:row r="332">
      <x:c r="A332" s="18" t="str">
        <x:v>2025_conv2024_extraordinario-T58</x:v>
      </x:c>
      <x:c r="B332" s="18" t="n">
        <x:v>2025</x:v>
      </x:c>
      <x:c r="C332" s="18" t="n">
        <x:v>2024</x:v>
      </x:c>
      <x:c r="D332" s="28" t="n">
        <x:v>45956</x:v>
      </x:c>
      <x:c r="E332" s="18" t="str">
        <x:v>Acceso libre</x:v>
      </x:c>
      <x:c r="F332" s="18" t="str">
        <x:v>Primera parte</x:v>
      </x:c>
      <x:c r="G332" s="18" t="str">
        <x:v>Extraordinario</x:v>
      </x:c>
      <x:c r="H332" s="18" t="str">
        <x:v>Único</x:v>
      </x:c>
      <x:c r="I332" s="18" t="str">
        <x:v>Sí</x:v>
      </x:c>
      <x:c r="J332" s="18" t="str">
        <x:v>Cuestionario extraordinario sin modelo paralelo.</x:v>
      </x:c>
      <x:c r="K332" s="18" t="n">
        <x:v>58</x:v>
      </x:c>
      <x:c r="L332" s="18" t="str">
        <x:v>No</x:v>
      </x:c>
      <x:c r="M332" s="18" t="str">
        <x:v>En relación con la efectividad económica de las prestaciones por muerte y supervivencia, en el fallecimiento de pensionistas de jubilación e incapacidad permanente, en la modalidad contributiva los efectos económicos se producen a partir:</x:v>
      </x:c>
      <x:c r="N332" s="18" t="str">
        <x:v>El día siguiente a aquel en que haya ocurrido el fallecimiento siempre que se haya solicitado en el plazo de tres meses desde el fallecimiento.</x:v>
      </x:c>
      <x:c r="O332" s="18" t="str">
        <x:v>El día primero del mes siguiente en que haya ocurrido el fallecimiento siempre que se haya solicitado en el plazo de seis meses desde el fallecimiento.</x:v>
      </x:c>
      <x:c r="P332" s="18" t="str">
        <x:v>El día siguiente a aquel en que haya ocurrido el fallecimiento siempre que se haya solicitado en el plazo de seis meses desde el fallecimiento.</x:v>
      </x:c>
      <x:c r="Q332" s="18" t="str">
        <x:v>El día primero del mes siguiente en que haya ocurrido el fallecimiento siempre que se haya solicitado en el plazo de tres meses desde el fallecimiento.</x:v>
      </x:c>
      <x:c r="R332" s="18" t="str">
        <x:v>S11</x:v>
      </x:c>
      <x:c r="S332" s="18" t="n">
        <x:v>11</x:v>
      </x:c>
      <x:c r="T332" s="18" t="str">
        <x:v>Temario específico Seguridad Social</x:v>
      </x:c>
      <x:c r="U332" s="18" t="str">
        <x:v>La protección por muerte y supervivencia. Hecho causante. Requisitos para las prestaciones de viudedad, orfandad y en favor de familiares. Cuantía de las prestaciones. Compatibilidad. Suspensión y Extinción. Normas específicas en caso de muerte derivada de accidente de trabajo o enfermedad profesional. Efectividad económica de las prestaciones. El auxilio por defunción.</x:v>
      </x:c>
      <x:c r="V332" s="18" t="str">
        <x:v>incapacidad permanente</x:v>
      </x:c>
      <x:c r="W332" s="18" t="str"/>
      <x:c r="X332" s="18" t="str"/>
      <x:c r="Y332" s="18" t="str">
        <x:v>Muerte y supervivencia</x:v>
      </x:c>
      <x:c r="Z332" s="18" t="str">
        <x:v>Media</x:v>
      </x:c>
      <x:c r="AA332" s="18" t="str">
        <x:v>incapacidad permanente</x:v>
      </x:c>
      <x:c r="AB332" s="18" t="str"/>
      <x:c r="AC332" s="18" t="str"/>
      <x:c r="AD332" s="18" t="str">
        <x:v>No</x:v>
      </x:c>
      <x:c r="AE332" s="18" t="str">
        <x:v>Teórico</x:v>
      </x:c>
      <x:c r="AF332" s="18" t="str">
        <x:v>D</x:v>
      </x:c>
      <x:c r="AG332" s="18" t="str">
        <x:v>D</x:v>
      </x:c>
      <x:c r="AH332" s="18" t="str">
        <x:v>Válida</x:v>
      </x:c>
      <x:c r="AI332" s="18" t="str">
        <x:v>01. Información oficial de la oposición\Exámenes oficiales anteriores\2025 Convocatoria 2024 - Examen extraordinario acceso libre.pdf</x:v>
      </x:c>
      <x:c r="AJ332" s="18" t="str">
        <x:v>https://www.seg-social.es/wps/portal/wss/internet/InformacionUtil/9950/88beb45d-ca83-4bab-8162-f94ef2894562/7e46efac-32c8-4cf6-b3d3-d592c3560dff/rdpi_administrativos_2024</x:v>
      </x:c>
      <x:c r="AK332" s="18" t="str">
        <x:v>Texto PDF</x:v>
      </x:c>
      <x:c r="AL332" s="18" t="n">
        <x:v>100</x:v>
      </x:c>
      <x:c r="AM332" s="18" t="str">
        <x:v>Alta</x:v>
      </x:c>
      <x:c r="AN332" s="18" t="str">
        <x:v>Revisión jurídica individual</x:v>
      </x:c>
      <x:c r="AO332" s="18" t="str">
        <x:v>2025_conv2024_extraordinario-T58</x:v>
      </x:c>
      <x:c r="AP332" s="18" t="n">
        <x:v>1</x:v>
      </x:c>
    </x:row>
    <x:row r="333">
      <x:c r="A333" s="18" t="str">
        <x:v>2025_conv2024_extraordinario-T59</x:v>
      </x:c>
      <x:c r="B333" s="18" t="n">
        <x:v>2025</x:v>
      </x:c>
      <x:c r="C333" s="18" t="n">
        <x:v>2024</x:v>
      </x:c>
      <x:c r="D333" s="28" t="n">
        <x:v>45956</x:v>
      </x:c>
      <x:c r="E333" s="18" t="str">
        <x:v>Acceso libre</x:v>
      </x:c>
      <x:c r="F333" s="18" t="str">
        <x:v>Primera parte</x:v>
      </x:c>
      <x:c r="G333" s="18" t="str">
        <x:v>Extraordinario</x:v>
      </x:c>
      <x:c r="H333" s="18" t="str">
        <x:v>Único</x:v>
      </x:c>
      <x:c r="I333" s="18" t="str">
        <x:v>Sí</x:v>
      </x:c>
      <x:c r="J333" s="18" t="str">
        <x:v>Cuestionario extraordinario sin modelo paralelo.</x:v>
      </x:c>
      <x:c r="K333" s="18" t="n">
        <x:v>59</x:v>
      </x:c>
      <x:c r="L333" s="18" t="str">
        <x:v>No</x:v>
      </x:c>
      <x:c r="M333" s="18" t="str">
        <x:v>El artículo 229 del texto refundido de la Ley General de la Seguridad Social establece un orden de preferencia para las pensiones en favor de otros familiares. ¿A quién le corresponde en primer lugar de los siguientes grupos de personas?</x:v>
      </x:c>
      <x:c r="N333" s="18" t="str">
        <x:v>Hijos y hermanos del titular de una pensión contributiva de jubilación o incapacidad permanente mayores de cuarenta y cinco años y que reúnan los demás requisitos establecidos.</x:v>
      </x:c>
      <x:c r="O333" s="18" t="str">
        <x:v>Padre y madre del causante.</x:v>
      </x:c>
      <x:c r="P333" s="18" t="str">
        <x:v>Nietos y hermanos del causante, menores de dieciocho años o mayores incapacitados.</x:v>
      </x:c>
      <x:c r="Q333" s="18" t="str">
        <x:v>Abuelos y abuelas del causante.</x:v>
      </x:c>
      <x:c r="R333" s="18" t="str">
        <x:v>S11</x:v>
      </x:c>
      <x:c r="S333" s="18" t="n">
        <x:v>11</x:v>
      </x:c>
      <x:c r="T333" s="18" t="str">
        <x:v>Temario específico Seguridad Social</x:v>
      </x:c>
      <x:c r="U333" s="18" t="str">
        <x:v>La protección por muerte y supervivencia. Hecho causante. Requisitos para las prestaciones de viudedad, orfandad y en favor de familiares. Cuantía de las prestaciones. Compatibilidad. Suspensión y Extinción. Normas específicas en caso de muerte derivada de accidente de trabajo o enfermedad profesional. Efectividad económica de las prestaciones. El auxilio por defunción.</x:v>
      </x:c>
      <x:c r="V333" s="18" t="str">
        <x:v>S11</x:v>
      </x:c>
      <x:c r="W333" s="18" t="str">
        <x:v>texto refundido de la Ley General de la Seguridad Social</x:v>
      </x:c>
      <x:c r="X333" s="18" t="str">
        <x:v>229</x:v>
      </x:c>
      <x:c r="Y333" s="18" t="str">
        <x:v>Muerte y supervivencia</x:v>
      </x:c>
      <x:c r="Z333" s="18" t="str">
        <x:v>Media</x:v>
      </x:c>
      <x:c r="AA333" s="18" t="str">
        <x:v>S11</x:v>
      </x:c>
      <x:c r="AB333" s="18" t="str"/>
      <x:c r="AC333" s="18" t="str"/>
      <x:c r="AD333" s="18" t="str">
        <x:v>No</x:v>
      </x:c>
      <x:c r="AE333" s="18" t="str">
        <x:v>Teórico</x:v>
      </x:c>
      <x:c r="AF333" s="18" t="str">
        <x:v>C</x:v>
      </x:c>
      <x:c r="AG333" s="18" t="str">
        <x:v>C</x:v>
      </x:c>
      <x:c r="AH333" s="18" t="str">
        <x:v>Válida</x:v>
      </x:c>
      <x:c r="AI333" s="18" t="str">
        <x:v>01. Información oficial de la oposición\Exámenes oficiales anteriores\2025 Convocatoria 2024 - Examen extraordinario acceso libre.pdf</x:v>
      </x:c>
      <x:c r="AJ333" s="18" t="str">
        <x:v>https://www.seg-social.es/wps/portal/wss/internet/InformacionUtil/9950/88beb45d-ca83-4bab-8162-f94ef2894562/7e46efac-32c8-4cf6-b3d3-d592c3560dff/rdpi_administrativos_2024</x:v>
      </x:c>
      <x:c r="AK333" s="18" t="str">
        <x:v>Texto PDF</x:v>
      </x:c>
      <x:c r="AL333" s="18" t="n">
        <x:v>100</x:v>
      </x:c>
      <x:c r="AM333" s="18" t="str">
        <x:v>Alta</x:v>
      </x:c>
      <x:c r="AN333" s="18" t="str">
        <x:v>Regla jurídica determinista</x:v>
      </x:c>
      <x:c r="AO333" s="18" t="str">
        <x:v>2025_conv2024_extraordinario-T59</x:v>
      </x:c>
      <x:c r="AP333" s="18" t="n">
        <x:v>1</x:v>
      </x:c>
    </x:row>
    <x:row r="334">
      <x:c r="A334" s="18" t="str">
        <x:v>2025_conv2024_extraordinario-T60</x:v>
      </x:c>
      <x:c r="B334" s="18" t="n">
        <x:v>2025</x:v>
      </x:c>
      <x:c r="C334" s="18" t="n">
        <x:v>2024</x:v>
      </x:c>
      <x:c r="D334" s="28" t="n">
        <x:v>45956</x:v>
      </x:c>
      <x:c r="E334" s="18" t="str">
        <x:v>Acceso libre</x:v>
      </x:c>
      <x:c r="F334" s="18" t="str">
        <x:v>Primera parte</x:v>
      </x:c>
      <x:c r="G334" s="18" t="str">
        <x:v>Extraordinario</x:v>
      </x:c>
      <x:c r="H334" s="18" t="str">
        <x:v>Único</x:v>
      </x:c>
      <x:c r="I334" s="18" t="str">
        <x:v>Sí</x:v>
      </x:c>
      <x:c r="J334" s="18" t="str">
        <x:v>Cuestionario extraordinario sin modelo paralelo.</x:v>
      </x:c>
      <x:c r="K334" s="18" t="n">
        <x:v>60</x:v>
      </x:c>
      <x:c r="L334" s="18" t="str">
        <x:v>No</x:v>
      </x:c>
      <x:c r="M334" s="18" t="str">
        <x:v>Conforme a lo establecido en el artículo 18 de la Ley 19/2021, de 20 de diciembre, por la que se establece el ingreso mínimo vital, el derecho al ingreso mínimo vital se extinguirá por:</x:v>
      </x:c>
      <x:c r="N334" s="18" t="str">
        <x:v>Incumplimiento reiterado de las condiciones asociadas a la compatibilidad del ingreso mínimo vital con las rentas del trabajo o la actividad económica por cuenta propia a que se refiere el artículo 11.4, de acuerdo con lo que se establezca reglamentariamente.</x:v>
      </x:c>
      <x:c r="O334" s="18" t="str">
        <x:v>Salida del territorio nacional sin comunicación ni justificación a la entidad gestora durante un periodo, continuado o no, superior a noventa días hábiles al año.</x:v>
      </x:c>
      <x:c r="P334" s="18" t="str">
        <x:v>Incumplimiento eventual por parte de la persona beneficiaria, del titular o de algún miembro de su unidad de convivencia de las obligaciones asumidas al acceder a la prestación.</x:v>
      </x:c>
      <x:c r="Q334" s="18" t="str">
        <x:v>Por suspensión de la prestación por un periodo superior a seis meses en los términos del artículo 17.2.</x:v>
      </x:c>
      <x:c r="R334" s="18" t="str">
        <x:v>S12</x:v>
      </x:c>
      <x:c r="S334" s="18" t="n">
        <x:v>12</x:v>
      </x:c>
      <x:c r="T334" s="18" t="str">
        <x:v>Temario específico Seguridad Social</x:v>
      </x:c>
      <x:c r="U334" s="18" t="str">
        <x:v>Prestaciones no contributivas y asistenciales. El ingreso mínimo vital: beneficiarios, requisitos y duración. Obligaciones de las personas beneficiarias. Cuantía, pago, reintegro de prestaciones indebidas. Prestaciones familiares múltiples. Prestaciones familiares en la modalidad contributiva. Las pensiones no contributivas: Invalidez no contributiva: Jubilación no contributiva.</x:v>
      </x:c>
      <x:c r="V334" s="18" t="str">
        <x:v>ingreso mínimo vital</x:v>
      </x:c>
      <x:c r="W334" s="18" t="str">
        <x:v>Ley 19/2021</x:v>
      </x:c>
      <x:c r="X334" s="18" t="str">
        <x:v>18</x:v>
      </x:c>
      <x:c r="Y334" s="18" t="str">
        <x:v>Prestaciones no contributivas</x:v>
      </x:c>
      <x:c r="Z334" s="18" t="str">
        <x:v>Media</x:v>
      </x:c>
      <x:c r="AA334" s="18" t="str">
        <x:v>ingreso mínimo vital</x:v>
      </x:c>
      <x:c r="AB334" s="18" t="str"/>
      <x:c r="AC334" s="18" t="str"/>
      <x:c r="AD334" s="18" t="str">
        <x:v>No</x:v>
      </x:c>
      <x:c r="AE334" s="18" t="str">
        <x:v>Teórico</x:v>
      </x:c>
      <x:c r="AF334" s="18" t="str">
        <x:v>A</x:v>
      </x:c>
      <x:c r="AG334" s="18" t="str">
        <x:v>A</x:v>
      </x:c>
      <x:c r="AH334" s="18" t="str">
        <x:v>Válida</x:v>
      </x:c>
      <x:c r="AI334" s="18" t="str">
        <x:v>01. Información oficial de la oposición\Exámenes oficiales anteriores\2025 Convocatoria 2024 - Examen extraordinario acceso libre.pdf</x:v>
      </x:c>
      <x:c r="AJ334" s="18" t="str">
        <x:v>https://www.seg-social.es/wps/portal/wss/internet/InformacionUtil/9950/88beb45d-ca83-4bab-8162-f94ef2894562/7e46efac-32c8-4cf6-b3d3-d592c3560dff/rdpi_administrativos_2024</x:v>
      </x:c>
      <x:c r="AK334" s="18" t="str">
        <x:v>Texto PDF</x:v>
      </x:c>
      <x:c r="AL334" s="18" t="n">
        <x:v>100</x:v>
      </x:c>
      <x:c r="AM334" s="18" t="str">
        <x:v>Alta</x:v>
      </x:c>
      <x:c r="AN334" s="18" t="str">
        <x:v>Regla jurídica determinista</x:v>
      </x:c>
      <x:c r="AO334" s="18" t="str">
        <x:v>2025_conv2024_extraordinario-T60</x:v>
      </x:c>
      <x:c r="AP334" s="18" t="n">
        <x:v>1</x:v>
      </x:c>
    </x:row>
    <x:row r="335">
      <x:c r="A335" s="18" t="str">
        <x:v>2025_conv2024_extraordinario-T61</x:v>
      </x:c>
      <x:c r="B335" s="18" t="n">
        <x:v>2025</x:v>
      </x:c>
      <x:c r="C335" s="18" t="n">
        <x:v>2024</x:v>
      </x:c>
      <x:c r="D335" s="28" t="n">
        <x:v>45956</x:v>
      </x:c>
      <x:c r="E335" s="18" t="str">
        <x:v>Acceso libre</x:v>
      </x:c>
      <x:c r="F335" s="18" t="str">
        <x:v>Primera parte</x:v>
      </x:c>
      <x:c r="G335" s="18" t="str">
        <x:v>Extraordinario</x:v>
      </x:c>
      <x:c r="H335" s="18" t="str">
        <x:v>Único</x:v>
      </x:c>
      <x:c r="I335" s="18" t="str">
        <x:v>Sí</x:v>
      </x:c>
      <x:c r="J335" s="18" t="str">
        <x:v>Cuestionario extraordinario sin modelo paralelo.</x:v>
      </x:c>
      <x:c r="K335" s="18" t="n">
        <x:v>61</x:v>
      </x:c>
      <x:c r="L335" s="18" t="str">
        <x:v>No</x:v>
      </x:c>
      <x:c r="M335" s="18" t="str">
        <x:v>Indique cuál de los siguientes conceptos NO se exceptúa del cómputo de rentas, de acuerdo con el artículo 20 de Ley 19/2021, de 20 de diciembre, por la que se establece el ingreso mínimo vital:</x:v>
      </x:c>
      <x:c r="N335" s="18" t="str">
        <x:v>Las ayudas para el estudio y las ayudas de vivienda, tanto por alquiler como para adquisición.</x:v>
      </x:c>
      <x:c r="O335" s="18" t="str">
        <x:v>El importe de las pensiones y prestaciones, contributivas o no contributivas, públicas o privadas.</x:v>
      </x:c>
      <x:c r="P335" s="18" t="str">
        <x:v>Para la persona obligada al abono, la pensión de alimentos en favor de los hijos que deba ser satisfecha de conformidad con lo previsto en artículo 93 del Código Civil, siempre que se haya producido el pago de la misma.</x:v>
      </x:c>
      <x:c r="Q335" s="18" t="str">
        <x:v>El subsidio no contributivo por desempleo, cuando a la fecha de solicitud de la prestación se hubiera extinguido.</x:v>
      </x:c>
      <x:c r="R335" s="18" t="str">
        <x:v>S12</x:v>
      </x:c>
      <x:c r="S335" s="18" t="n">
        <x:v>12</x:v>
      </x:c>
      <x:c r="T335" s="18" t="str">
        <x:v>Temario específico Seguridad Social</x:v>
      </x:c>
      <x:c r="U335" s="18" t="str">
        <x:v>Prestaciones no contributivas y asistenciales. El ingreso mínimo vital: beneficiarios, requisitos y duración. Obligaciones de las personas beneficiarias. Cuantía, pago, reintegro de prestaciones indebidas. Prestaciones familiares múltiples. Prestaciones familiares en la modalidad contributiva. Las pensiones no contributivas: Invalidez no contributiva: Jubilación no contributiva.</x:v>
      </x:c>
      <x:c r="V335" s="18" t="str">
        <x:v>ingreso mínimo vital</x:v>
      </x:c>
      <x:c r="W335" s="18" t="str">
        <x:v>Ley 19/2021</x:v>
      </x:c>
      <x:c r="X335" s="18" t="str">
        <x:v>20</x:v>
      </x:c>
      <x:c r="Y335" s="18" t="str">
        <x:v>Definiciones</x:v>
      </x:c>
      <x:c r="Z335" s="18" t="str">
        <x:v>Media</x:v>
      </x:c>
      <x:c r="AA335" s="18" t="str">
        <x:v>ingreso mínimo vital</x:v>
      </x:c>
      <x:c r="AB335" s="18" t="str"/>
      <x:c r="AC335" s="18" t="str"/>
      <x:c r="AD335" s="18" t="str">
        <x:v>No</x:v>
      </x:c>
      <x:c r="AE335" s="18" t="str">
        <x:v>Teórico</x:v>
      </x:c>
      <x:c r="AF335" s="18" t="str">
        <x:v>B</x:v>
      </x:c>
      <x:c r="AG335" s="18" t="str">
        <x:v>B</x:v>
      </x:c>
      <x:c r="AH335" s="18" t="str">
        <x:v>Válida</x:v>
      </x:c>
      <x:c r="AI335" s="18" t="str">
        <x:v>01. Información oficial de la oposición\Exámenes oficiales anteriores\2025 Convocatoria 2024 - Examen extraordinario acceso libre.pdf</x:v>
      </x:c>
      <x:c r="AJ335" s="18" t="str">
        <x:v>https://www.seg-social.es/wps/portal/wss/internet/InformacionUtil/9950/88beb45d-ca83-4bab-8162-f94ef2894562/7e46efac-32c8-4cf6-b3d3-d592c3560dff/rdpi_administrativos_2024</x:v>
      </x:c>
      <x:c r="AK335" s="18" t="str">
        <x:v>Texto PDF</x:v>
      </x:c>
      <x:c r="AL335" s="18" t="n">
        <x:v>100</x:v>
      </x:c>
      <x:c r="AM335" s="18" t="str">
        <x:v>Alta</x:v>
      </x:c>
      <x:c r="AN335" s="18" t="str">
        <x:v>Regla jurídica determinista</x:v>
      </x:c>
      <x:c r="AO335" s="18" t="str">
        <x:v>2025_conv2024_extraordinario-T61</x:v>
      </x:c>
      <x:c r="AP335" s="18" t="n">
        <x:v>1</x:v>
      </x:c>
    </x:row>
    <x:row r="336">
      <x:c r="A336" s="18" t="str">
        <x:v>2025_conv2024_extraordinario-T62</x:v>
      </x:c>
      <x:c r="B336" s="18" t="n">
        <x:v>2025</x:v>
      </x:c>
      <x:c r="C336" s="18" t="n">
        <x:v>2024</x:v>
      </x:c>
      <x:c r="D336" s="28" t="n">
        <x:v>45956</x:v>
      </x:c>
      <x:c r="E336" s="18" t="str">
        <x:v>Acceso libre</x:v>
      </x:c>
      <x:c r="F336" s="18" t="str">
        <x:v>Primera parte</x:v>
      </x:c>
      <x:c r="G336" s="18" t="str">
        <x:v>Extraordinario</x:v>
      </x:c>
      <x:c r="H336" s="18" t="str">
        <x:v>Único</x:v>
      </x:c>
      <x:c r="I336" s="18" t="str">
        <x:v>Sí</x:v>
      </x:c>
      <x:c r="J336" s="18" t="str">
        <x:v>Cuestionario extraordinario sin modelo paralelo.</x:v>
      </x:c>
      <x:c r="K336" s="18" t="n">
        <x:v>62</x:v>
      </x:c>
      <x:c r="L336" s="18" t="str">
        <x:v>No</x:v>
      </x:c>
      <x:c r="M336" s="18" t="str">
        <x:v>Indique la afirmación correcta respecto a las revisiones del grado de minusvalía o enfermedad crónica en caso de invalidez, regulado en artículo 5 del Real Decreto Real Decreto 357/1991, de 15 de marzo, por el que se desarrolla, en materia de pensiones no contributivas, la Ley 26/1990, de 20 de diciembre, por la que se establecen en la Seguridad Social prestaciones no contributivas:</x:v>
      </x:c>
      <x:c r="N336" s="18" t="str">
        <x:v>El grado de minusvalía o enfermedad crónica será revisable, en tanto que el beneficiario no haya cumplido los sesenta años.</x:v>
      </x:c>
      <x:c r="O336" s="18" t="str">
        <x:v>Si como consecuencia de la revisión se reduce el grado inicialmente reconocido, los efectos económicos de la revisión tendrán lugar desde el día 1 del mes siguiente al que se haya dictado la resolución.</x:v>
      </x:c>
      <x:c r="P336" s="18" t="str">
        <x:v>La primera revisión del grado de minusvalía o enfermedad crónica podrá instarse, por parte del interesado, una vez que hayan transcurrido un año desde la fecha en que se haya reconocido dicho grado.</x:v>
      </x:c>
      <x:c r="Q336" s="18" t="str">
        <x:v>Si como consecuencia de la revisión se incrementa el grado de minusvalía inicialmente reconocido, los efectos económicos de la revisión tendrán lugar desde el día 1 del mes siguiente a la resolución administrativa. Si la revisión se hubiera producido de oficio, los efectos económicos serán desde el día siguiente al que se emitió el dictamen por el equipo de valoración y orientación.</x:v>
      </x:c>
      <x:c r="R336" s="18" t="str">
        <x:v>S12</x:v>
      </x:c>
      <x:c r="S336" s="18" t="n">
        <x:v>12</x:v>
      </x:c>
      <x:c r="T336" s="18" t="str">
        <x:v>Temario específico Seguridad Social</x:v>
      </x:c>
      <x:c r="U336" s="18" t="str">
        <x:v>Prestaciones no contributivas y asistenciales. El ingreso mínimo vital: beneficiarios, requisitos y duración. Obligaciones de las personas beneficiarias. Cuantía, pago, reintegro de prestaciones indebidas. Prestaciones familiares múltiples. Prestaciones familiares en la modalidad contributiva. Las pensiones no contributivas: Invalidez no contributiva: Jubilación no contributiva.</x:v>
      </x:c>
      <x:c r="V336" s="18" t="str">
        <x:v>S12</x:v>
      </x:c>
      <x:c r="W336" s="18" t="str">
        <x:v>Ley 26/1990</x:v>
      </x:c>
      <x:c r="X336" s="18" t="str">
        <x:v>5</x:v>
      </x:c>
      <x:c r="Y336" s="18" t="str">
        <x:v>Prestaciones no contributivas</x:v>
      </x:c>
      <x:c r="Z336" s="18" t="str">
        <x:v>Alta</x:v>
      </x:c>
      <x:c r="AA336" s="18" t="str">
        <x:v>S12</x:v>
      </x:c>
      <x:c r="AB336" s="18" t="str"/>
      <x:c r="AC336" s="18" t="str"/>
      <x:c r="AD336" s="18" t="str">
        <x:v>No</x:v>
      </x:c>
      <x:c r="AE336" s="18" t="str">
        <x:v>Teórico</x:v>
      </x:c>
      <x:c r="AF336" s="18" t="str">
        <x:v>B</x:v>
      </x:c>
      <x:c r="AG336" s="18" t="str">
        <x:v>B</x:v>
      </x:c>
      <x:c r="AH336" s="18" t="str">
        <x:v>Válida</x:v>
      </x:c>
      <x:c r="AI336" s="18" t="str">
        <x:v>01. Información oficial de la oposición\Exámenes oficiales anteriores\2025 Convocatoria 2024 - Examen extraordinario acceso libre.pdf</x:v>
      </x:c>
      <x:c r="AJ336" s="18" t="str">
        <x:v>https://www.seg-social.es/wps/portal/wss/internet/InformacionUtil/9950/88beb45d-ca83-4bab-8162-f94ef2894562/7e46efac-32c8-4cf6-b3d3-d592c3560dff/rdpi_administrativos_2024</x:v>
      </x:c>
      <x:c r="AK336" s="18" t="str">
        <x:v>Texto PDF</x:v>
      </x:c>
      <x:c r="AL336" s="18" t="n">
        <x:v>100</x:v>
      </x:c>
      <x:c r="AM336" s="18" t="str">
        <x:v>Alta</x:v>
      </x:c>
      <x:c r="AN336" s="18" t="str">
        <x:v>Regla jurídica determinista</x:v>
      </x:c>
      <x:c r="AO336" s="18" t="str">
        <x:v>2025_conv2024_extraordinario-T62</x:v>
      </x:c>
      <x:c r="AP336" s="18" t="n">
        <x:v>1</x:v>
      </x:c>
    </x:row>
    <x:row r="337">
      <x:c r="A337" s="18" t="str">
        <x:v>2025_conv2024_extraordinario-T63</x:v>
      </x:c>
      <x:c r="B337" s="18" t="n">
        <x:v>2025</x:v>
      </x:c>
      <x:c r="C337" s="18" t="n">
        <x:v>2024</x:v>
      </x:c>
      <x:c r="D337" s="28" t="n">
        <x:v>45956</x:v>
      </x:c>
      <x:c r="E337" s="18" t="str">
        <x:v>Acceso libre</x:v>
      </x:c>
      <x:c r="F337" s="18" t="str">
        <x:v>Primera parte</x:v>
      </x:c>
      <x:c r="G337" s="18" t="str">
        <x:v>Extraordinario</x:v>
      </x:c>
      <x:c r="H337" s="18" t="str">
        <x:v>Único</x:v>
      </x:c>
      <x:c r="I337" s="18" t="str">
        <x:v>Sí</x:v>
      </x:c>
      <x:c r="J337" s="18" t="str">
        <x:v>Cuestionario extraordinario sin modelo paralelo.</x:v>
      </x:c>
      <x:c r="K337" s="18" t="n">
        <x:v>63</x:v>
      </x:c>
      <x:c r="L337" s="18" t="str">
        <x:v>No</x:v>
      </x:c>
      <x:c r="M337" s="18" t="str">
        <x:v>De acuerdo con el artículo 3 del Real Decreto 8/2008, de 11 de enero, por el que se regula la prestación por razón de necesidad a favor de los españoles residentes en el exterior y retornados, será un requisito para acceder a la prestación por razón de nec esidad a favor de los españoles residentes en el exterior:</x:v>
      </x:c>
      <x:c r="N337" s="18" t="str">
        <x:v>Haber cumplido sesenta años en la fecha de la solicitud de la prestación económica por ancianidad o para la prestación económica de incapacidad, ser mayor de dieciocho y menor de sesenta años y estar en situación de incapacidad permanente en grado de total o absoluta.</x:v>
      </x:c>
      <x:c r="O337" s="18" t="str">
        <x:v>No haber donado bienes en los tres años anteriores a la solicitud de la prestación económica, por un valor patrimonial superior a la cuantía establecida en la base cálculo de la prestación económica correspondiente al país de residencia, valorándose dicho s bienes según las normas establecidas para el impuesto que lo grave.</x:v>
      </x:c>
      <x:c r="P337" s="18" t="str">
        <x:v>No pertenecer a institutos, comunidades, órdenes y organizaciones que, por sus reglas o estatutos estén obligados a prestarles asistencia.</x:v>
      </x:c>
      <x:c r="Q337" s="18" t="str">
        <x:v>Haber residido al menos 10 años en un país donde la precariedad del sistema de protección social justifique la necesidad de esta prestación, debidamente acreditada mediante informe de la Consejería de Trabajo y Asuntos Sociales, de acuerdo con los parámet ros de evaluación establecidos por la Dirección General de Emigración.</x:v>
      </x:c>
      <x:c r="R337" s="18" t="str">
        <x:v>S12</x:v>
      </x:c>
      <x:c r="S337" s="18" t="n">
        <x:v>12</x:v>
      </x:c>
      <x:c r="T337" s="18" t="str">
        <x:v>Temario específico Seguridad Social</x:v>
      </x:c>
      <x:c r="U337" s="18" t="str">
        <x:v>Prestaciones no contributivas y asistenciales. El ingreso mínimo vital: beneficiarios, requisitos y duración. Obligaciones de las personas beneficiarias. Cuantía, pago, reintegro de prestaciones indebidas. Prestaciones familiares múltiples. Prestaciones familiares en la modalidad contributiva. Las pensiones no contributivas: Invalidez no contributiva: Jubilación no contributiva.</x:v>
      </x:c>
      <x:c r="V337" s="18" t="str">
        <x:v>S12</x:v>
      </x:c>
      <x:c r="W337" s="18" t="str">
        <x:v>Real Decreto 8/2008</x:v>
      </x:c>
      <x:c r="X337" s="18" t="str">
        <x:v>3</x:v>
      </x:c>
      <x:c r="Y337" s="18" t="str">
        <x:v>Requisitos</x:v>
      </x:c>
      <x:c r="Z337" s="18" t="str">
        <x:v>Media</x:v>
      </x:c>
      <x:c r="AA337" s="18" t="str">
        <x:v>S12</x:v>
      </x:c>
      <x:c r="AB337" s="18" t="str"/>
      <x:c r="AC337" s="18" t="str"/>
      <x:c r="AD337" s="18" t="str">
        <x:v>No</x:v>
      </x:c>
      <x:c r="AE337" s="18" t="str">
        <x:v>Teórico</x:v>
      </x:c>
      <x:c r="AF337" s="18" t="str">
        <x:v>C</x:v>
      </x:c>
      <x:c r="AG337" s="18" t="str">
        <x:v>C</x:v>
      </x:c>
      <x:c r="AH337" s="18" t="str">
        <x:v>Válida</x:v>
      </x:c>
      <x:c r="AI337" s="18" t="str">
        <x:v>01. Información oficial de la oposición\Exámenes oficiales anteriores\2025 Convocatoria 2024 - Examen extraordinario acceso libre.pdf</x:v>
      </x:c>
      <x:c r="AJ337" s="18" t="str">
        <x:v>https://www.seg-social.es/wps/portal/wss/internet/InformacionUtil/9950/88beb45d-ca83-4bab-8162-f94ef2894562/7e46efac-32c8-4cf6-b3d3-d592c3560dff/rdpi_administrativos_2024</x:v>
      </x:c>
      <x:c r="AK337" s="18" t="str">
        <x:v>Texto PDF</x:v>
      </x:c>
      <x:c r="AL337" s="18" t="n">
        <x:v>100</x:v>
      </x:c>
      <x:c r="AM337" s="18" t="str">
        <x:v>Alta</x:v>
      </x:c>
      <x:c r="AN337" s="18" t="str">
        <x:v>Regla jurídica determinista</x:v>
      </x:c>
      <x:c r="AO337" s="18" t="str">
        <x:v>2025_conv2024_extraordinario-T63</x:v>
      </x:c>
      <x:c r="AP337" s="18" t="n">
        <x:v>1</x:v>
      </x:c>
    </x:row>
    <x:row r="338">
      <x:c r="A338" s="18" t="str">
        <x:v>2025_conv2024_extraordinario-T64</x:v>
      </x:c>
      <x:c r="B338" s="18" t="n">
        <x:v>2025</x:v>
      </x:c>
      <x:c r="C338" s="18" t="n">
        <x:v>2024</x:v>
      </x:c>
      <x:c r="D338" s="28" t="n">
        <x:v>45956</x:v>
      </x:c>
      <x:c r="E338" s="18" t="str">
        <x:v>Acceso libre</x:v>
      </x:c>
      <x:c r="F338" s="18" t="str">
        <x:v>Primera parte</x:v>
      </x:c>
      <x:c r="G338" s="18" t="str">
        <x:v>Extraordinario</x:v>
      </x:c>
      <x:c r="H338" s="18" t="str">
        <x:v>Único</x:v>
      </x:c>
      <x:c r="I338" s="18" t="str">
        <x:v>Sí</x:v>
      </x:c>
      <x:c r="J338" s="18" t="str">
        <x:v>Cuestionario extraordinario sin modelo paralelo.</x:v>
      </x:c>
      <x:c r="K338" s="18" t="n">
        <x:v>64</x:v>
      </x:c>
      <x:c r="L338" s="18" t="str">
        <x:v>No</x:v>
      </x:c>
      <x:c r="M338" s="18" t="str">
        <x:v>De acuerdo con lo establecido en el artículo 14 de la Ley 19/2021, de 20 de diciembre, por la que se establece el ingreso mínimo vital, el derecho a la prestación nacerá:</x:v>
      </x:c>
      <x:c r="N338" s="18" t="str">
        <x:v>A partir del primer día del mes siguiente al de la fecha de presentación de la solicitud.</x:v>
      </x:c>
      <x:c r="O338" s="18" t="str">
        <x:v>A partir del día siguiente a la fecha de la resolución estimatoria.</x:v>
      </x:c>
      <x:c r="P338" s="18" t="str">
        <x:v>A partir del primer día del mes siguiente a la fecha de la resolución estimatoria.</x:v>
      </x:c>
      <x:c r="Q338" s="18" t="str">
        <x:v>A partir del día siguiente a la fecha de presentación de la solicitud.</x:v>
      </x:c>
      <x:c r="R338" s="18" t="str">
        <x:v>S12</x:v>
      </x:c>
      <x:c r="S338" s="18" t="n">
        <x:v>12</x:v>
      </x:c>
      <x:c r="T338" s="18" t="str">
        <x:v>Temario específico Seguridad Social</x:v>
      </x:c>
      <x:c r="U338" s="18" t="str">
        <x:v>Prestaciones no contributivas y asistenciales. El ingreso mínimo vital: beneficiarios, requisitos y duración. Obligaciones de las personas beneficiarias. Cuantía, pago, reintegro de prestaciones indebidas. Prestaciones familiares múltiples. Prestaciones familiares en la modalidad contributiva. Las pensiones no contributivas: Invalidez no contributiva: Jubilación no contributiva.</x:v>
      </x:c>
      <x:c r="V338" s="18" t="str">
        <x:v>ingreso mínimo vital</x:v>
      </x:c>
      <x:c r="W338" s="18" t="str">
        <x:v>Ley 19/2021</x:v>
      </x:c>
      <x:c r="X338" s="18" t="str">
        <x:v>14</x:v>
      </x:c>
      <x:c r="Y338" s="18" t="str">
        <x:v>Personas beneficiarias</x:v>
      </x:c>
      <x:c r="Z338" s="18" t="str">
        <x:v>Media</x:v>
      </x:c>
      <x:c r="AA338" s="18" t="str">
        <x:v>ingreso mínimo vital</x:v>
      </x:c>
      <x:c r="AB338" s="18" t="str"/>
      <x:c r="AC338" s="18" t="str"/>
      <x:c r="AD338" s="18" t="str">
        <x:v>No</x:v>
      </x:c>
      <x:c r="AE338" s="18" t="str">
        <x:v>Teórico</x:v>
      </x:c>
      <x:c r="AF338" s="18" t="str">
        <x:v>A</x:v>
      </x:c>
      <x:c r="AG338" s="18" t="str">
        <x:v>A</x:v>
      </x:c>
      <x:c r="AH338" s="18" t="str">
        <x:v>Válida</x:v>
      </x:c>
      <x:c r="AI338" s="18" t="str">
        <x:v>01. Información oficial de la oposición\Exámenes oficiales anteriores\2025 Convocatoria 2024 - Examen extraordinario acceso libre.pdf</x:v>
      </x:c>
      <x:c r="AJ338" s="18" t="str">
        <x:v>https://www.seg-social.es/wps/portal/wss/internet/InformacionUtil/9950/88beb45d-ca83-4bab-8162-f94ef2894562/7e46efac-32c8-4cf6-b3d3-d592c3560dff/rdpi_administrativos_2024</x:v>
      </x:c>
      <x:c r="AK338" s="18" t="str">
        <x:v>Texto PDF</x:v>
      </x:c>
      <x:c r="AL338" s="18" t="n">
        <x:v>100</x:v>
      </x:c>
      <x:c r="AM338" s="18" t="str">
        <x:v>Alta</x:v>
      </x:c>
      <x:c r="AN338" s="18" t="str">
        <x:v>Regla jurídica determinista</x:v>
      </x:c>
      <x:c r="AO338" s="18" t="str">
        <x:v>2025_conv2024_extraordinario-T64</x:v>
      </x:c>
      <x:c r="AP338" s="18" t="n">
        <x:v>1</x:v>
      </x:c>
    </x:row>
    <x:row r="339">
      <x:c r="A339" s="18" t="str">
        <x:v>2025_conv2024_extraordinario-T65</x:v>
      </x:c>
      <x:c r="B339" s="18" t="n">
        <x:v>2025</x:v>
      </x:c>
      <x:c r="C339" s="18" t="n">
        <x:v>2024</x:v>
      </x:c>
      <x:c r="D339" s="28" t="n">
        <x:v>45956</x:v>
      </x:c>
      <x:c r="E339" s="18" t="str">
        <x:v>Acceso libre</x:v>
      </x:c>
      <x:c r="F339" s="18" t="str">
        <x:v>Primera parte</x:v>
      </x:c>
      <x:c r="G339" s="18" t="str">
        <x:v>Extraordinario</x:v>
      </x:c>
      <x:c r="H339" s="18" t="str">
        <x:v>Único</x:v>
      </x:c>
      <x:c r="I339" s="18" t="str">
        <x:v>Sí</x:v>
      </x:c>
      <x:c r="J339" s="18" t="str">
        <x:v>Cuestionario extraordinario sin modelo paralelo.</x:v>
      </x:c>
      <x:c r="K339" s="18" t="n">
        <x:v>65</x:v>
      </x:c>
      <x:c r="L339" s="18" t="str">
        <x:v>No</x:v>
      </x:c>
      <x:c r="M339" s="18" t="str">
        <x:v>En relación con la apertura de cuentas corrientes recogida en el artículo 10 del Real Decreto 696/2018, de 29 de junio, por el que se aprueba el Reglamento general de la gestión financiera de la Seguridad Social:</x:v>
      </x:c>
      <x:c r="N339" s="18" t="str">
        <x:v>La autorización de apertura de la cuenta caducará si, transcurrido un mes desde su emisión, no se hubiera adjudicado el contrato.</x:v>
      </x:c>
      <x:c r="O339" s="18" t="str">
        <x:v>La autorización de apertura de la cuenta caducará si, transcurridos tres meses desde su emisión, no se hubiera adjudicado el contrato.</x:v>
      </x:c>
      <x:c r="P339" s="18" t="str">
        <x:v>La autorización de apertura de la cuenta caducará si, transcurridos seis meses desde su emisión, no se hubiera adjudicado el contrato.</x:v>
      </x:c>
      <x:c r="Q339" s="18" t="str">
        <x:v>La autorización de apertura de la cuenta caducará si, transcurrido veinte días desde su emisión, no se hubiera adjudicado el contrato.</x:v>
      </x:c>
      <x:c r="R339" s="18" t="str">
        <x:v>S13</x:v>
      </x:c>
      <x:c r="S339" s="18" t="n">
        <x:v>13</x:v>
      </x:c>
      <x:c r="T339" s="18" t="str">
        <x:v>Temario específico Seguridad Social</x:v>
      </x:c>
      <x:c r="U339" s="18" t="str">
        <x:v>Recursos generales del sistema de la Seguridad Social. El patrimonio único de la seguridad social: titularidad, adscripción, administración y custodia. Los negocios jurídicos patrimoniales: adquisición, enajenación, arrendamiento y cesión. El Fondo de Reserva de la Seguridad Social: constitución, dotación y disposición. Gestión de los recursos financieros: atribución de funciones. Pago de prestaciones de la Seguridad Social.</x:v>
      </x:c>
      <x:c r="V339" s="18" t="str">
        <x:v>S13</x:v>
      </x:c>
      <x:c r="W339" s="18" t="str">
        <x:v>Real Decreto 696/2018</x:v>
      </x:c>
      <x:c r="X339" s="18" t="str">
        <x:v>10</x:v>
      </x:c>
      <x:c r="Y339" s="18" t="str">
        <x:v>Artículos literales</x:v>
      </x:c>
      <x:c r="Z339" s="18" t="str">
        <x:v>Media</x:v>
      </x:c>
      <x:c r="AA339" s="18" t="str">
        <x:v>S13</x:v>
      </x:c>
      <x:c r="AB339" s="18" t="str"/>
      <x:c r="AC339" s="18" t="str"/>
      <x:c r="AD339" s="18" t="str">
        <x:v>No</x:v>
      </x:c>
      <x:c r="AE339" s="18" t="str">
        <x:v>Teórico</x:v>
      </x:c>
      <x:c r="AF339" s="18" t="str">
        <x:v>C</x:v>
      </x:c>
      <x:c r="AG339" s="18" t="str">
        <x:v>C</x:v>
      </x:c>
      <x:c r="AH339" s="18" t="str">
        <x:v>Válida</x:v>
      </x:c>
      <x:c r="AI339" s="18" t="str">
        <x:v>01. Información oficial de la oposición\Exámenes oficiales anteriores\2025 Convocatoria 2024 - Examen extraordinario acceso libre.pdf</x:v>
      </x:c>
      <x:c r="AJ339" s="18" t="str">
        <x:v>https://www.seg-social.es/wps/portal/wss/internet/InformacionUtil/9950/88beb45d-ca83-4bab-8162-f94ef2894562/7e46efac-32c8-4cf6-b3d3-d592c3560dff/rdpi_administrativos_2024</x:v>
      </x:c>
      <x:c r="AK339" s="18" t="str">
        <x:v>Texto PDF</x:v>
      </x:c>
      <x:c r="AL339" s="18" t="n">
        <x:v>100</x:v>
      </x:c>
      <x:c r="AM339" s="18" t="str">
        <x:v>Alta</x:v>
      </x:c>
      <x:c r="AN339" s="18" t="str">
        <x:v>Regla jurídica determinista</x:v>
      </x:c>
      <x:c r="AO339" s="18" t="str">
        <x:v>2025_conv2024_extraordinario-T65</x:v>
      </x:c>
      <x:c r="AP339" s="18" t="n">
        <x:v>1</x:v>
      </x:c>
    </x:row>
    <x:row r="340">
      <x:c r="A340" s="18" t="str">
        <x:v>2025_conv2024_extraordinario-T66</x:v>
      </x:c>
      <x:c r="B340" s="18" t="n">
        <x:v>2025</x:v>
      </x:c>
      <x:c r="C340" s="18" t="n">
        <x:v>2024</x:v>
      </x:c>
      <x:c r="D340" s="28" t="n">
        <x:v>45956</x:v>
      </x:c>
      <x:c r="E340" s="18" t="str">
        <x:v>Acceso libre</x:v>
      </x:c>
      <x:c r="F340" s="18" t="str">
        <x:v>Primera parte</x:v>
      </x:c>
      <x:c r="G340" s="18" t="str">
        <x:v>Extraordinario</x:v>
      </x:c>
      <x:c r="H340" s="18" t="str">
        <x:v>Único</x:v>
      </x:c>
      <x:c r="I340" s="18" t="str">
        <x:v>Sí</x:v>
      </x:c>
      <x:c r="J340" s="18" t="str">
        <x:v>Cuestionario extraordinario sin modelo paralelo.</x:v>
      </x:c>
      <x:c r="K340" s="18" t="n">
        <x:v>66</x:v>
      </x:c>
      <x:c r="L340" s="18" t="str">
        <x:v>No</x:v>
      </x:c>
      <x:c r="M340" s="18" t="str">
        <x:v>En relación con el procedimiento general para la adquisición de bienes inmuebles recogido en el artículo 9 del Real Decreto 1221/1992, de 9 de octubre, sobre el patrimonio de la Seguridad Social:</x:v>
      </x:c>
      <x:c r="N340" s="18" t="str">
        <x:v>Las adquisiciones de inmuebles a título oneroso se efectuarán por la Tesorería General de la Seguridad Social, cualquiera que sea el valor de los bienes, y tendrán lugar mediante concurso público.</x:v>
      </x:c>
      <x:c r="O340" s="18" t="str">
        <x:v>Las adquisiciones de inmuebles a título oneroso se efectuarán por la Entidad Gestora correspondiente en cada caso, cualquiera que sea el valor de los bienes, y tendrán lugar mediante concurso público.</x:v>
      </x:c>
      <x:c r="P340" s="18" t="str">
        <x:v>Las adquisiciones de inmuebles a título oneroso se efectuarán por la Dirección General de Ordenación de la Seguridad Social, cualquiera que sea el valor de los bienes, y tendrán lugar mediante concurso público.</x:v>
      </x:c>
      <x:c r="Q340" s="18" t="str">
        <x:v>Las adquisiciones de inmuebles a título oneroso se efectuarán por la Tesorería General de la Seguridad Social, previo informe favorable de la Dirección General de Ordenación de la Seguridad Social, cualquiera que sea el valor de los bienes, y tendrán lugar mediante concurso público.</x:v>
      </x:c>
      <x:c r="R340" s="18" t="str">
        <x:v>S13</x:v>
      </x:c>
      <x:c r="S340" s="18" t="n">
        <x:v>13</x:v>
      </x:c>
      <x:c r="T340" s="18" t="str">
        <x:v>Temario específico Seguridad Social</x:v>
      </x:c>
      <x:c r="U340" s="18" t="str">
        <x:v>Recursos generales del sistema de la Seguridad Social. El patrimonio único de la seguridad social: titularidad, adscripción, administración y custodia. Los negocios jurídicos patrimoniales: adquisición, enajenación, arrendamiento y cesión. El Fondo de Reserva de la Seguridad Social: constitución, dotación y disposición. Gestión de los recursos financieros: atribución de funciones. Pago de prestaciones de la Seguridad Social.</x:v>
      </x:c>
      <x:c r="V340" s="18" t="str">
        <x:v>S13</x:v>
      </x:c>
      <x:c r="W340" s="18" t="str">
        <x:v>Real Decreto 1221/1992</x:v>
      </x:c>
      <x:c r="X340" s="18" t="str">
        <x:v>9</x:v>
      </x:c>
      <x:c r="Y340" s="18" t="str">
        <x:v>Procedimientos</x:v>
      </x:c>
      <x:c r="Z340" s="18" t="str">
        <x:v>Media</x:v>
      </x:c>
      <x:c r="AA340" s="18" t="str">
        <x:v>S13</x:v>
      </x:c>
      <x:c r="AB340" s="18" t="str"/>
      <x:c r="AC340" s="18" t="str"/>
      <x:c r="AD340" s="18" t="str">
        <x:v>No</x:v>
      </x:c>
      <x:c r="AE340" s="18" t="str">
        <x:v>Teórico</x:v>
      </x:c>
      <x:c r="AF340" s="18" t="str">
        <x:v>A</x:v>
      </x:c>
      <x:c r="AG340" s="18" t="str">
        <x:v>A</x:v>
      </x:c>
      <x:c r="AH340" s="18" t="str">
        <x:v>Válida</x:v>
      </x:c>
      <x:c r="AI340" s="18" t="str">
        <x:v>01. Información oficial de la oposición\Exámenes oficiales anteriores\2025 Convocatoria 2024 - Examen extraordinario acceso libre.pdf</x:v>
      </x:c>
      <x:c r="AJ340" s="18" t="str">
        <x:v>https://www.seg-social.es/wps/portal/wss/internet/InformacionUtil/9950/88beb45d-ca83-4bab-8162-f94ef2894562/7e46efac-32c8-4cf6-b3d3-d592c3560dff/rdpi_administrativos_2024</x:v>
      </x:c>
      <x:c r="AK340" s="18" t="str">
        <x:v>Texto PDF</x:v>
      </x:c>
      <x:c r="AL340" s="18" t="n">
        <x:v>17</x:v>
      </x:c>
      <x:c r="AM340" s="18" t="str">
        <x:v>Alta</x:v>
      </x:c>
      <x:c r="AN340" s="18" t="str">
        <x:v>Ponderación de palabras clave</x:v>
      </x:c>
      <x:c r="AO340" s="18" t="str">
        <x:v>2025_conv2024_extraordinario-T66</x:v>
      </x:c>
      <x:c r="AP340" s="18" t="n">
        <x:v>1</x:v>
      </x:c>
    </x:row>
    <x:row r="341">
      <x:c r="A341" s="18" t="str">
        <x:v>2025_conv2024_extraordinario-T67</x:v>
      </x:c>
      <x:c r="B341" s="18" t="n">
        <x:v>2025</x:v>
      </x:c>
      <x:c r="C341" s="18" t="n">
        <x:v>2024</x:v>
      </x:c>
      <x:c r="D341" s="28" t="n">
        <x:v>45956</x:v>
      </x:c>
      <x:c r="E341" s="18" t="str">
        <x:v>Acceso libre</x:v>
      </x:c>
      <x:c r="F341" s="18" t="str">
        <x:v>Primera parte</x:v>
      </x:c>
      <x:c r="G341" s="18" t="str">
        <x:v>Extraordinario</x:v>
      </x:c>
      <x:c r="H341" s="18" t="str">
        <x:v>Único</x:v>
      </x:c>
      <x:c r="I341" s="18" t="str">
        <x:v>Sí</x:v>
      </x:c>
      <x:c r="J341" s="18" t="str">
        <x:v>Cuestionario extraordinario sin modelo paralelo.</x:v>
      </x:c>
      <x:c r="K341" s="18" t="n">
        <x:v>67</x:v>
      </x:c>
      <x:c r="L341" s="18" t="str">
        <x:v>No</x:v>
      </x:c>
      <x:c r="M341" s="18" t="str">
        <x:v>De conformidad con el artículo 14 del Real Decreto 696/2018, de 29 de junio, por el que se aprueba el Reglamento general de la gestión financiera de la Seguridad Social, corresponde ejercer la función de Tesorero General y Ordenador General de Pagos de la Seguridad Social, bajo la autoridad del Ministerio de Inclusión, Seguridad Social y Migraciones:</x:v>
      </x:c>
      <x:c r="N341" s="18" t="str">
        <x:v>A la persona que ostente la titularidad de la Dirección General del Instituto Nacional de la Seguridad Social.</x:v>
      </x:c>
      <x:c r="O341" s="18" t="str">
        <x:v>A la persona que ostente la titularidad de la Dirección General de Ordenación de la Administración de la Seguridad Social.</x:v>
      </x:c>
      <x:c r="P341" s="18" t="str">
        <x:v>A la persona que ostente la titularidad de la Dirección General de la Tesorería General de la Seguridad Social.</x:v>
      </x:c>
      <x:c r="Q341" s="18" t="str">
        <x:v>A la persona que ostente la titularidad de la Dirección General de la Intervención General de la Seguridad Social.</x:v>
      </x:c>
      <x:c r="R341" s="18" t="str">
        <x:v>S13</x:v>
      </x:c>
      <x:c r="S341" s="18" t="n">
        <x:v>13</x:v>
      </x:c>
      <x:c r="T341" s="18" t="str">
        <x:v>Temario específico Seguridad Social</x:v>
      </x:c>
      <x:c r="U341" s="18" t="str">
        <x:v>Recursos generales del sistema de la Seguridad Social. El patrimonio único de la seguridad social: titularidad, adscripción, administración y custodia. Los negocios jurídicos patrimoniales: adquisición, enajenación, arrendamiento y cesión. El Fondo de Reserva de la Seguridad Social: constitución, dotación y disposición. Gestión de los recursos financieros: atribución de funciones. Pago de prestaciones de la Seguridad Social.</x:v>
      </x:c>
      <x:c r="V341" s="18" t="str">
        <x:v>S13</x:v>
      </x:c>
      <x:c r="W341" s="18" t="str">
        <x:v>Real Decreto 696/2018</x:v>
      </x:c>
      <x:c r="X341" s="18" t="str">
        <x:v>14</x:v>
      </x:c>
      <x:c r="Y341" s="18" t="str">
        <x:v>Artículos literales</x:v>
      </x:c>
      <x:c r="Z341" s="18" t="str">
        <x:v>Alta</x:v>
      </x:c>
      <x:c r="AA341" s="18" t="str">
        <x:v>S13</x:v>
      </x:c>
      <x:c r="AB341" s="18" t="str"/>
      <x:c r="AC341" s="18" t="str"/>
      <x:c r="AD341" s="18" t="str">
        <x:v>No</x:v>
      </x:c>
      <x:c r="AE341" s="18" t="str">
        <x:v>Teórico</x:v>
      </x:c>
      <x:c r="AF341" s="18" t="str">
        <x:v>C</x:v>
      </x:c>
      <x:c r="AG341" s="18" t="str">
        <x:v>C</x:v>
      </x:c>
      <x:c r="AH341" s="18" t="str">
        <x:v>Válida</x:v>
      </x:c>
      <x:c r="AI341" s="18" t="str">
        <x:v>01. Información oficial de la oposición\Exámenes oficiales anteriores\2025 Convocatoria 2024 - Examen extraordinario acceso libre.pdf</x:v>
      </x:c>
      <x:c r="AJ341" s="18" t="str">
        <x:v>https://www.seg-social.es/wps/portal/wss/internet/InformacionUtil/9950/88beb45d-ca83-4bab-8162-f94ef2894562/7e46efac-32c8-4cf6-b3d3-d592c3560dff/rdpi_administrativos_2024</x:v>
      </x:c>
      <x:c r="AK341" s="18" t="str">
        <x:v>Texto PDF</x:v>
      </x:c>
      <x:c r="AL341" s="18" t="n">
        <x:v>100</x:v>
      </x:c>
      <x:c r="AM341" s="18" t="str">
        <x:v>Alta</x:v>
      </x:c>
      <x:c r="AN341" s="18" t="str">
        <x:v>Regla jurídica determinista</x:v>
      </x:c>
      <x:c r="AO341" s="18" t="str">
        <x:v>2025_conv2024_extraordinario-T67</x:v>
      </x:c>
      <x:c r="AP341" s="18" t="n">
        <x:v>1</x:v>
      </x:c>
    </x:row>
    <x:row r="342">
      <x:c r="A342" s="18" t="str">
        <x:v>2025_conv2024_extraordinario-T68</x:v>
      </x:c>
      <x:c r="B342" s="18" t="n">
        <x:v>2025</x:v>
      </x:c>
      <x:c r="C342" s="18" t="n">
        <x:v>2024</x:v>
      </x:c>
      <x:c r="D342" s="28" t="n">
        <x:v>45956</x:v>
      </x:c>
      <x:c r="E342" s="18" t="str">
        <x:v>Acceso libre</x:v>
      </x:c>
      <x:c r="F342" s="18" t="str">
        <x:v>Primera parte</x:v>
      </x:c>
      <x:c r="G342" s="18" t="str">
        <x:v>Extraordinario</x:v>
      </x:c>
      <x:c r="H342" s="18" t="str">
        <x:v>Único</x:v>
      </x:c>
      <x:c r="I342" s="18" t="str">
        <x:v>Sí</x:v>
      </x:c>
      <x:c r="J342" s="18" t="str">
        <x:v>Cuestionario extraordinario sin modelo paralelo.</x:v>
      </x:c>
      <x:c r="K342" s="18" t="n">
        <x:v>68</x:v>
      </x:c>
      <x:c r="L342" s="18" t="str">
        <x:v>No</x:v>
      </x:c>
      <x:c r="M342" s="18" t="str">
        <x:v>En relación con los bienes y derechos del patrimonio de la Seguridad Social , el artículo 6 del Real Decreto 1221/1992, de 9 de octubre, sobre el patrimonio de la Seguridad Social, establece que :</x:v>
      </x:c>
      <x:c r="N342" s="18" t="str">
        <x:v>Son inembargables y ningún Tribunal ni Autoridad Administrativa podrá dictar providencia de embargo, ni despachar mandamientos de ejecución contra los mismos.</x:v>
      </x:c>
      <x:c r="O342" s="18" t="str">
        <x:v>Tienen naturaleza inembargable, pero sí se pueden embargar las rentas, frutos o productos que deriven de los mismos.</x:v>
      </x:c>
      <x:c r="P342" s="18" t="str">
        <x:v>Se pueden embargar, si así lo establece una sentencia judicial firme.</x:v>
      </x:c>
      <x:c r="Q342" s="18" t="str">
        <x:v>Los bienes del patrimonio de la Seguridad Social se pueden embargar, si así lo establece una sentencia judicial firme, pero los derechos del patrimonio de la Seguridad Social tienen naturaleza inembargable.</x:v>
      </x:c>
      <x:c r="R342" s="18" t="str">
        <x:v>S13</x:v>
      </x:c>
      <x:c r="S342" s="18" t="n">
        <x:v>13</x:v>
      </x:c>
      <x:c r="T342" s="18" t="str">
        <x:v>Temario específico Seguridad Social</x:v>
      </x:c>
      <x:c r="U342" s="18" t="str">
        <x:v>Recursos generales del sistema de la Seguridad Social. El patrimonio único de la seguridad social: titularidad, adscripción, administración y custodia. Los negocios jurídicos patrimoniales: adquisición, enajenación, arrendamiento y cesión. El Fondo de Reserva de la Seguridad Social: constitución, dotación y disposición. Gestión de los recursos financieros: atribución de funciones. Pago de prestaciones de la Seguridad Social.</x:v>
      </x:c>
      <x:c r="V342" s="18" t="str">
        <x:v>S13</x:v>
      </x:c>
      <x:c r="W342" s="18" t="str">
        <x:v>Real Decreto 1221/1992</x:v>
      </x:c>
      <x:c r="X342" s="18" t="str">
        <x:v>6</x:v>
      </x:c>
      <x:c r="Y342" s="18" t="str">
        <x:v>Artículos literales</x:v>
      </x:c>
      <x:c r="Z342" s="18" t="str">
        <x:v>Media</x:v>
      </x:c>
      <x:c r="AA342" s="18" t="str">
        <x:v>S13</x:v>
      </x:c>
      <x:c r="AB342" s="18" t="str"/>
      <x:c r="AC342" s="18" t="str"/>
      <x:c r="AD342" s="18" t="str">
        <x:v>No</x:v>
      </x:c>
      <x:c r="AE342" s="18" t="str">
        <x:v>Teórico</x:v>
      </x:c>
      <x:c r="AF342" s="18" t="str">
        <x:v>A</x:v>
      </x:c>
      <x:c r="AG342" s="18" t="str">
        <x:v>A</x:v>
      </x:c>
      <x:c r="AH342" s="18" t="str">
        <x:v>Válida</x:v>
      </x:c>
      <x:c r="AI342" s="18" t="str">
        <x:v>01. Información oficial de la oposición\Exámenes oficiales anteriores\2025 Convocatoria 2024 - Examen extraordinario acceso libre.pdf</x:v>
      </x:c>
      <x:c r="AJ342" s="18" t="str">
        <x:v>https://www.seg-social.es/wps/portal/wss/internet/InformacionUtil/9950/88beb45d-ca83-4bab-8162-f94ef2894562/7e46efac-32c8-4cf6-b3d3-d592c3560dff/rdpi_administrativos_2024</x:v>
      </x:c>
      <x:c r="AK342" s="18" t="str">
        <x:v>Texto PDF</x:v>
      </x:c>
      <x:c r="AL342" s="18" t="n">
        <x:v>12</x:v>
      </x:c>
      <x:c r="AM342" s="18" t="str">
        <x:v>Alta</x:v>
      </x:c>
      <x:c r="AN342" s="18" t="str">
        <x:v>Ponderación de palabras clave</x:v>
      </x:c>
      <x:c r="AO342" s="18" t="str">
        <x:v>2025_conv2024_extraordinario-T68</x:v>
      </x:c>
      <x:c r="AP342" s="18" t="n">
        <x:v>1</x:v>
      </x:c>
    </x:row>
    <x:row r="343">
      <x:c r="A343" s="18" t="str">
        <x:v>2025_conv2024_extraordinario-T69</x:v>
      </x:c>
      <x:c r="B343" s="18" t="n">
        <x:v>2025</x:v>
      </x:c>
      <x:c r="C343" s="18" t="n">
        <x:v>2024</x:v>
      </x:c>
      <x:c r="D343" s="28" t="n">
        <x:v>45956</x:v>
      </x:c>
      <x:c r="E343" s="18" t="str">
        <x:v>Acceso libre</x:v>
      </x:c>
      <x:c r="F343" s="18" t="str">
        <x:v>Primera parte</x:v>
      </x:c>
      <x:c r="G343" s="18" t="str">
        <x:v>Extraordinario</x:v>
      </x:c>
      <x:c r="H343" s="18" t="str">
        <x:v>Único</x:v>
      </x:c>
      <x:c r="I343" s="18" t="str">
        <x:v>Sí</x:v>
      </x:c>
      <x:c r="J343" s="18" t="str">
        <x:v>Cuestionario extraordinario sin modelo paralelo.</x:v>
      </x:c>
      <x:c r="K343" s="18" t="n">
        <x:v>69</x:v>
      </x:c>
      <x:c r="L343" s="18" t="str">
        <x:v>No</x:v>
      </x:c>
      <x:c r="M343" s="18" t="str">
        <x:v>El artículo 107 del texto refundido de la Ley General de la Seguridad Social, e n relación con el arrendamiento y cesión de los bienes inmuebles del patrimonio de la Seguridad Social , establece que:</x:v>
      </x:c>
      <x:c r="N343" s="18" t="str">
        <x:v>Se concertarán siempre mediante concurso público.</x:v>
      </x:c>
      <x:c r="O343" s="18" t="str">
        <x:v>Se concertarán mediante concurso público, salvo en aquellos casos en que, a juicio del Ministerio Inclusión, Seguridad Social y Migraciones, sea necesario o conveniente concertarlos de modo directo.</x:v>
      </x:c>
      <x:c r="P343" s="18" t="str">
        <x:v>Se concertarán bien mediante concurso público o bien de modo directo, en función de la naturaleza de los mismos.</x:v>
      </x:c>
      <x:c r="Q343" s="18" t="str">
        <x:v>No se puede proceder a la cesión o arrendamiento de los mismos.</x:v>
      </x:c>
      <x:c r="R343" s="18" t="str">
        <x:v>S13</x:v>
      </x:c>
      <x:c r="S343" s="18" t="n">
        <x:v>13</x:v>
      </x:c>
      <x:c r="T343" s="18" t="str">
        <x:v>Temario específico Seguridad Social</x:v>
      </x:c>
      <x:c r="U343" s="18" t="str">
        <x:v>Recursos generales del sistema de la Seguridad Social. El patrimonio único de la seguridad social: titularidad, adscripción, administración y custodia. Los negocios jurídicos patrimoniales: adquisición, enajenación, arrendamiento y cesión. El Fondo de Reserva de la Seguridad Social: constitución, dotación y disposición. Gestión de los recursos financieros: atribución de funciones. Pago de prestaciones de la Seguridad Social.</x:v>
      </x:c>
      <x:c r="V343" s="18" t="str">
        <x:v>S13</x:v>
      </x:c>
      <x:c r="W343" s="18" t="str">
        <x:v>texto refundido de la Ley General de la Seguridad Social</x:v>
      </x:c>
      <x:c r="X343" s="18" t="str">
        <x:v>107</x:v>
      </x:c>
      <x:c r="Y343" s="18" t="str">
        <x:v>Artículos literales</x:v>
      </x:c>
      <x:c r="Z343" s="18" t="str">
        <x:v>Media</x:v>
      </x:c>
      <x:c r="AA343" s="18" t="str">
        <x:v>S13</x:v>
      </x:c>
      <x:c r="AB343" s="18" t="str"/>
      <x:c r="AC343" s="18" t="str"/>
      <x:c r="AD343" s="18" t="str">
        <x:v>No</x:v>
      </x:c>
      <x:c r="AE343" s="18" t="str">
        <x:v>Teórico</x:v>
      </x:c>
      <x:c r="AF343" s="18" t="str">
        <x:v>B</x:v>
      </x:c>
      <x:c r="AG343" s="18" t="str">
        <x:v>B</x:v>
      </x:c>
      <x:c r="AH343" s="18" t="str">
        <x:v>Válida</x:v>
      </x:c>
      <x:c r="AI343" s="18" t="str">
        <x:v>01. Información oficial de la oposición\Exámenes oficiales anteriores\2025 Convocatoria 2024 - Examen extraordinario acceso libre.pdf</x:v>
      </x:c>
      <x:c r="AJ343" s="18" t="str">
        <x:v>https://www.seg-social.es/wps/portal/wss/internet/InformacionUtil/9950/88beb45d-ca83-4bab-8162-f94ef2894562/7e46efac-32c8-4cf6-b3d3-d592c3560dff/rdpi_administrativos_2024</x:v>
      </x:c>
      <x:c r="AK343" s="18" t="str">
        <x:v>Texto PDF</x:v>
      </x:c>
      <x:c r="AL343" s="18" t="n">
        <x:v>100</x:v>
      </x:c>
      <x:c r="AM343" s="18" t="str">
        <x:v>Alta</x:v>
      </x:c>
      <x:c r="AN343" s="18" t="str">
        <x:v>Regla jurídica determinista</x:v>
      </x:c>
      <x:c r="AO343" s="18" t="str">
        <x:v>2025_conv2024_extraordinario-T69</x:v>
      </x:c>
      <x:c r="AP343" s="18" t="n">
        <x:v>1</x:v>
      </x:c>
    </x:row>
    <x:row r="344">
      <x:c r="A344" s="18" t="str">
        <x:v>2025_conv2024_extraordinario-T70</x:v>
      </x:c>
      <x:c r="B344" s="18" t="n">
        <x:v>2025</x:v>
      </x:c>
      <x:c r="C344" s="18" t="n">
        <x:v>2024</x:v>
      </x:c>
      <x:c r="D344" s="28" t="n">
        <x:v>45956</x:v>
      </x:c>
      <x:c r="E344" s="18" t="str">
        <x:v>Acceso libre</x:v>
      </x:c>
      <x:c r="F344" s="18" t="str">
        <x:v>Primera parte</x:v>
      </x:c>
      <x:c r="G344" s="18" t="str">
        <x:v>Extraordinario</x:v>
      </x:c>
      <x:c r="H344" s="18" t="str">
        <x:v>Único</x:v>
      </x:c>
      <x:c r="I344" s="18" t="str">
        <x:v>Sí</x:v>
      </x:c>
      <x:c r="J344" s="18" t="str">
        <x:v>Cuestionario extraordinario sin modelo paralelo.</x:v>
      </x:c>
      <x:c r="K344" s="18" t="n">
        <x:v>70</x:v>
      </x:c>
      <x:c r="L344" s="18" t="str">
        <x:v>No</x:v>
      </x:c>
      <x:c r="M344" s="18" t="str">
        <x:v>El artículo 111 del Reglamento General de Recaudación de la Seguridad Social, aprobado por el Real Decreto 1415/2004, de 11 de junio, establece que si sobre los bienes embargados existiesen cargas o gravámenes de carácter real, servirá como tipo para la subasta:</x:v>
      </x:c>
      <x:c r="N344" s="18" t="str">
        <x:v>La diferencia entre el valor de los bienes y el de las cargas o gravámenes anteriores que sean preferentes al derecho anotado de la Seguridad Social</x:v>
      </x:c>
      <x:c r="O344" s="18" t="str">
        <x:v>El valor el de las cargas o gravámenes anteriores que sean preferentes al derecho anotado de la Seguridad Social</x:v>
      </x:c>
      <x:c r="P344" s="18" t="str">
        <x:v>El valor de los bienes embargados.</x:v>
      </x:c>
      <x:c r="Q344" s="18" t="str">
        <x:v>El importe de la deuda.</x:v>
      </x:c>
      <x:c r="R344" s="18" t="str">
        <x:v>S06</x:v>
      </x:c>
      <x:c r="S344" s="18" t="n">
        <x:v>6</x:v>
      </x:c>
      <x:c r="T344" s="18" t="str">
        <x:v>Temario específico Seguridad Social</x:v>
      </x:c>
      <x:c r="U344" s="18" t="str">
        <x:v>La recaudación en vía ejecutiva. Normas generales. Iniciación y título ejecutivo. La providencia de apremio. Oposición y efectos. El embargo de bienes. Enajenación de bienes: modalidades. Créditos incobrables. Tercerías.</x:v>
      </x:c>
      <x:c r="V344" s="18" t="str">
        <x:v>S06</x:v>
      </x:c>
      <x:c r="W344" s="18" t="str">
        <x:v>Real Decreto 1415/2004</x:v>
      </x:c>
      <x:c r="X344" s="18" t="str">
        <x:v>111</x:v>
      </x:c>
      <x:c r="Y344" s="18" t="str">
        <x:v>Recaudación ejecutiva</x:v>
      </x:c>
      <x:c r="Z344" s="18" t="str">
        <x:v>Media</x:v>
      </x:c>
      <x:c r="AA344" s="18" t="str">
        <x:v>S06</x:v>
      </x:c>
      <x:c r="AB344" s="18" t="str"/>
      <x:c r="AC344" s="18" t="str"/>
      <x:c r="AD344" s="18" t="str">
        <x:v>No</x:v>
      </x:c>
      <x:c r="AE344" s="18" t="str">
        <x:v>Teórico</x:v>
      </x:c>
      <x:c r="AF344" s="18" t="str">
        <x:v>A</x:v>
      </x:c>
      <x:c r="AG344" s="18" t="str">
        <x:v>A</x:v>
      </x:c>
      <x:c r="AH344" s="18" t="str">
        <x:v>Válida</x:v>
      </x:c>
      <x:c r="AI344" s="18" t="str">
        <x:v>01. Información oficial de la oposición\Exámenes oficiales anteriores\2025 Convocatoria 2024 - Examen extraordinario acceso libre.pdf</x:v>
      </x:c>
      <x:c r="AJ344" s="18" t="str">
        <x:v>https://www.seg-social.es/wps/portal/wss/internet/InformacionUtil/9950/88beb45d-ca83-4bab-8162-f94ef2894562/7e46efac-32c8-4cf6-b3d3-d592c3560dff/rdpi_administrativos_2024</x:v>
      </x:c>
      <x:c r="AK344" s="18" t="str">
        <x:v>Texto PDF</x:v>
      </x:c>
      <x:c r="AL344" s="18" t="n">
        <x:v>100</x:v>
      </x:c>
      <x:c r="AM344" s="18" t="str">
        <x:v>Alta</x:v>
      </x:c>
      <x:c r="AN344" s="18" t="str">
        <x:v>Regla jurídica determinista</x:v>
      </x:c>
      <x:c r="AO344" s="18" t="str">
        <x:v>2025_conv2024_extraordinario-T70</x:v>
      </x:c>
      <x:c r="AP344" s="18" t="n">
        <x:v>1</x:v>
      </x:c>
    </x:row>
    <x:row r="345">
      <x:c r="A345" s="18" t="str">
        <x:v>2025_conv2024_extraordinario-T71</x:v>
      </x:c>
      <x:c r="B345" s="18" t="n">
        <x:v>2025</x:v>
      </x:c>
      <x:c r="C345" s="18" t="n">
        <x:v>2024</x:v>
      </x:c>
      <x:c r="D345" s="28" t="n">
        <x:v>45956</x:v>
      </x:c>
      <x:c r="E345" s="18" t="str">
        <x:v>Acceso libre</x:v>
      </x:c>
      <x:c r="F345" s="18" t="str">
        <x:v>Primera parte</x:v>
      </x:c>
      <x:c r="G345" s="18" t="str">
        <x:v>Extraordinario</x:v>
      </x:c>
      <x:c r="H345" s="18" t="str">
        <x:v>Único</x:v>
      </x:c>
      <x:c r="I345" s="18" t="str">
        <x:v>Sí</x:v>
      </x:c>
      <x:c r="J345" s="18" t="str">
        <x:v>Cuestionario extraordinario sin modelo paralelo.</x:v>
      </x:c>
      <x:c r="K345" s="18" t="n">
        <x:v>71</x:v>
      </x:c>
      <x:c r="L345" s="18" t="str">
        <x:v>Sí</x:v>
      </x:c>
      <x:c r="M345" s="18" t="str">
        <x:v>De acuerdo con lo fijado en el Capítulo 3, sobre Órganos Consultivos de la Unión, del Tratado de Funcionamiento de la Unión Europea, en relación con el Comité de las Regiones:</x:v>
      </x:c>
      <x:c r="N345" s="18" t="str">
        <x:v>Los miembros del Comité no excederá de 325.</x:v>
      </x:c>
      <x:c r="O345" s="18" t="str">
        <x:v>Los miembros del Comité, así como un número igual de suplentes, serán nombrados para un periodo de 5 años, renovables.</x:v>
      </x:c>
      <x:c r="P345" s="18" t="str">
        <x:v>El Comité de las Regiones designará de entre sus miembros al Presidente y a la Mesa, por un periodo de 2 años y establecerá su reglamento interno.</x:v>
      </x:c>
      <x:c r="Q345" s="18" t="str">
        <x:v>Si lo estimaren necesario, el Parlamento Europeo, el Consejo o la Comisión fijaran al Comité un plazo para la presentación de su dictamen, que no podrá ser inferior a 3 meses a partir de la fecha de la notificación que, a tal fin, se curse al Presidente.</x:v>
      </x:c>
      <x:c r="R345" s="18" t="str">
        <x:v>G10</x:v>
      </x:c>
      <x:c r="S345" s="18" t="n">
        <x:v>10</x:v>
      </x:c>
      <x:c r="T345" s="18" t="str">
        <x:v>Temario general</x:v>
      </x:c>
      <x:c r="U345" s="18" t="str">
        <x:v>Las Instituciones de la Unión Europea: El Consejo, el Parlamento Europeo, la Comisión, el Tribunal de Justicia.</x:v>
      </x:c>
      <x:c r="V345" s="18" t="str">
        <x:v>G10</x:v>
      </x:c>
      <x:c r="W345" s="18" t="str">
        <x:v>Tratado de Funcionamiento de la Unión Europea</x:v>
      </x:c>
      <x:c r="X345" s="18" t="str"/>
      <x:c r="Y345" s="18" t="str">
        <x:v>Órganos</x:v>
      </x:c>
      <x:c r="Z345" s="18" t="str">
        <x:v>Media</x:v>
      </x:c>
      <x:c r="AA345" s="18" t="str">
        <x:v>G10</x:v>
      </x:c>
      <x:c r="AB345" s="18" t="str"/>
      <x:c r="AC345" s="18" t="str"/>
      <x:c r="AD345" s="18" t="str">
        <x:v>No</x:v>
      </x:c>
      <x:c r="AE345" s="18" t="str">
        <x:v>Teórico</x:v>
      </x:c>
      <x:c r="AF345" s="18" t="str">
        <x:v>B</x:v>
      </x:c>
      <x:c r="AG345" s="18" t="str">
        <x:v>B</x:v>
      </x:c>
      <x:c r="AH345" s="18" t="str">
        <x:v>Válida</x:v>
      </x:c>
      <x:c r="AI345" s="18" t="str">
        <x:v>01. Información oficial de la oposición\Exámenes oficiales anteriores\2025 Convocatoria 2024 - Examen extraordinario acceso libre.pdf</x:v>
      </x:c>
      <x:c r="AJ345" s="18" t="str">
        <x:v>https://www.seg-social.es/wps/portal/wss/internet/InformacionUtil/9950/88beb45d-ca83-4bab-8162-f94ef2894562/7e46efac-32c8-4cf6-b3d3-d592c3560dff/rdpi_administrativos_2024</x:v>
      </x:c>
      <x:c r="AK345" s="18" t="str">
        <x:v>Texto PDF</x:v>
      </x:c>
      <x:c r="AL345" s="18" t="n">
        <x:v>100</x:v>
      </x:c>
      <x:c r="AM345" s="18" t="str">
        <x:v>Alta</x:v>
      </x:c>
      <x:c r="AN345" s="18" t="str">
        <x:v>Regla jurídica determinista</x:v>
      </x:c>
      <x:c r="AO345" s="18" t="str">
        <x:v>2025_conv2024_extraordinario-T71</x:v>
      </x:c>
      <x:c r="AP345" s="18" t="n">
        <x:v>1</x:v>
      </x:c>
    </x:row>
    <x:row r="346">
      <x:c r="A346" s="18" t="str">
        <x:v>2025_conv2024_extraordinario-T72</x:v>
      </x:c>
      <x:c r="B346" s="18" t="n">
        <x:v>2025</x:v>
      </x:c>
      <x:c r="C346" s="18" t="n">
        <x:v>2024</x:v>
      </x:c>
      <x:c r="D346" s="28" t="n">
        <x:v>45956</x:v>
      </x:c>
      <x:c r="E346" s="18" t="str">
        <x:v>Acceso libre</x:v>
      </x:c>
      <x:c r="F346" s="18" t="str">
        <x:v>Primera parte</x:v>
      </x:c>
      <x:c r="G346" s="18" t="str">
        <x:v>Extraordinario</x:v>
      </x:c>
      <x:c r="H346" s="18" t="str">
        <x:v>Único</x:v>
      </x:c>
      <x:c r="I346" s="18" t="str">
        <x:v>Sí</x:v>
      </x:c>
      <x:c r="J346" s="18" t="str">
        <x:v>Cuestionario extraordinario sin modelo paralelo.</x:v>
      </x:c>
      <x:c r="K346" s="18" t="n">
        <x:v>72</x:v>
      </x:c>
      <x:c r="L346" s="18" t="str">
        <x:v>Sí</x:v>
      </x:c>
      <x:c r="M346" s="18" t="str">
        <x:v>El artículo 129 del Reglamento General de Recaudación de la Seguridad Social aprobado por el Real Decreto 1415/2004, de 11 de junio , establece que la competencia para calificar un crédito como incobrable corresponde a:</x:v>
      </x:c>
      <x:c r="N346" s="18" t="str">
        <x:v>El titular de la Dirección General.</x:v>
      </x:c>
      <x:c r="O346" s="18" t="str">
        <x:v>El titular de la Subdirección General de Procedimientos Ejecutivos y Especiales de Recaudación</x:v>
      </x:c>
      <x:c r="P346" s="18" t="str">
        <x:v>El titular de la Dirección Provincial.</x:v>
      </x:c>
      <x:c r="Q346" s="18" t="str">
        <x:v>El titular de la Unidad de Recaudación Ejecutiva.</x:v>
      </x:c>
      <x:c r="R346" s="18" t="str">
        <x:v>S06</x:v>
      </x:c>
      <x:c r="S346" s="18" t="n">
        <x:v>6</x:v>
      </x:c>
      <x:c r="T346" s="18" t="str">
        <x:v>Temario específico Seguridad Social</x:v>
      </x:c>
      <x:c r="U346" s="18" t="str">
        <x:v>La recaudación en vía ejecutiva. Normas generales. Iniciación y título ejecutivo. La providencia de apremio. Oposición y efectos. El embargo de bienes. Enajenación de bienes: modalidades. Créditos incobrables. Tercerías.</x:v>
      </x:c>
      <x:c r="V346" s="18" t="str">
        <x:v>S06</x:v>
      </x:c>
      <x:c r="W346" s="18" t="str">
        <x:v>Real Decreto 1415/2004</x:v>
      </x:c>
      <x:c r="X346" s="18" t="str">
        <x:v>129</x:v>
      </x:c>
      <x:c r="Y346" s="18" t="str">
        <x:v>Competencias</x:v>
      </x:c>
      <x:c r="Z346" s="18" t="str">
        <x:v>Media</x:v>
      </x:c>
      <x:c r="AA346" s="18" t="str">
        <x:v>S06</x:v>
      </x:c>
      <x:c r="AB346" s="18" t="str"/>
      <x:c r="AC346" s="18" t="str"/>
      <x:c r="AD346" s="18" t="str">
        <x:v>No</x:v>
      </x:c>
      <x:c r="AE346" s="18" t="str">
        <x:v>Teórico</x:v>
      </x:c>
      <x:c r="AF346" s="18" t="str">
        <x:v>C</x:v>
      </x:c>
      <x:c r="AG346" s="18" t="str">
        <x:v>C</x:v>
      </x:c>
      <x:c r="AH346" s="18" t="str">
        <x:v>Válida</x:v>
      </x:c>
      <x:c r="AI346" s="18" t="str">
        <x:v>01. Información oficial de la oposición\Exámenes oficiales anteriores\2025 Convocatoria 2024 - Examen extraordinario acceso libre.pdf</x:v>
      </x:c>
      <x:c r="AJ346" s="18" t="str">
        <x:v>https://www.seg-social.es/wps/portal/wss/internet/InformacionUtil/9950/88beb45d-ca83-4bab-8162-f94ef2894562/7e46efac-32c8-4cf6-b3d3-d592c3560dff/rdpi_administrativos_2024</x:v>
      </x:c>
      <x:c r="AK346" s="18" t="str">
        <x:v>Texto PDF</x:v>
      </x:c>
      <x:c r="AL346" s="18" t="n">
        <x:v>100</x:v>
      </x:c>
      <x:c r="AM346" s="18" t="str">
        <x:v>Alta</x:v>
      </x:c>
      <x:c r="AN346" s="18" t="str">
        <x:v>Regla jurídica determinista</x:v>
      </x:c>
      <x:c r="AO346" s="18" t="str">
        <x:v>2025_conv2024_extraordinario-T72</x:v>
      </x:c>
      <x:c r="AP346" s="18" t="n">
        <x:v>1</x:v>
      </x:c>
    </x:row>
    <x:row r="347">
      <x:c r="A347" s="18" t="str">
        <x:v>2025_conv2024_extraordinario-T73</x:v>
      </x:c>
      <x:c r="B347" s="18" t="n">
        <x:v>2025</x:v>
      </x:c>
      <x:c r="C347" s="18" t="n">
        <x:v>2024</x:v>
      </x:c>
      <x:c r="D347" s="28" t="n">
        <x:v>45956</x:v>
      </x:c>
      <x:c r="E347" s="18" t="str">
        <x:v>Acceso libre</x:v>
      </x:c>
      <x:c r="F347" s="18" t="str">
        <x:v>Primera parte</x:v>
      </x:c>
      <x:c r="G347" s="18" t="str">
        <x:v>Extraordinario</x:v>
      </x:c>
      <x:c r="H347" s="18" t="str">
        <x:v>Único</x:v>
      </x:c>
      <x:c r="I347" s="18" t="str">
        <x:v>Sí</x:v>
      </x:c>
      <x:c r="J347" s="18" t="str">
        <x:v>Cuestionario extraordinario sin modelo paralelo.</x:v>
      </x:c>
      <x:c r="K347" s="18" t="n">
        <x:v>73</x:v>
      </x:c>
      <x:c r="L347" s="18" t="str">
        <x:v>Sí</x:v>
      </x:c>
      <x:c r="M347" s="18" t="str">
        <x:v>De conformidad con el artículo 21 de la Ley 39/2015, de 1 de octubre, del Procedimiento Administrativo Común de las Administraciones Públicas, que regula la obligación de resolver, señale la respuesta correcta:</x:v>
      </x:c>
      <x:c r="N347" s="18" t="str">
        <x:v>La Administración está obligada a dictar resolución expresa y a notificarla únicamente en los procedimientos iniciados de oficio.</x:v>
      </x:c>
      <x:c r="O347" s="18" t="str">
        <x:v>En los supuestos de terminación del procedimiento por pacto o convenio, se exceptúa a la Administración de la obligación de dictar resolución expresa y a notificarla.</x:v>
      </x:c>
      <x:c r="P347" s="18" t="str">
        <x:v>El plazo máximo en el que debe notificarse la resolución expresa será el fijado por la norma reguladora del procedimiento, pero no podrá exceder de 3 meses en ningún caso, salvo que una norma con rango de Ley establezca uno mayor.</x:v>
      </x:c>
      <x:c r="Q347" s="18" t="str">
        <x:v>Cuando las normas reguladoras de los procedimientos no fijen el plazo máximo, éste será de 6 meses.</x:v>
      </x:c>
      <x:c r="R347" s="18" t="str">
        <x:v>G16</x:v>
      </x:c>
      <x:c r="S347" s="18" t="n">
        <x:v>16</x:v>
      </x:c>
      <x:c r="T347" s="18" t="str">
        <x:v>Temario general</x:v>
      </x:c>
      <x:c r="U347" s="18" t="str">
        <x:v>El procedimiento administrativo común. La capacidad de obrar y el concepto de interesado. Representación. Identificación y firma de los interesados. Derechos del interesado en el procedimiento administrativo. Obligación de resolver y silencio administrativo. Términos y plazos.</x:v>
      </x:c>
      <x:c r="V347" s="18" t="str">
        <x:v>G16</x:v>
      </x:c>
      <x:c r="W347" s="18" t="str">
        <x:v>Ley 39/2015</x:v>
      </x:c>
      <x:c r="X347" s="18" t="str">
        <x:v>21</x:v>
      </x:c>
      <x:c r="Y347" s="18" t="str">
        <x:v>Procedimientos</x:v>
      </x:c>
      <x:c r="Z347" s="18" t="str">
        <x:v>Media</x:v>
      </x:c>
      <x:c r="AA347" s="18" t="str">
        <x:v>G16</x:v>
      </x:c>
      <x:c r="AB347" s="18" t="str"/>
      <x:c r="AC347" s="18" t="str"/>
      <x:c r="AD347" s="18" t="str">
        <x:v>No</x:v>
      </x:c>
      <x:c r="AE347" s="18" t="str">
        <x:v>Teórico</x:v>
      </x:c>
      <x:c r="AF347" s="18" t="str">
        <x:v>B</x:v>
      </x:c>
      <x:c r="AG347" s="18" t="str">
        <x:v>B</x:v>
      </x:c>
      <x:c r="AH347" s="18" t="str">
        <x:v>Válida</x:v>
      </x:c>
      <x:c r="AI347" s="18" t="str">
        <x:v>01. Información oficial de la oposición\Exámenes oficiales anteriores\2025 Convocatoria 2024 - Examen extraordinario acceso libre.pdf</x:v>
      </x:c>
      <x:c r="AJ347" s="18" t="str">
        <x:v>https://www.seg-social.es/wps/portal/wss/internet/InformacionUtil/9950/88beb45d-ca83-4bab-8162-f94ef2894562/7e46efac-32c8-4cf6-b3d3-d592c3560dff/rdpi_administrativos_2024</x:v>
      </x:c>
      <x:c r="AK347" s="18" t="str">
        <x:v>Texto PDF</x:v>
      </x:c>
      <x:c r="AL347" s="18" t="n">
        <x:v>100</x:v>
      </x:c>
      <x:c r="AM347" s="18" t="str">
        <x:v>Alta</x:v>
      </x:c>
      <x:c r="AN347" s="18" t="str">
        <x:v>Regla jurídica determinista</x:v>
      </x:c>
      <x:c r="AO347" s="18" t="str">
        <x:v>2025_conv2024_extraordinario-T73</x:v>
      </x:c>
      <x:c r="AP347" s="18" t="n">
        <x:v>1</x:v>
      </x:c>
    </x:row>
    <x:row r="348">
      <x:c r="A348" s="18" t="str">
        <x:v>2025_conv2024_extraordinario-P01</x:v>
      </x:c>
      <x:c r="B348" s="18" t="n">
        <x:v>2025</x:v>
      </x:c>
      <x:c r="C348" s="18" t="n">
        <x:v>2024</x:v>
      </x:c>
      <x:c r="D348" s="28" t="n">
        <x:v>45956</x:v>
      </x:c>
      <x:c r="E348" s="18" t="str">
        <x:v>Acceso libre</x:v>
      </x:c>
      <x:c r="F348" s="18" t="str">
        <x:v>Segunda parte</x:v>
      </x:c>
      <x:c r="G348" s="18" t="str">
        <x:v>Extraordinario</x:v>
      </x:c>
      <x:c r="H348" s="18" t="str">
        <x:v>Único</x:v>
      </x:c>
      <x:c r="I348" s="18" t="str">
        <x:v>Sí</x:v>
      </x:c>
      <x:c r="J348" s="18" t="str">
        <x:v>Cuestionario extraordinario sin modelo paralelo.</x:v>
      </x:c>
      <x:c r="K348" s="18" t="n">
        <x:v>1</x:v>
      </x:c>
      <x:c r="L348" s="18" t="str">
        <x:v>No</x:v>
      </x:c>
      <x:c r="M348" s="18" t="str">
        <x:v>D. Max Estrella, pretende que su hija Claudia le ayude en el negocio, para adquirir experiencia, puesto que es la primera vez que trabaja. Ante esta situación, determine si Claudia puede tener la consideración de trabajadora por cuenta ajena de D. Max Estrella.</x:v>
      </x:c>
      <x:c r="N348" s="18" t="str">
        <x:v>No, porque para mayores de 30 años es necesario acreditar una discapacidad física igual o superior al 65 por ciento.</x:v>
      </x:c>
      <x:c r="O348" s="18" t="str">
        <x:v>No, porque es mayor de 30 años.</x:v>
      </x:c>
      <x:c r="P348" s="18" t="str">
        <x:v>Sí, pero queda excluida de la prestación por desempleo.</x:v>
      </x:c>
      <x:c r="Q348" s="18" t="str">
        <x:v>No, porque conviven. La empresa “Pica Lagartos, S.L.”, encuadrada en el Régimen General de la Seguridad Social va a incorporar a su plantilla a Dña. Lucía Vero, teniendo intención de comenzar su actividad laboral el día 13 de marzo de 2025. En la empresa, también presta servicios, desde hace dos años, D. Basilio Soulinake que percibió durante el mes de marzo de 2025 un salario base de 1.500 euros, un plus de antigüedad de 300 euros y 600 en concepto de horas extraordinarias debidas a fuerza m ayor; tiene derecho a dos pagas extraordinarias de una mensualidad del salario base y el plus de antigüedad cada una.</x:v>
      </x:c>
      <x:c r="R348" s="18" t="str">
        <x:v>S02</x:v>
      </x:c>
      <x:c r="S348" s="18" t="n">
        <x:v>2</x:v>
      </x:c>
      <x:c r="T348" s="18" t="str">
        <x:v>Temario específico Seguridad Social</x:v>
      </x:c>
      <x:c r="U348" s="18" t="str">
        <x:v>Campo de aplicación y composición del sistema de la Seguridad Social. Régimen general: ámbito subjetivo de aplicación, inclusiones y exclusiones. Regímenes especiales: enumeración, características generales, altas, bajas y cotización. Particularidades de la acción protectora. Sistemas especiales: enumeración y características generales. Altas, bajas y cotización. Particularidades de la acción protectora.</x:v>
      </x:c>
      <x:c r="V348" s="18" t="str">
        <x:v>S02</x:v>
      </x:c>
      <x:c r="W348" s="18" t="str"/>
      <x:c r="X348" s="18" t="str"/>
      <x:c r="Y348" s="18" t="str">
        <x:v>Artículos literales</x:v>
      </x:c>
      <x:c r="Z348" s="18" t="str">
        <x:v>Alta</x:v>
      </x:c>
      <x:c r="AA348" s="18" t="str">
        <x:v>S02</x:v>
      </x:c>
      <x:c r="AB348" s="18" t="str"/>
      <x:c r="AC348" s="18" t="str"/>
      <x:c r="AD348" s="18" t="str">
        <x:v>No</x:v>
      </x:c>
      <x:c r="AE348" s="18" t="str">
        <x:v>Práctico</x:v>
      </x:c>
      <x:c r="AF348" s="18" t="str">
        <x:v>C</x:v>
      </x:c>
      <x:c r="AG348" s="18" t="str">
        <x:v>C</x:v>
      </x:c>
      <x:c r="AH348" s="18" t="str">
        <x:v>Válida</x:v>
      </x:c>
      <x:c r="AI348" s="18" t="str">
        <x:v>01. Información oficial de la oposición\Exámenes oficiales anteriores\2025 Convocatoria 2024 - Examen extraordinario acceso libre.pdf</x:v>
      </x:c>
      <x:c r="AJ348" s="18" t="str">
        <x:v>https://www.seg-social.es/wps/portal/wss/internet/InformacionUtil/9950/88beb45d-ca83-4bab-8162-f94ef2894562/7e46efac-32c8-4cf6-b3d3-d592c3560dff/rdpi_administrativos_2024</x:v>
      </x:c>
      <x:c r="AK348" s="18" t="str">
        <x:v>Texto PDF</x:v>
      </x:c>
      <x:c r="AL348" s="18" t="n">
        <x:v>100</x:v>
      </x:c>
      <x:c r="AM348" s="18" t="str">
        <x:v>Alta</x:v>
      </x:c>
      <x:c r="AN348" s="18" t="str">
        <x:v>Revisión jurídica individual</x:v>
      </x:c>
      <x:c r="AO348" s="18" t="str">
        <x:v>2025_conv2024_extraordinario-P01</x:v>
      </x:c>
      <x:c r="AP348" s="18" t="n">
        <x:v>1</x:v>
      </x:c>
    </x:row>
    <x:row r="349">
      <x:c r="A349" s="18" t="str">
        <x:v>2025_conv2024_extraordinario-P02</x:v>
      </x:c>
      <x:c r="B349" s="18" t="n">
        <x:v>2025</x:v>
      </x:c>
      <x:c r="C349" s="18" t="n">
        <x:v>2024</x:v>
      </x:c>
      <x:c r="D349" s="28" t="n">
        <x:v>45956</x:v>
      </x:c>
      <x:c r="E349" s="18" t="str">
        <x:v>Acceso libre</x:v>
      </x:c>
      <x:c r="F349" s="18" t="str">
        <x:v>Segunda parte</x:v>
      </x:c>
      <x:c r="G349" s="18" t="str">
        <x:v>Extraordinario</x:v>
      </x:c>
      <x:c r="H349" s="18" t="str">
        <x:v>Único</x:v>
      </x:c>
      <x:c r="I349" s="18" t="str">
        <x:v>Sí</x:v>
      </x:c>
      <x:c r="J349" s="18" t="str">
        <x:v>Cuestionario extraordinario sin modelo paralelo.</x:v>
      </x:c>
      <x:c r="K349" s="18" t="n">
        <x:v>2</x:v>
      </x:c>
      <x:c r="L349" s="18" t="str">
        <x:v>No</x:v>
      </x:c>
      <x:c r="M349" s="18" t="str">
        <x:v>En relación con la incorporación de Dña. Luc ía Vero a la empresa “Pica Lagartos, S.L.”, indique si la empresa puede solicitar su alta el día 14 de febrero de 2025, para que sea efectiva el día 13 de marzo de 2025.</x:v>
      </x:c>
      <x:c r="N349" s="18" t="str">
        <x:v>Sí, porque obligatoriamente se tienen que presentar las altas en los 30 días laborales anteriores a la fecha prevista.</x:v>
      </x:c>
      <x:c r="O349" s="18" t="str">
        <x:v>Sí, se encuentra dentro de los 60 días naturales anteriores a la fecha prevista.</x:v>
      </x:c>
      <x:c r="P349" s="18" t="str">
        <x:v>No, porque únicamente se pueden presentar las altas en los seis días naturales inmediatamente anteriores a la fecha prevista.</x:v>
      </x:c>
      <x:c r="Q349" s="18" t="str">
        <x:v>No, el plazo de presentación de las altas es de los seis días naturales posteriores a la fecha de inicio de la actividad laboral.</x:v>
      </x:c>
      <x:c r="R349" s="18" t="str">
        <x:v>S03</x:v>
      </x:c>
      <x:c r="S349" s="18" t="n">
        <x:v>3</x:v>
      </x:c>
      <x:c r="T349" s="18" t="str">
        <x:v>Temario específico Seguridad Social</x:v>
      </x:c>
      <x:c r="U349" s="18" t="str">
        <x:v>Normas sobre afiliación. Altas y bajas en el régimen general. Procedimiento y efectos. El convenio especial y otras situaciones asimiladas a la del alta. Encuadramiento e inscripción.</x:v>
      </x:c>
      <x:c r="V349" s="18" t="str">
        <x:v>alta</x:v>
      </x:c>
      <x:c r="W349" s="18" t="str"/>
      <x:c r="X349" s="18" t="str"/>
      <x:c r="Y349" s="18" t="str">
        <x:v>Afiliación, altas y bajas</x:v>
      </x:c>
      <x:c r="Z349" s="18" t="str">
        <x:v>Alta</x:v>
      </x:c>
      <x:c r="AA349" s="18" t="str">
        <x:v>alta</x:v>
      </x:c>
      <x:c r="AB349" s="18" t="str"/>
      <x:c r="AC349" s="18" t="str"/>
      <x:c r="AD349" s="18" t="str">
        <x:v>No</x:v>
      </x:c>
      <x:c r="AE349" s="18" t="str">
        <x:v>Práctico</x:v>
      </x:c>
      <x:c r="AF349" s="18" t="str">
        <x:v>B</x:v>
      </x:c>
      <x:c r="AG349" s="18" t="str">
        <x:v>B</x:v>
      </x:c>
      <x:c r="AH349" s="18" t="str">
        <x:v>Válida</x:v>
      </x:c>
      <x:c r="AI349" s="18" t="str">
        <x:v>01. Información oficial de la oposición\Exámenes oficiales anteriores\2025 Convocatoria 2024 - Examen extraordinario acceso libre.pdf</x:v>
      </x:c>
      <x:c r="AJ349" s="18" t="str">
        <x:v>https://www.seg-social.es/wps/portal/wss/internet/InformacionUtil/9950/88beb45d-ca83-4bab-8162-f94ef2894562/7e46efac-32c8-4cf6-b3d3-d592c3560dff/rdpi_administrativos_2024</x:v>
      </x:c>
      <x:c r="AK349" s="18" t="str">
        <x:v>Texto PDF</x:v>
      </x:c>
      <x:c r="AL349" s="18" t="n">
        <x:v>7</x:v>
      </x:c>
      <x:c r="AM349" s="18" t="str">
        <x:v>Media</x:v>
      </x:c>
      <x:c r="AN349" s="18" t="str">
        <x:v>Ponderación de palabras clave</x:v>
      </x:c>
      <x:c r="AO349" s="18" t="str">
        <x:v>2025_conv2024_extraordinario-P02</x:v>
      </x:c>
      <x:c r="AP349" s="18" t="n">
        <x:v>1</x:v>
      </x:c>
    </x:row>
    <x:row r="350">
      <x:c r="A350" s="18" t="str">
        <x:v>2025_conv2024_extraordinario-P03</x:v>
      </x:c>
      <x:c r="B350" s="18" t="n">
        <x:v>2025</x:v>
      </x:c>
      <x:c r="C350" s="18" t="n">
        <x:v>2024</x:v>
      </x:c>
      <x:c r="D350" s="28" t="n">
        <x:v>45956</x:v>
      </x:c>
      <x:c r="E350" s="18" t="str">
        <x:v>Acceso libre</x:v>
      </x:c>
      <x:c r="F350" s="18" t="str">
        <x:v>Segunda parte</x:v>
      </x:c>
      <x:c r="G350" s="18" t="str">
        <x:v>Extraordinario</x:v>
      </x:c>
      <x:c r="H350" s="18" t="str">
        <x:v>Único</x:v>
      </x:c>
      <x:c r="I350" s="18" t="str">
        <x:v>Sí</x:v>
      </x:c>
      <x:c r="J350" s="18" t="str">
        <x:v>Cuestionario extraordinario sin modelo paralelo.</x:v>
      </x:c>
      <x:c r="K350" s="18" t="n">
        <x:v>3</x:v>
      </x:c>
      <x:c r="L350" s="18" t="str">
        <x:v>No</x:v>
      </x:c>
      <x:c r="M350" s="18" t="str">
        <x:v>Señale cuál es el importe de la base de cotización a efectos de accidente de trabajo y enfermedades profesionales del mes de marzo de 2025 de D. Basilio Soulinake.</x:v>
      </x:c>
      <x:c r="N350" s="18" t="str">
        <x:v>2.400 euros.</x:v>
      </x:c>
      <x:c r="O350" s="18" t="str">
        <x:v>2.100 euros.</x:v>
      </x:c>
      <x:c r="P350" s="18" t="str">
        <x:v>2.700 euros.</x:v>
      </x:c>
      <x:c r="Q350" s="18" t="str">
        <x:v>2.800 euros. D. Max Estrella solicita el 30 de abril de 2025 la modificación de su base de cotización al Régimen Especial de Trabajadores por Cuenta Propia o Autónomos, para ajustarla a sus rendimientos económicos netos anuales.</x:v>
      </x:c>
      <x:c r="R350" s="18" t="str">
        <x:v>S04</x:v>
      </x:c>
      <x:c r="S350" s="18" t="n">
        <x:v>4</x:v>
      </x:c>
      <x:c r="T350" s="18" t="str">
        <x:v>Temario específico Seguridad Social</x:v>
      </x:c>
      <x:c r="U350" s="18" t="str">
        <x:v>La cotización a la Seguridad Social: normas comunes del sistema. La liquidación de cuotas. El régimen general de la Seguridad Social. Supuestos especiales. Bases y tipos de cotización. Liquidación de otras deudas.</x:v>
      </x:c>
      <x:c r="V350" s="18" t="str">
        <x:v>base de cotización</x:v>
      </x:c>
      <x:c r="W350" s="18" t="str"/>
      <x:c r="X350" s="18" t="str"/>
      <x:c r="Y350" s="18" t="str">
        <x:v>Cálculos</x:v>
      </x:c>
      <x:c r="Z350" s="18" t="str">
        <x:v>Alta</x:v>
      </x:c>
      <x:c r="AA350" s="18" t="str">
        <x:v>base de cotización</x:v>
      </x:c>
      <x:c r="AB350" s="18" t="str"/>
      <x:c r="AC350" s="18" t="str"/>
      <x:c r="AD350" s="18" t="str">
        <x:v>No</x:v>
      </x:c>
      <x:c r="AE350" s="18" t="str">
        <x:v>Práctico</x:v>
      </x:c>
      <x:c r="AF350" s="18" t="str">
        <x:v>C</x:v>
      </x:c>
      <x:c r="AG350" s="18" t="str">
        <x:v>C</x:v>
      </x:c>
      <x:c r="AH350" s="18" t="str">
        <x:v>Válida</x:v>
      </x:c>
      <x:c r="AI350" s="18" t="str">
        <x:v>01. Información oficial de la oposición\Exámenes oficiales anteriores\2025 Convocatoria 2024 - Examen extraordinario acceso libre.pdf</x:v>
      </x:c>
      <x:c r="AJ350" s="18" t="str">
        <x:v>https://www.seg-social.es/wps/portal/wss/internet/InformacionUtil/9950/88beb45d-ca83-4bab-8162-f94ef2894562/7e46efac-32c8-4cf6-b3d3-d592c3560dff/rdpi_administrativos_2024</x:v>
      </x:c>
      <x:c r="AK350" s="18" t="str">
        <x:v>Texto PDF</x:v>
      </x:c>
      <x:c r="AL350" s="18" t="n">
        <x:v>100</x:v>
      </x:c>
      <x:c r="AM350" s="18" t="str">
        <x:v>Alta</x:v>
      </x:c>
      <x:c r="AN350" s="18" t="str">
        <x:v>Regla jurídica determinista</x:v>
      </x:c>
      <x:c r="AO350" s="18" t="str">
        <x:v>2025_conv2024_extraordinario-P03</x:v>
      </x:c>
      <x:c r="AP350" s="18" t="n">
        <x:v>1</x:v>
      </x:c>
    </x:row>
    <x:row r="351">
      <x:c r="A351" s="18" t="str">
        <x:v>2025_conv2024_extraordinario-P04</x:v>
      </x:c>
      <x:c r="B351" s="18" t="n">
        <x:v>2025</x:v>
      </x:c>
      <x:c r="C351" s="18" t="n">
        <x:v>2024</x:v>
      </x:c>
      <x:c r="D351" s="28" t="n">
        <x:v>45956</x:v>
      </x:c>
      <x:c r="E351" s="18" t="str">
        <x:v>Acceso libre</x:v>
      </x:c>
      <x:c r="F351" s="18" t="str">
        <x:v>Segunda parte</x:v>
      </x:c>
      <x:c r="G351" s="18" t="str">
        <x:v>Extraordinario</x:v>
      </x:c>
      <x:c r="H351" s="18" t="str">
        <x:v>Único</x:v>
      </x:c>
      <x:c r="I351" s="18" t="str">
        <x:v>Sí</x:v>
      </x:c>
      <x:c r="J351" s="18" t="str">
        <x:v>Cuestionario extraordinario sin modelo paralelo.</x:v>
      </x:c>
      <x:c r="K351" s="18" t="n">
        <x:v>4</x:v>
      </x:c>
      <x:c r="L351" s="18" t="str">
        <x:v>No</x:v>
      </x:c>
      <x:c r="M351" s="18" t="str">
        <x:v>Determine cu ándo surtirá efectos el cambio en la base de cotización del Régimen Especial de Trabajadores por Cuenta Propia o Autónomos, solicitado por D. Max Estrella el día 30 de abril de 2025.</x:v>
      </x:c>
      <x:c r="N351" s="18" t="str">
        <x:v>1 de mayo de 2025.</x:v>
      </x:c>
      <x:c r="O351" s="18" t="str">
        <x:v>1 de julio de 2025.</x:v>
      </x:c>
      <x:c r="P351" s="18" t="str">
        <x:v>1 de junio de 2025.</x:v>
      </x:c>
      <x:c r="Q351" s="18" t="str">
        <x:v>1 de septiembre de 2025. En el año 2024, en concreto el día 21 de noviembre, D. Max Estrella recibió una reclamación de deuda, por importe de 3.500 euros de principal, por la que se le instaba al pago del importe de la prestación extraordinaria por cese de actividad que había perc ibido durante la pandemia por el COVID al amparo de los diversos reales decretos leyes que se publicaron. En el plazo reglamentario de ingreso, solicita el fraccionamiento en diversos pagos de la deuda.</x:v>
      </x:c>
      <x:c r="R351" s="18" t="str">
        <x:v>S04</x:v>
      </x:c>
      <x:c r="S351" s="18" t="n">
        <x:v>4</x:v>
      </x:c>
      <x:c r="T351" s="18" t="str">
        <x:v>Temario específico Seguridad Social</x:v>
      </x:c>
      <x:c r="U351" s="18" t="str">
        <x:v>La cotización a la Seguridad Social: normas comunes del sistema. La liquidación de cuotas. El régimen general de la Seguridad Social. Supuestos especiales. Bases y tipos de cotización. Liquidación de otras deudas.</x:v>
      </x:c>
      <x:c r="V351" s="18" t="str">
        <x:v>base de cotización</x:v>
      </x:c>
      <x:c r="W351" s="18" t="str"/>
      <x:c r="X351" s="18" t="str"/>
      <x:c r="Y351" s="18" t="str">
        <x:v>Cotización</x:v>
      </x:c>
      <x:c r="Z351" s="18" t="str">
        <x:v>Alta</x:v>
      </x:c>
      <x:c r="AA351" s="18" t="str">
        <x:v>base de cotización</x:v>
      </x:c>
      <x:c r="AB351" s="18" t="str"/>
      <x:c r="AC351" s="18" t="str"/>
      <x:c r="AD351" s="18" t="str">
        <x:v>No</x:v>
      </x:c>
      <x:c r="AE351" s="18" t="str">
        <x:v>Práctico</x:v>
      </x:c>
      <x:c r="AF351" s="18" t="str">
        <x:v>A</x:v>
      </x:c>
      <x:c r="AG351" s="18" t="str">
        <x:v>A</x:v>
      </x:c>
      <x:c r="AH351" s="18" t="str">
        <x:v>Válida</x:v>
      </x:c>
      <x:c r="AI351" s="18" t="str">
        <x:v>01. Información oficial de la oposición\Exámenes oficiales anteriores\2025 Convocatoria 2024 - Examen extraordinario acceso libre.pdf</x:v>
      </x:c>
      <x:c r="AJ351" s="18" t="str">
        <x:v>https://www.seg-social.es/wps/portal/wss/internet/InformacionUtil/9950/88beb45d-ca83-4bab-8162-f94ef2894562/7e46efac-32c8-4cf6-b3d3-d592c3560dff/rdpi_administrativos_2024</x:v>
      </x:c>
      <x:c r="AK351" s="18" t="str">
        <x:v>Texto PDF</x:v>
      </x:c>
      <x:c r="AL351" s="18" t="n">
        <x:v>100</x:v>
      </x:c>
      <x:c r="AM351" s="18" t="str">
        <x:v>Alta</x:v>
      </x:c>
      <x:c r="AN351" s="18" t="str">
        <x:v>Regla jurídica determinista</x:v>
      </x:c>
      <x:c r="AO351" s="18" t="str">
        <x:v>2025_conv2024_extraordinario-P04</x:v>
      </x:c>
      <x:c r="AP351" s="18" t="n">
        <x:v>1</x:v>
      </x:c>
    </x:row>
    <x:row r="352">
      <x:c r="A352" s="18" t="str">
        <x:v>2025_conv2024_extraordinario-P05</x:v>
      </x:c>
      <x:c r="B352" s="18" t="n">
        <x:v>2025</x:v>
      </x:c>
      <x:c r="C352" s="18" t="n">
        <x:v>2024</x:v>
      </x:c>
      <x:c r="D352" s="28" t="n">
        <x:v>45956</x:v>
      </x:c>
      <x:c r="E352" s="18" t="str">
        <x:v>Acceso libre</x:v>
      </x:c>
      <x:c r="F352" s="18" t="str">
        <x:v>Segunda parte</x:v>
      </x:c>
      <x:c r="G352" s="18" t="str">
        <x:v>Extraordinario</x:v>
      </x:c>
      <x:c r="H352" s="18" t="str">
        <x:v>Único</x:v>
      </x:c>
      <x:c r="I352" s="18" t="str">
        <x:v>Sí</x:v>
      </x:c>
      <x:c r="J352" s="18" t="str">
        <x:v>Cuestionario extraordinario sin modelo paralelo.</x:v>
      </x:c>
      <x:c r="K352" s="18" t="n">
        <x:v>5</x:v>
      </x:c>
      <x:c r="L352" s="18" t="str">
        <x:v>No</x:v>
      </x:c>
      <x:c r="M352" s="18" t="str">
        <x:v>Establezca cuál es el plazo reglamentario de ingreso de la reclamación de deuda recibida por D. Max Estrella el día 21 de noviembre de 2024.</x:v>
      </x:c>
      <x:c r="N352" s="18" t="str">
        <x:v>20 de diciembre de 2024.</x:v>
      </x:c>
      <x:c r="O352" s="18" t="str">
        <x:v>31 de diciembre de 2024.</x:v>
      </x:c>
      <x:c r="P352" s="18" t="str">
        <x:v>5 de diciembre de 2024.</x:v>
      </x:c>
      <x:c r="Q352" s="18" t="str">
        <x:v>30 de diciembre de 2024.</x:v>
      </x:c>
      <x:c r="R352" s="18" t="str">
        <x:v>S05</x:v>
      </x:c>
      <x:c r="S352" s="18" t="n">
        <x:v>5</x:v>
      </x:c>
      <x:c r="T352" s="18" t="str">
        <x:v>Temario específico Seguridad Social</x:v>
      </x:c>
      <x:c r="U352" s="18" t="str">
        <x:v>La gestión recaudatoria: concepto, competencia y objeto. Responsables del pago. Requisitos para el pago. Medios de pago. Control de recaudación. Revisión de los actos de gestión recaudatoria. La recaudación en periodo voluntario. Efectos de la falta de cotización en período reglamentario. Recaudación de otros recursos. Aplazamientos. Devolución de ingresos indebidos. Capital coste de pensiones.</x:v>
      </x:c>
      <x:c r="V352" s="18" t="str">
        <x:v>S05</x:v>
      </x:c>
      <x:c r="W352" s="18" t="str"/>
      <x:c r="X352" s="18" t="str"/>
      <x:c r="Y352" s="18" t="str">
        <x:v>Plazos</x:v>
      </x:c>
      <x:c r="Z352" s="18" t="str">
        <x:v>Alta</x:v>
      </x:c>
      <x:c r="AA352" s="18" t="str">
        <x:v>S05</x:v>
      </x:c>
      <x:c r="AB352" s="18" t="str"/>
      <x:c r="AC352" s="18" t="str"/>
      <x:c r="AD352" s="18" t="str">
        <x:v>No</x:v>
      </x:c>
      <x:c r="AE352" s="18" t="str">
        <x:v>Práctico</x:v>
      </x:c>
      <x:c r="AF352" s="18" t="str">
        <x:v>B</x:v>
      </x:c>
      <x:c r="AG352" s="18" t="str">
        <x:v>B</x:v>
      </x:c>
      <x:c r="AH352" s="18" t="str">
        <x:v>Válida</x:v>
      </x:c>
      <x:c r="AI352" s="18" t="str">
        <x:v>01. Información oficial de la oposición\Exámenes oficiales anteriores\2025 Convocatoria 2024 - Examen extraordinario acceso libre.pdf</x:v>
      </x:c>
      <x:c r="AJ352" s="18" t="str">
        <x:v>https://www.seg-social.es/wps/portal/wss/internet/InformacionUtil/9950/88beb45d-ca83-4bab-8162-f94ef2894562/7e46efac-32c8-4cf6-b3d3-d592c3560dff/rdpi_administrativos_2024</x:v>
      </x:c>
      <x:c r="AK352" s="18" t="str">
        <x:v>Texto PDF</x:v>
      </x:c>
      <x:c r="AL352" s="18" t="n">
        <x:v>100</x:v>
      </x:c>
      <x:c r="AM352" s="18" t="str">
        <x:v>Alta</x:v>
      </x:c>
      <x:c r="AN352" s="18" t="str">
        <x:v>Regla jurídica determinista</x:v>
      </x:c>
      <x:c r="AO352" s="18" t="str">
        <x:v>2025_conv2024_extraordinario-P05</x:v>
      </x:c>
      <x:c r="AP352" s="18" t="n">
        <x:v>1</x:v>
      </x:c>
    </x:row>
    <x:row r="353">
      <x:c r="A353" s="18" t="str">
        <x:v>2025_conv2024_extraordinario-P06</x:v>
      </x:c>
      <x:c r="B353" s="18" t="n">
        <x:v>2025</x:v>
      </x:c>
      <x:c r="C353" s="18" t="n">
        <x:v>2024</x:v>
      </x:c>
      <x:c r="D353" s="28" t="n">
        <x:v>45956</x:v>
      </x:c>
      <x:c r="E353" s="18" t="str">
        <x:v>Acceso libre</x:v>
      </x:c>
      <x:c r="F353" s="18" t="str">
        <x:v>Segunda parte</x:v>
      </x:c>
      <x:c r="G353" s="18" t="str">
        <x:v>Extraordinario</x:v>
      </x:c>
      <x:c r="H353" s="18" t="str">
        <x:v>Único</x:v>
      </x:c>
      <x:c r="I353" s="18" t="str">
        <x:v>Sí</x:v>
      </x:c>
      <x:c r="J353" s="18" t="str">
        <x:v>Cuestionario extraordinario sin modelo paralelo.</x:v>
      </x:c>
      <x:c r="K353" s="18" t="n">
        <x:v>6</x:v>
      </x:c>
      <x:c r="L353" s="18" t="str">
        <x:v>No</x:v>
      </x:c>
      <x:c r="M353" s="18" t="str">
        <x:v>Señale el número máximo de plazos en que podrá fraccionar el pago de la reclamación de deuda recibida por D. Max Estrella el 21 de noviembre de 2024.</x:v>
      </x:c>
      <x:c r="N353" s="18" t="str">
        <x:v>60 plazos.</x:v>
      </x:c>
      <x:c r="O353" s="18" t="str">
        <x:v>Según sus ingresos hasta un máximo de 4 años.</x:v>
      </x:c>
      <x:c r="P353" s="18" t="str">
        <x:v>30 plazos.</x:v>
      </x:c>
      <x:c r="Q353" s="18" t="str">
        <x:v>35 plazos. D. Max Estrella deja de abonar tres mensualidades consecutivas (febrero, marzo y abril) y por tanto se expide la correspondiente providencia de apremio, que es recibida el día 29 de mayo de 2025 y el día 5 de junio presenta un recurso de alzada contra la providencia de apremio alegando la prescripción de la deuda reclamada.</x:v>
      </x:c>
      <x:c r="R353" s="18" t="str">
        <x:v>S05</x:v>
      </x:c>
      <x:c r="S353" s="18" t="n">
        <x:v>5</x:v>
      </x:c>
      <x:c r="T353" s="18" t="str">
        <x:v>Temario específico Seguridad Social</x:v>
      </x:c>
      <x:c r="U353" s="18" t="str">
        <x:v>La gestión recaudatoria: concepto, competencia y objeto. Responsables del pago. Requisitos para el pago. Medios de pago. Control de recaudación. Revisión de los actos de gestión recaudatoria. La recaudación en periodo voluntario. Efectos de la falta de cotización en período reglamentario. Recaudación de otros recursos. Aplazamientos. Devolución de ingresos indebidos. Capital coste de pensiones.</x:v>
      </x:c>
      <x:c r="V353" s="18" t="str">
        <x:v>S05</x:v>
      </x:c>
      <x:c r="W353" s="18" t="str"/>
      <x:c r="X353" s="18" t="str"/>
      <x:c r="Y353" s="18" t="str">
        <x:v>Plazos</x:v>
      </x:c>
      <x:c r="Z353" s="18" t="str">
        <x:v>Alta</x:v>
      </x:c>
      <x:c r="AA353" s="18" t="str">
        <x:v>S05</x:v>
      </x:c>
      <x:c r="AB353" s="18" t="str"/>
      <x:c r="AC353" s="18" t="str"/>
      <x:c r="AD353" s="18" t="str">
        <x:v>No</x:v>
      </x:c>
      <x:c r="AE353" s="18" t="str">
        <x:v>Práctico</x:v>
      </x:c>
      <x:c r="AF353" s="18" t="str">
        <x:v>D</x:v>
      </x:c>
      <x:c r="AG353" s="18" t="str">
        <x:v>D</x:v>
      </x:c>
      <x:c r="AH353" s="18" t="str">
        <x:v>Válida</x:v>
      </x:c>
      <x:c r="AI353" s="18" t="str">
        <x:v>01. Información oficial de la oposición\Exámenes oficiales anteriores\2025 Convocatoria 2024 - Examen extraordinario acceso libre.pdf</x:v>
      </x:c>
      <x:c r="AJ353" s="18" t="str">
        <x:v>https://www.seg-social.es/wps/portal/wss/internet/InformacionUtil/9950/88beb45d-ca83-4bab-8162-f94ef2894562/7e46efac-32c8-4cf6-b3d3-d592c3560dff/rdpi_administrativos_2024</x:v>
      </x:c>
      <x:c r="AK353" s="18" t="str">
        <x:v>Texto PDF</x:v>
      </x:c>
      <x:c r="AL353" s="18" t="n">
        <x:v>100</x:v>
      </x:c>
      <x:c r="AM353" s="18" t="str">
        <x:v>Alta</x:v>
      </x:c>
      <x:c r="AN353" s="18" t="str">
        <x:v>Regla jurídica determinista</x:v>
      </x:c>
      <x:c r="AO353" s="18" t="str">
        <x:v>2025_conv2024_extraordinario-P06</x:v>
      </x:c>
      <x:c r="AP353" s="18" t="n">
        <x:v>1</x:v>
      </x:c>
    </x:row>
    <x:row r="354">
      <x:c r="A354" s="18" t="str">
        <x:v>2025_conv2024_extraordinario-P07</x:v>
      </x:c>
      <x:c r="B354" s="18" t="n">
        <x:v>2025</x:v>
      </x:c>
      <x:c r="C354" s="18" t="n">
        <x:v>2024</x:v>
      </x:c>
      <x:c r="D354" s="28" t="n">
        <x:v>45956</x:v>
      </x:c>
      <x:c r="E354" s="18" t="str">
        <x:v>Acceso libre</x:v>
      </x:c>
      <x:c r="F354" s="18" t="str">
        <x:v>Segunda parte</x:v>
      </x:c>
      <x:c r="G354" s="18" t="str">
        <x:v>Extraordinario</x:v>
      </x:c>
      <x:c r="H354" s="18" t="str">
        <x:v>Único</x:v>
      </x:c>
      <x:c r="I354" s="18" t="str">
        <x:v>Sí</x:v>
      </x:c>
      <x:c r="J354" s="18" t="str">
        <x:v>Cuestionario extraordinario sin modelo paralelo.</x:v>
      </x:c>
      <x:c r="K354" s="18" t="n">
        <x:v>7</x:v>
      </x:c>
      <x:c r="L354" s="18" t="str">
        <x:v>No</x:v>
      </x:c>
      <x:c r="M354" s="18" t="str">
        <x:v>Determine si la presentación por D. Max Estrella del recurso de alzada contra la providencia de apremio suspende el procedimiento de apremio.</x:v>
      </x:c>
      <x:c r="N354" s="18" t="str">
        <x:v>Se suspende el procedimiento de apremio, siempre que se presenten garantías suficientes.</x:v>
      </x:c>
      <x:c r="O354" s="18" t="str">
        <x:v>No se suspende el procedimiento de apremio, aunque se presenten garantías suficientes.</x:v>
      </x:c>
      <x:c r="P354" s="18" t="str">
        <x:v>Se suspende el procedimiento de apremio, siempre que se presente aval bancario suficiente.</x:v>
      </x:c>
      <x:c r="Q354" s="18" t="str">
        <x:v>Sí, suspende el procedimiento de apremio, sin necesidad de presentar garantías. Resuelto el recurso de alzada contra la providencia de apremio, en sentido desestimatorio, la Unidad de Recaudación Ejecutiva dentro del procedimiento de apremio procede al embargo de una finca rustica que posee D. Max Estrella en su pueblo natal. Esta finca rústica es valorada por un perito tasador en 7.000 euros, cobrando por este servicio 450 euros.</x:v>
      </x:c>
      <x:c r="R354" s="18" t="str">
        <x:v>S06</x:v>
      </x:c>
      <x:c r="S354" s="18" t="n">
        <x:v>6</x:v>
      </x:c>
      <x:c r="T354" s="18" t="str">
        <x:v>Temario específico Seguridad Social</x:v>
      </x:c>
      <x:c r="U354" s="18" t="str">
        <x:v>La recaudación en vía ejecutiva. Normas generales. Iniciación y título ejecutivo. La providencia de apremio. Oposición y efectos. El embargo de bienes. Enajenación de bienes: modalidades. Créditos incobrables. Tercerías.</x:v>
      </x:c>
      <x:c r="V354" s="18" t="str">
        <x:v>recurso de alzada</x:v>
      </x:c>
      <x:c r="W354" s="18" t="str"/>
      <x:c r="X354" s="18" t="str"/>
      <x:c r="Y354" s="18" t="str">
        <x:v>Procedimientos</x:v>
      </x:c>
      <x:c r="Z354" s="18" t="str">
        <x:v>Media</x:v>
      </x:c>
      <x:c r="AA354" s="18" t="str">
        <x:v>recurso de alzada</x:v>
      </x:c>
      <x:c r="AB354" s="18" t="str"/>
      <x:c r="AC354" s="18" t="str"/>
      <x:c r="AD354" s="18" t="str">
        <x:v>No</x:v>
      </x:c>
      <x:c r="AE354" s="18" t="str">
        <x:v>Práctico</x:v>
      </x:c>
      <x:c r="AF354" s="18" t="str">
        <x:v>D</x:v>
      </x:c>
      <x:c r="AG354" s="18" t="str">
        <x:v>D</x:v>
      </x:c>
      <x:c r="AH354" s="18" t="str">
        <x:v>Válida</x:v>
      </x:c>
      <x:c r="AI354" s="18" t="str">
        <x:v>01. Información oficial de la oposición\Exámenes oficiales anteriores\2025 Convocatoria 2024 - Examen extraordinario acceso libre.pdf</x:v>
      </x:c>
      <x:c r="AJ354" s="18" t="str">
        <x:v>https://www.seg-social.es/wps/portal/wss/internet/InformacionUtil/9950/88beb45d-ca83-4bab-8162-f94ef2894562/7e46efac-32c8-4cf6-b3d3-d592c3560dff/rdpi_administrativos_2024</x:v>
      </x:c>
      <x:c r="AK354" s="18" t="str">
        <x:v>Texto PDF</x:v>
      </x:c>
      <x:c r="AL354" s="18" t="n">
        <x:v>100</x:v>
      </x:c>
      <x:c r="AM354" s="18" t="str">
        <x:v>Alta</x:v>
      </x:c>
      <x:c r="AN354" s="18" t="str">
        <x:v>Regla jurídica determinista</x:v>
      </x:c>
      <x:c r="AO354" s="18" t="str">
        <x:v>2025_conv2024_extraordinario-P07</x:v>
      </x:c>
      <x:c r="AP354" s="18" t="n">
        <x:v>1</x:v>
      </x:c>
    </x:row>
    <x:row r="355">
      <x:c r="A355" s="18" t="str">
        <x:v>2025_conv2024_extraordinario-P08</x:v>
      </x:c>
      <x:c r="B355" s="18" t="n">
        <x:v>2025</x:v>
      </x:c>
      <x:c r="C355" s="18" t="n">
        <x:v>2024</x:v>
      </x:c>
      <x:c r="D355" s="28" t="n">
        <x:v>45956</x:v>
      </x:c>
      <x:c r="E355" s="18" t="str">
        <x:v>Acceso libre</x:v>
      </x:c>
      <x:c r="F355" s="18" t="str">
        <x:v>Segunda parte</x:v>
      </x:c>
      <x:c r="G355" s="18" t="str">
        <x:v>Extraordinario</x:v>
      </x:c>
      <x:c r="H355" s="18" t="str">
        <x:v>Único</x:v>
      </x:c>
      <x:c r="I355" s="18" t="str">
        <x:v>Sí</x:v>
      </x:c>
      <x:c r="J355" s="18" t="str">
        <x:v>Cuestionario extraordinario sin modelo paralelo.</x:v>
      </x:c>
      <x:c r="K355" s="18" t="n">
        <x:v>8</x:v>
      </x:c>
      <x:c r="L355" s="18" t="str">
        <x:v>No</x:v>
      </x:c>
      <x:c r="M355" s="18" t="str">
        <x:v>Indique quién debe de abonar los 450 euros facturados por el perito para valorar la finca r ústica.</x:v>
      </x:c>
      <x:c r="N355" s="18" t="str">
        <x:v>Tienen la consideración de costas del procedimiento de apremio y se anticipan por la Tesorería General de la Seguridad Social y serán a cargo del apremiado que le serán exigidas.</x:v>
      </x:c>
      <x:c r="O355" s="18" t="str">
        <x:v>No tienen la consideración de costas del procedimiento de apremio y por tanto son a cargo exclusivamente de la Tesorería General de la Seguridad Social.</x:v>
      </x:c>
      <x:c r="P355" s="18" t="str">
        <x:v>Tienen la consideración de costas del procedimiento de apremio y serán a cargo del apremiado que debe de abonarlas, sin que proceda anticiparlas por la Tesorería General de la Seguridad Social.</x:v>
      </x:c>
      <x:c r="Q355" s="18" t="str">
        <x:v>El 50% tiene la consideración de costas de procedimiento de apremio y se anticipan por la Tesorería General de la Seguridad Social y será a cargo del apremiado que le será exigido y el 50% restante, son a cargo exclusivo de la Tesorería General de la Seguridad Social porque no tiene la consideración de costa del procedimiento de apremio. Dña. Enriqueta Pisa Bien al tener conocimiento del embargo de la finca rustica presenta un escrito ante la Unidad de Recaudación Ejecutiva, señalando que dicha fi nca la ha adquirido hace tres años, aportando una escritura privada de compraventa firmada por Dña. Enriqueta Pisa Bien y por D. Max Estrella, figurando como testigos D. Latino de Hispalis que falleció hace dos años y D. Filiberto Lunares que también falleció hace un año.</x:v>
      </x:c>
      <x:c r="R355" s="18" t="str">
        <x:v>S06</x:v>
      </x:c>
      <x:c r="S355" s="18" t="n">
        <x:v>6</x:v>
      </x:c>
      <x:c r="T355" s="18" t="str">
        <x:v>Temario específico Seguridad Social</x:v>
      </x:c>
      <x:c r="U355" s="18" t="str">
        <x:v>La recaudación en vía ejecutiva. Normas generales. Iniciación y título ejecutivo. La providencia de apremio. Oposición y efectos. El embargo de bienes. Enajenación de bienes: modalidades. Créditos incobrables. Tercerías.</x:v>
      </x:c>
      <x:c r="V355" s="18" t="str">
        <x:v>S06</x:v>
      </x:c>
      <x:c r="W355" s="18" t="str"/>
      <x:c r="X355" s="18" t="str"/>
      <x:c r="Y355" s="18" t="str">
        <x:v>Recaudación ejecutiva</x:v>
      </x:c>
      <x:c r="Z355" s="18" t="str">
        <x:v>Alta</x:v>
      </x:c>
      <x:c r="AA355" s="18" t="str">
        <x:v>S06</x:v>
      </x:c>
      <x:c r="AB355" s="18" t="str"/>
      <x:c r="AC355" s="18" t="str"/>
      <x:c r="AD355" s="18" t="str">
        <x:v>No</x:v>
      </x:c>
      <x:c r="AE355" s="18" t="str">
        <x:v>Práctico</x:v>
      </x:c>
      <x:c r="AF355" s="18" t="str">
        <x:v>A</x:v>
      </x:c>
      <x:c r="AG355" s="18" t="str">
        <x:v>A</x:v>
      </x:c>
      <x:c r="AH355" s="18" t="str">
        <x:v>Válida</x:v>
      </x:c>
      <x:c r="AI355" s="18" t="str">
        <x:v>01. Información oficial de la oposición\Exámenes oficiales anteriores\2025 Convocatoria 2024 - Examen extraordinario acceso libre.pdf</x:v>
      </x:c>
      <x:c r="AJ355" s="18" t="str">
        <x:v>https://www.seg-social.es/wps/portal/wss/internet/InformacionUtil/9950/88beb45d-ca83-4bab-8162-f94ef2894562/7e46efac-32c8-4cf6-b3d3-d592c3560dff/rdpi_administrativos_2024</x:v>
      </x:c>
      <x:c r="AK355" s="18" t="str">
        <x:v>Texto PDF</x:v>
      </x:c>
      <x:c r="AL355" s="18" t="n">
        <x:v>100</x:v>
      </x:c>
      <x:c r="AM355" s="18" t="str">
        <x:v>Alta</x:v>
      </x:c>
      <x:c r="AN355" s="18" t="str">
        <x:v>Regla jurídica determinista</x:v>
      </x:c>
      <x:c r="AO355" s="18" t="str">
        <x:v>2025_conv2024_extraordinario-P08</x:v>
      </x:c>
      <x:c r="AP355" s="18" t="n">
        <x:v>1</x:v>
      </x:c>
    </x:row>
    <x:row r="356">
      <x:c r="A356" s="18" t="str">
        <x:v>2025_conv2024_extraordinario-P09</x:v>
      </x:c>
      <x:c r="B356" s="18" t="n">
        <x:v>2025</x:v>
      </x:c>
      <x:c r="C356" s="18" t="n">
        <x:v>2024</x:v>
      </x:c>
      <x:c r="D356" s="28" t="n">
        <x:v>45956</x:v>
      </x:c>
      <x:c r="E356" s="18" t="str">
        <x:v>Acceso libre</x:v>
      </x:c>
      <x:c r="F356" s="18" t="str">
        <x:v>Segunda parte</x:v>
      </x:c>
      <x:c r="G356" s="18" t="str">
        <x:v>Extraordinario</x:v>
      </x:c>
      <x:c r="H356" s="18" t="str">
        <x:v>Único</x:v>
      </x:c>
      <x:c r="I356" s="18" t="str">
        <x:v>Sí</x:v>
      </x:c>
      <x:c r="J356" s="18" t="str">
        <x:v>Cuestionario extraordinario sin modelo paralelo.</x:v>
      </x:c>
      <x:c r="K356" s="18" t="n">
        <x:v>9</x:v>
      </x:c>
      <x:c r="L356" s="18" t="str">
        <x:v>No</x:v>
      </x:c>
      <x:c r="M356" s="18" t="str">
        <x:v>El escrito presentado por Dña. Enriqueta Pisa Bien se ha tratado como una tercería de dominio, señale cuál es el efecto en el procedimiento recaudatorio si se produjera su estimación.</x:v>
      </x:c>
      <x:c r="N356" s="18" t="str">
        <x:v>Se enajenará la finca y el precio obtenido se le entregará a Dña. Enriqueta.</x:v>
      </x:c>
      <x:c r="O356" s="18" t="str">
        <x:v>Se alzará el embargo trabado sobre la finca rústica.</x:v>
      </x:c>
      <x:c r="P356" s="18" t="str">
        <x:v>Se enajenará la finca y el 50% del precio obtenido se le entregará a Dña. Enriqueta y el otro 50% se aplicará a saldar la deuda del deudor.</x:v>
      </x:c>
      <x:c r="Q356" s="18" t="str">
        <x:v>Se alzará el embargo, únicamente, cuando se haya inscrito en el Registro de la Propiedad correspondiente el bien a nombre de Dña. Enriqueta. El día 20 de abril de 2025, Carlos sufre una lumbalgia. Como consecuencia de ello, no puede realizar su actividad profesional como jardinero del Ayuntamiento de Almendros. Ante esta situación, el facultativo médico del Servicio Público de Salud expide la baja médica en el trabajo con fecha de 21 abril.</x:v>
      </x:c>
      <x:c r="R356" s="18" t="str">
        <x:v>S06</x:v>
      </x:c>
      <x:c r="S356" s="18" t="n">
        <x:v>6</x:v>
      </x:c>
      <x:c r="T356" s="18" t="str">
        <x:v>Temario específico Seguridad Social</x:v>
      </x:c>
      <x:c r="U356" s="18" t="str">
        <x:v>La recaudación en vía ejecutiva. Normas generales. Iniciación y título ejecutivo. La providencia de apremio. Oposición y efectos. El embargo de bienes. Enajenación de bienes: modalidades. Créditos incobrables. Tercerías.</x:v>
      </x:c>
      <x:c r="V356" s="18" t="str">
        <x:v>S06</x:v>
      </x:c>
      <x:c r="W356" s="18" t="str"/>
      <x:c r="X356" s="18" t="str"/>
      <x:c r="Y356" s="18" t="str">
        <x:v>Procedimientos</x:v>
      </x:c>
      <x:c r="Z356" s="18" t="str">
        <x:v>Media</x:v>
      </x:c>
      <x:c r="AA356" s="18" t="str">
        <x:v>S06</x:v>
      </x:c>
      <x:c r="AB356" s="18" t="str"/>
      <x:c r="AC356" s="18" t="str"/>
      <x:c r="AD356" s="18" t="str">
        <x:v>No</x:v>
      </x:c>
      <x:c r="AE356" s="18" t="str">
        <x:v>Práctico</x:v>
      </x:c>
      <x:c r="AF356" s="18" t="str">
        <x:v>B</x:v>
      </x:c>
      <x:c r="AG356" s="18" t="str">
        <x:v>B</x:v>
      </x:c>
      <x:c r="AH356" s="18" t="str">
        <x:v>Válida</x:v>
      </x:c>
      <x:c r="AI356" s="18" t="str">
        <x:v>01. Información oficial de la oposición\Exámenes oficiales anteriores\2025 Convocatoria 2024 - Examen extraordinario acceso libre.pdf</x:v>
      </x:c>
      <x:c r="AJ356" s="18" t="str">
        <x:v>https://www.seg-social.es/wps/portal/wss/internet/InformacionUtil/9950/88beb45d-ca83-4bab-8162-f94ef2894562/7e46efac-32c8-4cf6-b3d3-d592c3560dff/rdpi_administrativos_2024</x:v>
      </x:c>
      <x:c r="AK356" s="18" t="str">
        <x:v>Texto PDF</x:v>
      </x:c>
      <x:c r="AL356" s="18" t="n">
        <x:v>100</x:v>
      </x:c>
      <x:c r="AM356" s="18" t="str">
        <x:v>Alta</x:v>
      </x:c>
      <x:c r="AN356" s="18" t="str">
        <x:v>Regla jurídica determinista</x:v>
      </x:c>
      <x:c r="AO356" s="18" t="str">
        <x:v>2025_conv2024_extraordinario-P09</x:v>
      </x:c>
      <x:c r="AP356" s="18" t="n">
        <x:v>1</x:v>
      </x:c>
    </x:row>
    <x:row r="357">
      <x:c r="A357" s="18" t="str">
        <x:v>2025_conv2024_extraordinario-P10</x:v>
      </x:c>
      <x:c r="B357" s="18" t="n">
        <x:v>2025</x:v>
      </x:c>
      <x:c r="C357" s="18" t="n">
        <x:v>2024</x:v>
      </x:c>
      <x:c r="D357" s="28" t="n">
        <x:v>45956</x:v>
      </x:c>
      <x:c r="E357" s="18" t="str">
        <x:v>Acceso libre</x:v>
      </x:c>
      <x:c r="F357" s="18" t="str">
        <x:v>Segunda parte</x:v>
      </x:c>
      <x:c r="G357" s="18" t="str">
        <x:v>Extraordinario</x:v>
      </x:c>
      <x:c r="H357" s="18" t="str">
        <x:v>Único</x:v>
      </x:c>
      <x:c r="I357" s="18" t="str">
        <x:v>Sí</x:v>
      </x:c>
      <x:c r="J357" s="18" t="str">
        <x:v>Cuestionario extraordinario sin modelo paralelo.</x:v>
      </x:c>
      <x:c r="K357" s="18" t="n">
        <x:v>10</x:v>
      </x:c>
      <x:c r="L357" s="18" t="str">
        <x:v>No</x:v>
      </x:c>
      <x:c r="M357" s="18" t="str">
        <x:v>Siempre que tuviera derecho, ¿qué día comenzará el derecho al abono del subsidio de incapacidad temporal?</x:v>
      </x:c>
      <x:c r="N357" s="18" t="str">
        <x:v>20 de abril de 2025.</x:v>
      </x:c>
      <x:c r="O357" s="18" t="str">
        <x:v>21 de abril de 2025.</x:v>
      </x:c>
      <x:c r="P357" s="18" t="str">
        <x:v>23 de abril de 2025.</x:v>
      </x:c>
      <x:c r="Q357" s="18" t="str">
        <x:v>24 de abril de 2025. Carlos se recupera de la lumbalgia el 3 de mayo de 2025, día en el que se emite el alta médica. Sin embargo, el día 31 de octubre de 2025 Carlos no puede acudir al trabajo debido, de nuevo, a una lumbalgia, fecha en la que se emite parte de baja médica en el trabajo.</x:v>
      </x:c>
      <x:c r="R357" s="18" t="str">
        <x:v>S08</x:v>
      </x:c>
      <x:c r="S357" s="18" t="n">
        <x:v>8</x:v>
      </x:c>
      <x:c r="T357" s="18" t="str">
        <x:v>Temario específico Seguridad Social</x:v>
      </x:c>
      <x:c r="U357" s="18" t="str">
        <x:v>Incapacidad temporal: concepto y causas que motivan esta situación. Beneficiarios. Prestación económica: determinación y cuantía. Nacimiento, duración y extinción del derecho al subsidio. Reconocimiento y pago. Control de la incapacidad. Incapacidad permanente contributiva: concepto. Grados de incapacidad. Prestaciones. Determinación y cuantía. Beneficiarios. Nacimiento, duración y extinción del derecho. Lesiones permanentes no incapacitantes. La calificación y revisión de la incapacidad permanente.</x:v>
      </x:c>
      <x:c r="V357" s="18" t="str">
        <x:v>incapacidad temporal</x:v>
      </x:c>
      <x:c r="W357" s="18" t="str"/>
      <x:c r="X357" s="18" t="str"/>
      <x:c r="Y357" s="18" t="str">
        <x:v>Incapacidad</x:v>
      </x:c>
      <x:c r="Z357" s="18" t="str">
        <x:v>Media</x:v>
      </x:c>
      <x:c r="AA357" s="18" t="str">
        <x:v>incapacidad temporal</x:v>
      </x:c>
      <x:c r="AB357" s="18" t="str"/>
      <x:c r="AC357" s="18" t="str"/>
      <x:c r="AD357" s="18" t="str">
        <x:v>No</x:v>
      </x:c>
      <x:c r="AE357" s="18" t="str">
        <x:v>Práctico</x:v>
      </x:c>
      <x:c r="AF357" s="18" t="str">
        <x:v>D</x:v>
      </x:c>
      <x:c r="AG357" s="18" t="str">
        <x:v>D</x:v>
      </x:c>
      <x:c r="AH357" s="18" t="str">
        <x:v>Válida</x:v>
      </x:c>
      <x:c r="AI357" s="18" t="str">
        <x:v>01. Información oficial de la oposición\Exámenes oficiales anteriores\2025 Convocatoria 2024 - Examen extraordinario acceso libre.pdf</x:v>
      </x:c>
      <x:c r="AJ357" s="18" t="str">
        <x:v>https://www.seg-social.es/wps/portal/wss/internet/InformacionUtil/9950/88beb45d-ca83-4bab-8162-f94ef2894562/7e46efac-32c8-4cf6-b3d3-d592c3560dff/rdpi_administrativos_2024</x:v>
      </x:c>
      <x:c r="AK357" s="18" t="str">
        <x:v>Texto PDF</x:v>
      </x:c>
      <x:c r="AL357" s="18" t="n">
        <x:v>100</x:v>
      </x:c>
      <x:c r="AM357" s="18" t="str">
        <x:v>Alta</x:v>
      </x:c>
      <x:c r="AN357" s="18" t="str">
        <x:v>Regla jurídica determinista</x:v>
      </x:c>
      <x:c r="AO357" s="18" t="str">
        <x:v>2025_conv2024_extraordinario-P10</x:v>
      </x:c>
      <x:c r="AP357" s="18" t="n">
        <x:v>1</x:v>
      </x:c>
    </x:row>
    <x:row r="358">
      <x:c r="A358" s="18" t="str">
        <x:v>2025_conv2024_extraordinario-P11</x:v>
      </x:c>
      <x:c r="B358" s="18" t="n">
        <x:v>2025</x:v>
      </x:c>
      <x:c r="C358" s="18" t="n">
        <x:v>2024</x:v>
      </x:c>
      <x:c r="D358" s="28" t="n">
        <x:v>45956</x:v>
      </x:c>
      <x:c r="E358" s="18" t="str">
        <x:v>Acceso libre</x:v>
      </x:c>
      <x:c r="F358" s="18" t="str">
        <x:v>Segunda parte</x:v>
      </x:c>
      <x:c r="G358" s="18" t="str">
        <x:v>Extraordinario</x:v>
      </x:c>
      <x:c r="H358" s="18" t="str">
        <x:v>Único</x:v>
      </x:c>
      <x:c r="I358" s="18" t="str">
        <x:v>Sí</x:v>
      </x:c>
      <x:c r="J358" s="18" t="str">
        <x:v>Cuestionario extraordinario sin modelo paralelo.</x:v>
      </x:c>
      <x:c r="K358" s="18" t="n">
        <x:v>11</x:v>
      </x:c>
      <x:c r="L358" s="18" t="str">
        <x:v>No</x:v>
      </x:c>
      <x:c r="M358" s="18" t="str">
        <x:v>¿Se considera esta situación una recaída del anterior proceso de incapacidad temporal que se inició en el mes de abril de 2025?</x:v>
      </x:c>
      <x:c r="N358" s="18" t="str">
        <x:v>Sí, ya que han transcurrido más de 180 días desde la baja anterior.</x:v>
      </x:c>
      <x:c r="O358" s="18" t="str">
        <x:v>No, ya que han transcurrido más de 90 días desde el alta médica anterior.</x:v>
      </x:c>
      <x:c r="P358" s="18" t="str">
        <x:v>Sí, ya que no han transcurrido más de 180 días desde el alta médica anterior.</x:v>
      </x:c>
      <x:c r="Q358" s="18" t="str">
        <x:v>No, ya que han transcurrido más de 90 días desde la baja anterior. Carlos continúa impedido para realizar su actividad profesional y, por ello, se encuentra de baja médica como consecuencia de la lumbalgia padecida. El Instituto Nacional de la Seguridad Social, una vez agotado el plazo de 365 días, emite alta médica con p ropuesta de incapacidad permanente. Carlos tiene 56 años, y estuvo trabajando como jardinero más de 30 años.</x:v>
      </x:c>
      <x:c r="R358" s="18" t="str">
        <x:v>S08</x:v>
      </x:c>
      <x:c r="S358" s="18" t="n">
        <x:v>8</x:v>
      </x:c>
      <x:c r="T358" s="18" t="str">
        <x:v>Temario específico Seguridad Social</x:v>
      </x:c>
      <x:c r="U358" s="18" t="str">
        <x:v>Incapacidad temporal: concepto y causas que motivan esta situación. Beneficiarios. Prestación económica: determinación y cuantía. Nacimiento, duración y extinción del derecho al subsidio. Reconocimiento y pago. Control de la incapacidad. Incapacidad permanente contributiva: concepto. Grados de incapacidad. Prestaciones. Determinación y cuantía. Beneficiarios. Nacimiento, duración y extinción del derecho. Lesiones permanentes no incapacitantes. La calificación y revisión de la incapacidad permanente.</x:v>
      </x:c>
      <x:c r="V358" s="18" t="str">
        <x:v>incapacidad temporal</x:v>
      </x:c>
      <x:c r="W358" s="18" t="str"/>
      <x:c r="X358" s="18" t="str"/>
      <x:c r="Y358" s="18" t="str">
        <x:v>Incapacidad</x:v>
      </x:c>
      <x:c r="Z358" s="18" t="str">
        <x:v>Alta</x:v>
      </x:c>
      <x:c r="AA358" s="18" t="str">
        <x:v>incapacidad temporal</x:v>
      </x:c>
      <x:c r="AB358" s="18" t="str"/>
      <x:c r="AC358" s="18" t="str"/>
      <x:c r="AD358" s="18" t="str">
        <x:v>No</x:v>
      </x:c>
      <x:c r="AE358" s="18" t="str">
        <x:v>Práctico</x:v>
      </x:c>
      <x:c r="AF358" s="18" t="str">
        <x:v>C</x:v>
      </x:c>
      <x:c r="AG358" s="18" t="str">
        <x:v>C</x:v>
      </x:c>
      <x:c r="AH358" s="18" t="str">
        <x:v>Válida</x:v>
      </x:c>
      <x:c r="AI358" s="18" t="str">
        <x:v>01. Información oficial de la oposición\Exámenes oficiales anteriores\2025 Convocatoria 2024 - Examen extraordinario acceso libre.pdf</x:v>
      </x:c>
      <x:c r="AJ358" s="18" t="str">
        <x:v>https://www.seg-social.es/wps/portal/wss/internet/InformacionUtil/9950/88beb45d-ca83-4bab-8162-f94ef2894562/7e46efac-32c8-4cf6-b3d3-d592c3560dff/rdpi_administrativos_2024</x:v>
      </x:c>
      <x:c r="AK358" s="18" t="str">
        <x:v>Texto PDF</x:v>
      </x:c>
      <x:c r="AL358" s="18" t="n">
        <x:v>100</x:v>
      </x:c>
      <x:c r="AM358" s="18" t="str">
        <x:v>Alta</x:v>
      </x:c>
      <x:c r="AN358" s="18" t="str">
        <x:v>Regla jurídica determinista</x:v>
      </x:c>
      <x:c r="AO358" s="18" t="str">
        <x:v>2025_conv2024_extraordinario-P11</x:v>
      </x:c>
      <x:c r="AP358" s="18" t="n">
        <x:v>1</x:v>
      </x:c>
    </x:row>
    <x:row r="359">
      <x:c r="A359" s="18" t="str">
        <x:v>2025_conv2024_extraordinario-P12</x:v>
      </x:c>
      <x:c r="B359" s="18" t="n">
        <x:v>2025</x:v>
      </x:c>
      <x:c r="C359" s="18" t="n">
        <x:v>2024</x:v>
      </x:c>
      <x:c r="D359" s="28" t="n">
        <x:v>45956</x:v>
      </x:c>
      <x:c r="E359" s="18" t="str">
        <x:v>Acceso libre</x:v>
      </x:c>
      <x:c r="F359" s="18" t="str">
        <x:v>Segunda parte</x:v>
      </x:c>
      <x:c r="G359" s="18" t="str">
        <x:v>Extraordinario</x:v>
      </x:c>
      <x:c r="H359" s="18" t="str">
        <x:v>Único</x:v>
      </x:c>
      <x:c r="I359" s="18" t="str">
        <x:v>Sí</x:v>
      </x:c>
      <x:c r="J359" s="18" t="str">
        <x:v>Cuestionario extraordinario sin modelo paralelo.</x:v>
      </x:c>
      <x:c r="K359" s="18" t="n">
        <x:v>12</x:v>
      </x:c>
      <x:c r="L359" s="18" t="str">
        <x:v>No</x:v>
      </x:c>
      <x:c r="M359" s="18" t="str">
        <x:v>En caso de que se le reconociera una incapacidad permanente en grado total, ¿qué período mínimo de cotización debe acreditar Carlos?</x:v>
      </x:c>
      <x:c r="N359" s="18" t="str">
        <x:v>No se exige período mínimo de cotización.</x:v>
      </x:c>
      <x:c r="O359" s="18" t="str">
        <x:v>1800 días que han de estar comprendidos en los 10 años inmediatamente anteriores.</x:v>
      </x:c>
      <x:c r="P359" s="18" t="str">
        <x:v>1/3 del tiempo transcurrido entre la fecha en que cumplió los 16 años y la del hecho causante de la pensión.</x:v>
      </x:c>
      <x:c r="Q359" s="18" t="str">
        <x:v>1/4 del tiempo transcurrido entre la fecha en que cumplió los 20 años y la del hecho causante de la pensión, con un mínimo, en todo caso, de 5 años.</x:v>
      </x:c>
      <x:c r="R359" s="18" t="str">
        <x:v>S08</x:v>
      </x:c>
      <x:c r="S359" s="18" t="n">
        <x:v>8</x:v>
      </x:c>
      <x:c r="T359" s="18" t="str">
        <x:v>Temario específico Seguridad Social</x:v>
      </x:c>
      <x:c r="U359" s="18" t="str">
        <x:v>Incapacidad temporal: concepto y causas que motivan esta situación. Beneficiarios. Prestación económica: determinación y cuantía. Nacimiento, duración y extinción del derecho al subsidio. Reconocimiento y pago. Control de la incapacidad. Incapacidad permanente contributiva: concepto. Grados de incapacidad. Prestaciones. Determinación y cuantía. Beneficiarios. Nacimiento, duración y extinción del derecho. Lesiones permanentes no incapacitantes. La calificación y revisión de la incapacidad permanente.</x:v>
      </x:c>
      <x:c r="V359" s="18" t="str">
        <x:v>incapacidad permanente</x:v>
      </x:c>
      <x:c r="W359" s="18" t="str"/>
      <x:c r="X359" s="18" t="str"/>
      <x:c r="Y359" s="18" t="str">
        <x:v>Requisitos</x:v>
      </x:c>
      <x:c r="Z359" s="18" t="str">
        <x:v>Media</x:v>
      </x:c>
      <x:c r="AA359" s="18" t="str">
        <x:v>incapacidad permanente</x:v>
      </x:c>
      <x:c r="AB359" s="18" t="str"/>
      <x:c r="AC359" s="18" t="str"/>
      <x:c r="AD359" s="18" t="str">
        <x:v>No</x:v>
      </x:c>
      <x:c r="AE359" s="18" t="str">
        <x:v>Práctico</x:v>
      </x:c>
      <x:c r="AF359" s="18" t="str">
        <x:v>D</x:v>
      </x:c>
      <x:c r="AG359" s="18" t="str">
        <x:v>D</x:v>
      </x:c>
      <x:c r="AH359" s="18" t="str">
        <x:v>Válida</x:v>
      </x:c>
      <x:c r="AI359" s="18" t="str">
        <x:v>01. Información oficial de la oposición\Exámenes oficiales anteriores\2025 Convocatoria 2024 - Examen extraordinario acceso libre.pdf</x:v>
      </x:c>
      <x:c r="AJ359" s="18" t="str">
        <x:v>https://www.seg-social.es/wps/portal/wss/internet/InformacionUtil/9950/88beb45d-ca83-4bab-8162-f94ef2894562/7e46efac-32c8-4cf6-b3d3-d592c3560dff/rdpi_administrativos_2024</x:v>
      </x:c>
      <x:c r="AK359" s="18" t="str">
        <x:v>Texto PDF</x:v>
      </x:c>
      <x:c r="AL359" s="18" t="n">
        <x:v>100</x:v>
      </x:c>
      <x:c r="AM359" s="18" t="str">
        <x:v>Alta</x:v>
      </x:c>
      <x:c r="AN359" s="18" t="str">
        <x:v>Regla jurídica determinista</x:v>
      </x:c>
      <x:c r="AO359" s="18" t="str">
        <x:v>2025_conv2024_extraordinario-P12</x:v>
      </x:c>
      <x:c r="AP359" s="18" t="n">
        <x:v>1</x:v>
      </x:c>
    </x:row>
    <x:row r="360">
      <x:c r="A360" s="18" t="str">
        <x:v>2025_conv2024_extraordinario-P13</x:v>
      </x:c>
      <x:c r="B360" s="18" t="n">
        <x:v>2025</x:v>
      </x:c>
      <x:c r="C360" s="18" t="n">
        <x:v>2024</x:v>
      </x:c>
      <x:c r="D360" s="28" t="n">
        <x:v>45956</x:v>
      </x:c>
      <x:c r="E360" s="18" t="str">
        <x:v>Acceso libre</x:v>
      </x:c>
      <x:c r="F360" s="18" t="str">
        <x:v>Segunda parte</x:v>
      </x:c>
      <x:c r="G360" s="18" t="str">
        <x:v>Extraordinario</x:v>
      </x:c>
      <x:c r="H360" s="18" t="str">
        <x:v>Único</x:v>
      </x:c>
      <x:c r="I360" s="18" t="str">
        <x:v>Sí</x:v>
      </x:c>
      <x:c r="J360" s="18" t="str">
        <x:v>Cuestionario extraordinario sin modelo paralelo.</x:v>
      </x:c>
      <x:c r="K360" s="18" t="n">
        <x:v>13</x:v>
      </x:c>
      <x:c r="L360" s="18" t="str">
        <x:v>No</x:v>
      </x:c>
      <x:c r="M360" s="18" t="str">
        <x:v>El 20 de octubre de 2026, Carlos, a sus 57 años de edad, comienza a prestar servicios como personal administrativo en la empresa DIVINOS S.L. La lumbalgia que presenta es definitiva y quiere saber si tiene derecho a la indemnización a tanto alzado por incapacidad permanente total.</x:v>
      </x:c>
      <x:c r="N360" s="18" t="str">
        <x:v>Sí. La cuantía de la indemnización equivaldría a 60 mensualidades.</x:v>
      </x:c>
      <x:c r="O360" s="18" t="str">
        <x:v>Sí. La cuantía de la indemnización equivaldría 48 mensualidades.</x:v>
      </x:c>
      <x:c r="P360" s="18" t="str">
        <x:v>Sí. La cuantía de la indemnización equivaldría a 36 mensualidades.</x:v>
      </x:c>
      <x:c r="Q360" s="18" t="str">
        <x:v>No, no tendrá derecho. Pedro, de 59 años, trabaja desde hace 12 años en la empresa “Pica Lagartos, S.L.” . El 2 de marzo de 2024 fallece a causa de un paro card íaco. Su pareja de hecho, Lola, de 57 años, no trabaja, pero es propietaria de dos pisos de los que obtiene mensualmente en concepto de arrendamiento una renta de 2.200 euros. La pareja de hecho se formalizó en documento público 3 años antes del fallecimiento de Pedro. Tienen un hijo, Lucas, de 19 años, que trabaja en una tienda de ropa y percibe por ello una retribución de 1.300 euros mensuales.</x:v>
      </x:c>
      <x:c r="R360" s="18" t="str">
        <x:v>S08</x:v>
      </x:c>
      <x:c r="S360" s="18" t="n">
        <x:v>8</x:v>
      </x:c>
      <x:c r="T360" s="18" t="str">
        <x:v>Temario específico Seguridad Social</x:v>
      </x:c>
      <x:c r="U360" s="18" t="str">
        <x:v>Incapacidad temporal: concepto y causas que motivan esta situación. Beneficiarios. Prestación económica: determinación y cuantía. Nacimiento, duración y extinción del derecho al subsidio. Reconocimiento y pago. Control de la incapacidad. Incapacidad permanente contributiva: concepto. Grados de incapacidad. Prestaciones. Determinación y cuantía. Beneficiarios. Nacimiento, duración y extinción del derecho. Lesiones permanentes no incapacitantes. La calificación y revisión de la incapacidad permanente.</x:v>
      </x:c>
      <x:c r="V360" s="18" t="str">
        <x:v>incapacidad permanente</x:v>
      </x:c>
      <x:c r="W360" s="18" t="str"/>
      <x:c r="X360" s="18" t="str"/>
      <x:c r="Y360" s="18" t="str">
        <x:v>Incapacidad</x:v>
      </x:c>
      <x:c r="Z360" s="18" t="str">
        <x:v>Alta</x:v>
      </x:c>
      <x:c r="AA360" s="18" t="str">
        <x:v>incapacidad permanente</x:v>
      </x:c>
      <x:c r="AB360" s="18" t="str"/>
      <x:c r="AC360" s="18" t="str">
        <x:v>57 años; 57 años de edad</x:v>
      </x:c>
      <x:c r="AD360" s="18" t="str">
        <x:v>No</x:v>
      </x:c>
      <x:c r="AE360" s="18" t="str">
        <x:v>Práctico</x:v>
      </x:c>
      <x:c r="AF360" s="18" t="str">
        <x:v>C</x:v>
      </x:c>
      <x:c r="AG360" s="18" t="str">
        <x:v>C</x:v>
      </x:c>
      <x:c r="AH360" s="18" t="str">
        <x:v>Válida</x:v>
      </x:c>
      <x:c r="AI360" s="18" t="str">
        <x:v>01. Información oficial de la oposición\Exámenes oficiales anteriores\2025 Convocatoria 2024 - Examen extraordinario acceso libre.pdf</x:v>
      </x:c>
      <x:c r="AJ360" s="18" t="str">
        <x:v>https://www.seg-social.es/wps/portal/wss/internet/InformacionUtil/9950/88beb45d-ca83-4bab-8162-f94ef2894562/7e46efac-32c8-4cf6-b3d3-d592c3560dff/rdpi_administrativos_2024</x:v>
      </x:c>
      <x:c r="AK360" s="18" t="str">
        <x:v>Texto PDF</x:v>
      </x:c>
      <x:c r="AL360" s="18" t="n">
        <x:v>100</x:v>
      </x:c>
      <x:c r="AM360" s="18" t="str">
        <x:v>Alta</x:v>
      </x:c>
      <x:c r="AN360" s="18" t="str">
        <x:v>Regla jurídica determinista</x:v>
      </x:c>
      <x:c r="AO360" s="18" t="str">
        <x:v>2025_conv2024_extraordinario-P13</x:v>
      </x:c>
      <x:c r="AP360" s="18" t="n">
        <x:v>1</x:v>
      </x:c>
    </x:row>
    <x:row r="361">
      <x:c r="A361" s="18" t="str">
        <x:v>2025_conv2024_extraordinario-P14</x:v>
      </x:c>
      <x:c r="B361" s="18" t="n">
        <x:v>2025</x:v>
      </x:c>
      <x:c r="C361" s="18" t="n">
        <x:v>2024</x:v>
      </x:c>
      <x:c r="D361" s="28" t="n">
        <x:v>45956</x:v>
      </x:c>
      <x:c r="E361" s="18" t="str">
        <x:v>Acceso libre</x:v>
      </x:c>
      <x:c r="F361" s="18" t="str">
        <x:v>Segunda parte</x:v>
      </x:c>
      <x:c r="G361" s="18" t="str">
        <x:v>Extraordinario</x:v>
      </x:c>
      <x:c r="H361" s="18" t="str">
        <x:v>Único</x:v>
      </x:c>
      <x:c r="I361" s="18" t="str">
        <x:v>Sí</x:v>
      </x:c>
      <x:c r="J361" s="18" t="str">
        <x:v>Cuestionario extraordinario sin modelo paralelo.</x:v>
      </x:c>
      <x:c r="K361" s="18" t="n">
        <x:v>14</x:v>
      </x:c>
      <x:c r="L361" s="18" t="str">
        <x:v>No</x:v>
      </x:c>
      <x:c r="M361" s="18" t="str">
        <x:v>¿Lola podrá ser beneficiaria de la pensión de viudedad?</x:v>
      </x:c>
      <x:c r="N361" s="18" t="str">
        <x:v>No, ya que la pareja de hecho no figura inscrita en el registro específico de la comunidad autónoma o ayuntamiento de su lugar de residencia.</x:v>
      </x:c>
      <x:c r="O361" s="18" t="str">
        <x:v>Únicamente si acredita una convivencia estable con Pedro de , al menos , 5 años ininterrumpidos inmediatamente anteriores al fallecimiento.</x:v>
      </x:c>
      <x:c r="P361" s="18" t="str">
        <x:v>No, ya que la pareja de hecho debería haberse inscrito en documento público con una antelación mínima de 5 años respecto a la fecha del fallecimiento.</x:v>
      </x:c>
      <x:c r="Q361" s="18" t="str">
        <x:v>Sí, cumple todos los requisitos. Desde hacía dos años también vivía con ellos y a sus expensas , la madre de Lola, Teresa. Tiene 78 años, es viuda y no recibe ninguna pensión pública.</x:v>
      </x:c>
      <x:c r="R361" s="18" t="str">
        <x:v>S11</x:v>
      </x:c>
      <x:c r="S361" s="18" t="n">
        <x:v>11</x:v>
      </x:c>
      <x:c r="T361" s="18" t="str">
        <x:v>Temario específico Seguridad Social</x:v>
      </x:c>
      <x:c r="U361" s="18" t="str">
        <x:v>La protección por muerte y supervivencia. Hecho causante. Requisitos para las prestaciones de viudedad, orfandad y en favor de familiares. Cuantía de las prestaciones. Compatibilidad. Suspensión y Extinción. Normas específicas en caso de muerte derivada de accidente de trabajo o enfermedad profesional. Efectividad económica de las prestaciones. El auxilio por defunción.</x:v>
      </x:c>
      <x:c r="V361" s="18" t="str">
        <x:v>viudedad</x:v>
      </x:c>
      <x:c r="W361" s="18" t="str"/>
      <x:c r="X361" s="18" t="str"/>
      <x:c r="Y361" s="18" t="str">
        <x:v>Personas beneficiarias</x:v>
      </x:c>
      <x:c r="Z361" s="18" t="str">
        <x:v>Media</x:v>
      </x:c>
      <x:c r="AA361" s="18" t="str">
        <x:v>viudedad</x:v>
      </x:c>
      <x:c r="AB361" s="18" t="str"/>
      <x:c r="AC361" s="18" t="str"/>
      <x:c r="AD361" s="18" t="str">
        <x:v>No</x:v>
      </x:c>
      <x:c r="AE361" s="18" t="str">
        <x:v>Práctico</x:v>
      </x:c>
      <x:c r="AF361" s="18" t="str">
        <x:v>D</x:v>
      </x:c>
      <x:c r="AG361" s="18" t="str">
        <x:v>D</x:v>
      </x:c>
      <x:c r="AH361" s="18" t="str">
        <x:v>Válida</x:v>
      </x:c>
      <x:c r="AI361" s="18" t="str">
        <x:v>01. Información oficial de la oposición\Exámenes oficiales anteriores\2025 Convocatoria 2024 - Examen extraordinario acceso libre.pdf</x:v>
      </x:c>
      <x:c r="AJ361" s="18" t="str">
        <x:v>https://www.seg-social.es/wps/portal/wss/internet/InformacionUtil/9950/88beb45d-ca83-4bab-8162-f94ef2894562/7e46efac-32c8-4cf6-b3d3-d592c3560dff/rdpi_administrativos_2024</x:v>
      </x:c>
      <x:c r="AK361" s="18" t="str">
        <x:v>Texto PDF</x:v>
      </x:c>
      <x:c r="AL361" s="18" t="n">
        <x:v>100</x:v>
      </x:c>
      <x:c r="AM361" s="18" t="str">
        <x:v>Alta</x:v>
      </x:c>
      <x:c r="AN361" s="18" t="str">
        <x:v>Regla jurídica determinista</x:v>
      </x:c>
      <x:c r="AO361" s="18" t="str">
        <x:v>2025_conv2024_extraordinario-P14</x:v>
      </x:c>
      <x:c r="AP361" s="18" t="n">
        <x:v>1</x:v>
      </x:c>
    </x:row>
    <x:row r="362">
      <x:c r="A362" s="18" t="str">
        <x:v>2025_conv2024_extraordinario-P15</x:v>
      </x:c>
      <x:c r="B362" s="18" t="n">
        <x:v>2025</x:v>
      </x:c>
      <x:c r="C362" s="18" t="n">
        <x:v>2024</x:v>
      </x:c>
      <x:c r="D362" s="28" t="n">
        <x:v>45956</x:v>
      </x:c>
      <x:c r="E362" s="18" t="str">
        <x:v>Acceso libre</x:v>
      </x:c>
      <x:c r="F362" s="18" t="str">
        <x:v>Segunda parte</x:v>
      </x:c>
      <x:c r="G362" s="18" t="str">
        <x:v>Extraordinario</x:v>
      </x:c>
      <x:c r="H362" s="18" t="str">
        <x:v>Único</x:v>
      </x:c>
      <x:c r="I362" s="18" t="str">
        <x:v>Sí</x:v>
      </x:c>
      <x:c r="J362" s="18" t="str">
        <x:v>Cuestionario extraordinario sin modelo paralelo.</x:v>
      </x:c>
      <x:c r="K362" s="18" t="n">
        <x:v>15</x:v>
      </x:c>
      <x:c r="L362" s="18" t="str">
        <x:v>No</x:v>
      </x:c>
      <x:c r="M362" s="18" t="str">
        <x:v>¿Tendrá Teresa derecho a recibir una pensión en favor de familiares?</x:v>
      </x:c>
      <x:c r="N362" s="18" t="str">
        <x:v>Sí, al ser familiar de primer grado por afinidad del causante, convivir con él y vivir a sus expensas.</x:v>
      </x:c>
      <x:c r="O362" s="18" t="str">
        <x:v>Sí, al no tener familiares con la obligación de prestarle alimentos según la legislación civil.</x:v>
      </x:c>
      <x:c r="P362" s="18" t="str">
        <x:v>No, al no haber convivido con Pedro y Lola desde al menos tres años antes del fallecimiento de aquél.</x:v>
      </x:c>
      <x:c r="Q362" s="18" t="str">
        <x:v>No, al no ser familiar consanguíneo del causante y tener familiares con la obligación de dar alimentos según la legislación civil.</x:v>
      </x:c>
      <x:c r="R362" s="18" t="str">
        <x:v>S11</x:v>
      </x:c>
      <x:c r="S362" s="18" t="n">
        <x:v>11</x:v>
      </x:c>
      <x:c r="T362" s="18" t="str">
        <x:v>Temario específico Seguridad Social</x:v>
      </x:c>
      <x:c r="U362" s="18" t="str">
        <x:v>La protección por muerte y supervivencia. Hecho causante. Requisitos para las prestaciones de viudedad, orfandad y en favor de familiares. Cuantía de las prestaciones. Compatibilidad. Suspensión y Extinción. Normas específicas en caso de muerte derivada de accidente de trabajo o enfermedad profesional. Efectividad económica de las prestaciones. El auxilio por defunción.</x:v>
      </x:c>
      <x:c r="V362" s="18" t="str">
        <x:v>S11</x:v>
      </x:c>
      <x:c r="W362" s="18" t="str"/>
      <x:c r="X362" s="18" t="str"/>
      <x:c r="Y362" s="18" t="str">
        <x:v>Muerte y supervivencia</x:v>
      </x:c>
      <x:c r="Z362" s="18" t="str">
        <x:v>Media</x:v>
      </x:c>
      <x:c r="AA362" s="18" t="str">
        <x:v>S11</x:v>
      </x:c>
      <x:c r="AB362" s="18" t="str"/>
      <x:c r="AC362" s="18" t="str"/>
      <x:c r="AD362" s="18" t="str">
        <x:v>No</x:v>
      </x:c>
      <x:c r="AE362" s="18" t="str">
        <x:v>Práctico</x:v>
      </x:c>
      <x:c r="AF362" s="18" t="str">
        <x:v>D</x:v>
      </x:c>
      <x:c r="AG362" s="18" t="str">
        <x:v>D</x:v>
      </x:c>
      <x:c r="AH362" s="18" t="str">
        <x:v>Válida</x:v>
      </x:c>
      <x:c r="AI362" s="18" t="str">
        <x:v>01. Información oficial de la oposición\Exámenes oficiales anteriores\2025 Convocatoria 2024 - Examen extraordinario acceso libre.pdf</x:v>
      </x:c>
      <x:c r="AJ362" s="18" t="str">
        <x:v>https://www.seg-social.es/wps/portal/wss/internet/InformacionUtil/9950/88beb45d-ca83-4bab-8162-f94ef2894562/7e46efac-32c8-4cf6-b3d3-d592c3560dff/rdpi_administrativos_2024</x:v>
      </x:c>
      <x:c r="AK362" s="18" t="str">
        <x:v>Texto PDF</x:v>
      </x:c>
      <x:c r="AL362" s="18" t="n">
        <x:v>100</x:v>
      </x:c>
      <x:c r="AM362" s="18" t="str">
        <x:v>Alta</x:v>
      </x:c>
      <x:c r="AN362" s="18" t="str">
        <x:v>Regla jurídica determinista</x:v>
      </x:c>
      <x:c r="AO362" s="18" t="str">
        <x:v>2025_conv2024_extraordinario-P15</x:v>
      </x:c>
      <x:c r="AP362" s="18" t="n">
        <x:v>1</x:v>
      </x:c>
    </x:row>
    <x:row r="363">
      <x:c r="A363" s="18" t="str">
        <x:v>2025_conv2024_extraordinario-P16</x:v>
      </x:c>
      <x:c r="B363" s="18" t="n">
        <x:v>2025</x:v>
      </x:c>
      <x:c r="C363" s="18" t="n">
        <x:v>2024</x:v>
      </x:c>
      <x:c r="D363" s="28" t="n">
        <x:v>45956</x:v>
      </x:c>
      <x:c r="E363" s="18" t="str">
        <x:v>Acceso libre</x:v>
      </x:c>
      <x:c r="F363" s="18" t="str">
        <x:v>Segunda parte</x:v>
      </x:c>
      <x:c r="G363" s="18" t="str">
        <x:v>Extraordinario</x:v>
      </x:c>
      <x:c r="H363" s="18" t="str">
        <x:v>Único</x:v>
      </x:c>
      <x:c r="I363" s="18" t="str">
        <x:v>Sí</x:v>
      </x:c>
      <x:c r="J363" s="18" t="str">
        <x:v>Cuestionario extraordinario sin modelo paralelo.</x:v>
      </x:c>
      <x:c r="K363" s="18" t="n">
        <x:v>16</x:v>
      </x:c>
      <x:c r="L363" s="18" t="str">
        <x:v>Sí</x:v>
      </x:c>
      <x:c r="M363" s="18" t="str">
        <x:v>¿Tendrá derecho Lucas, el hijo de Pedro, a la pensión de orfandad?</x:v>
      </x:c>
      <x:c r="N363" s="18" t="str">
        <x:v>Sí, hasta que cumpla 26 años de edad.</x:v>
      </x:c>
      <x:c r="O363" s="18" t="str">
        <x:v>Sí, hasta que cumpla 25 años de edad.</x:v>
      </x:c>
      <x:c r="P363" s="18" t="str">
        <x:v>Sí, hasta que cumpla 21 años de edad.</x:v>
      </x:c>
      <x:c r="Q363" s="18" t="str">
        <x:v>No tiene derecho al efectuar un trabajo lucrativo por el que percibe ingresos superiores al SMI.</x:v>
      </x:c>
      <x:c r="R363" s="18" t="str">
        <x:v>S11</x:v>
      </x:c>
      <x:c r="S363" s="18" t="n">
        <x:v>11</x:v>
      </x:c>
      <x:c r="T363" s="18" t="str">
        <x:v>Temario específico Seguridad Social</x:v>
      </x:c>
      <x:c r="U363" s="18" t="str">
        <x:v>La protección por muerte y supervivencia. Hecho causante. Requisitos para las prestaciones de viudedad, orfandad y en favor de familiares. Cuantía de las prestaciones. Compatibilidad. Suspensión y Extinción. Normas específicas en caso de muerte derivada de accidente de trabajo o enfermedad profesional. Efectividad económica de las prestaciones. El auxilio por defunción.</x:v>
      </x:c>
      <x:c r="V363" s="18" t="str">
        <x:v>orfandad</x:v>
      </x:c>
      <x:c r="W363" s="18" t="str"/>
      <x:c r="X363" s="18" t="str"/>
      <x:c r="Y363" s="18" t="str">
        <x:v>Muerte y supervivencia</x:v>
      </x:c>
      <x:c r="Z363" s="18" t="str">
        <x:v>Media</x:v>
      </x:c>
      <x:c r="AA363" s="18" t="str">
        <x:v>orfandad</x:v>
      </x:c>
      <x:c r="AB363" s="18" t="str"/>
      <x:c r="AC363" s="18" t="str"/>
      <x:c r="AD363" s="18" t="str">
        <x:v>No</x:v>
      </x:c>
      <x:c r="AE363" s="18" t="str">
        <x:v>Práctico</x:v>
      </x:c>
      <x:c r="AF363" s="18" t="str">
        <x:v>C</x:v>
      </x:c>
      <x:c r="AG363" s="18" t="str">
        <x:v>C</x:v>
      </x:c>
      <x:c r="AH363" s="18" t="str">
        <x:v>Válida</x:v>
      </x:c>
      <x:c r="AI363" s="18" t="str">
        <x:v>01. Información oficial de la oposición\Exámenes oficiales anteriores\2025 Convocatoria 2024 - Examen extraordinario acceso libre.pdf</x:v>
      </x:c>
      <x:c r="AJ363" s="18" t="str">
        <x:v>https://www.seg-social.es/wps/portal/wss/internet/InformacionUtil/9950/88beb45d-ca83-4bab-8162-f94ef2894562/7e46efac-32c8-4cf6-b3d3-d592c3560dff/rdpi_administrativos_2024</x:v>
      </x:c>
      <x:c r="AK363" s="18" t="str">
        <x:v>Texto PDF</x:v>
      </x:c>
      <x:c r="AL363" s="18" t="n">
        <x:v>100</x:v>
      </x:c>
      <x:c r="AM363" s="18" t="str">
        <x:v>Alta</x:v>
      </x:c>
      <x:c r="AN363" s="18" t="str">
        <x:v>Regla jurídica determinista</x:v>
      </x:c>
      <x:c r="AO363" s="18" t="str">
        <x:v>2025_conv2024_extraordinario-P16</x:v>
      </x:c>
      <x:c r="AP363" s="18" t="n">
        <x:v>1</x:v>
      </x:c>
    </x:row>
    <x:row r="364">
      <x:c r="A364" s="18" t="str">
        <x:v>2025_conv2024_extraordinario-P17</x:v>
      </x:c>
      <x:c r="B364" s="18" t="n">
        <x:v>2025</x:v>
      </x:c>
      <x:c r="C364" s="18" t="n">
        <x:v>2024</x:v>
      </x:c>
      <x:c r="D364" s="28" t="n">
        <x:v>45956</x:v>
      </x:c>
      <x:c r="E364" s="18" t="str">
        <x:v>Acceso libre</x:v>
      </x:c>
      <x:c r="F364" s="18" t="str">
        <x:v>Segunda parte</x:v>
      </x:c>
      <x:c r="G364" s="18" t="str">
        <x:v>Extraordinario</x:v>
      </x:c>
      <x:c r="H364" s="18" t="str">
        <x:v>Único</x:v>
      </x:c>
      <x:c r="I364" s="18" t="str">
        <x:v>Sí</x:v>
      </x:c>
      <x:c r="J364" s="18" t="str">
        <x:v>Cuestionario extraordinario sin modelo paralelo.</x:v>
      </x:c>
      <x:c r="K364" s="18" t="n">
        <x:v>17</x:v>
      </x:c>
      <x:c r="L364" s="18" t="str">
        <x:v>Sí</x:v>
      </x:c>
      <x:c r="M364" s="18" t="str">
        <x:v>Ramón cumple los requisitos para jubilarse ordinariamente el 10 de diciembre de 2025. En enero de 2025 la empresa de Juan Luis decidió unilateralmente incrementar su salario mensual en un 10%. El incremento salarial medio aplicado por el convenio colectivo de la empresa de Juan Luis para el año 2025 fue del 3%. A efectos del cálculo de la base reguladora de la pensión de jubilación, ¿qué bases de cotización del año 2025 se computarán?</x:v>
      </x:c>
      <x:c r="N364" s="18" t="str">
        <x:v>Las mismas bases de cotización que para el año 2024.</x:v>
      </x:c>
      <x:c r="O364" s="18" t="str">
        <x:v>Las bases de cotización del año 2024 incrementadas en un 3%.</x:v>
      </x:c>
      <x:c r="P364" s="18" t="str">
        <x:v>Las bases de cotización del año 2024 incrementadas en un 7%.</x:v>
      </x:c>
      <x:c r="Q364" s="18" t="str">
        <x:v>Las bases de cotización del año 2024 incrementadas en un 10%.</x:v>
      </x:c>
      <x:c r="R364" s="18" t="str">
        <x:v>S10</x:v>
      </x:c>
      <x:c r="S364" s="18" t="n">
        <x:v>10</x:v>
      </x:c>
      <x:c r="T364" s="18" t="str">
        <x:v>Temario específico Seguridad Social</x:v>
      </x:c>
      <x:c r="U364" s="18" t="str">
        <x:v>Jubilación en la modalidad contributiva: concepto. Jubilación ordinaria: requisitos: especial referencia a la edad de jubilación. Determinación de la cuantía de la prestación: base reguladora y porcentaje. Jubilación anticipada, jubilación parcial y jubilación flexible. Compatibilidad de la pensión de jubilación y el trabajo. Suspensión y extinción de la prestación. Especial referencia a la aplicación de la normativa anterior a la Ley 27/2011.</x:v>
      </x:c>
      <x:c r="V364" s="18" t="str">
        <x:v>jubilación</x:v>
      </x:c>
      <x:c r="W364" s="18" t="str"/>
      <x:c r="X364" s="18" t="str"/>
      <x:c r="Y364" s="18" t="str">
        <x:v>Cálculos</x:v>
      </x:c>
      <x:c r="Z364" s="18" t="str">
        <x:v>Alta</x:v>
      </x:c>
      <x:c r="AA364" s="18" t="str">
        <x:v>jubilación</x:v>
      </x:c>
      <x:c r="AB364" s="18" t="str"/>
      <x:c r="AC364" s="18" t="str"/>
      <x:c r="AD364" s="18" t="str">
        <x:v>No</x:v>
      </x:c>
      <x:c r="AE364" s="18" t="str">
        <x:v>Práctico</x:v>
      </x:c>
      <x:c r="AF364" s="18" t="str">
        <x:v>B</x:v>
      </x:c>
      <x:c r="AG364" s="18" t="str">
        <x:v>B</x:v>
      </x:c>
      <x:c r="AH364" s="18" t="str">
        <x:v>Válida</x:v>
      </x:c>
      <x:c r="AI364" s="18" t="str">
        <x:v>01. Información oficial de la oposición\Exámenes oficiales anteriores\2025 Convocatoria 2024 - Examen extraordinario acceso libre.pdf</x:v>
      </x:c>
      <x:c r="AJ364" s="18" t="str">
        <x:v>https://www.seg-social.es/wps/portal/wss/internet/InformacionUtil/9950/88beb45d-ca83-4bab-8162-f94ef2894562/7e46efac-32c8-4cf6-b3d3-d592c3560dff/rdpi_administrativos_2024</x:v>
      </x:c>
      <x:c r="AK364" s="18" t="str">
        <x:v>Texto PDF</x:v>
      </x:c>
      <x:c r="AL364" s="18" t="n">
        <x:v>100</x:v>
      </x:c>
      <x:c r="AM364" s="18" t="str">
        <x:v>Alta</x:v>
      </x:c>
      <x:c r="AN364" s="18" t="str">
        <x:v>Regla jurídica determinista</x:v>
      </x:c>
      <x:c r="AO364" s="18" t="str">
        <x:v>2025_conv2024_extraordinario-P17</x:v>
      </x:c>
      <x:c r="AP364" s="18" t="n">
        <x:v>1</x:v>
      </x:c>
    </x:row>
    <x:row r="365">
      <x:c r="A365" s="18" t="str">
        <x:v>2025_conv2024_extraordinario-P18</x:v>
      </x:c>
      <x:c r="B365" s="18" t="n">
        <x:v>2025</x:v>
      </x:c>
      <x:c r="C365" s="18" t="n">
        <x:v>2024</x:v>
      </x:c>
      <x:c r="D365" s="28" t="n">
        <x:v>45956</x:v>
      </x:c>
      <x:c r="E365" s="18" t="str">
        <x:v>Acceso libre</x:v>
      </x:c>
      <x:c r="F365" s="18" t="str">
        <x:v>Segunda parte</x:v>
      </x:c>
      <x:c r="G365" s="18" t="str">
        <x:v>Extraordinario</x:v>
      </x:c>
      <x:c r="H365" s="18" t="str">
        <x:v>Único</x:v>
      </x:c>
      <x:c r="I365" s="18" t="str">
        <x:v>Sí</x:v>
      </x:c>
      <x:c r="J365" s="18" t="str">
        <x:v>Cuestionario extraordinario sin modelo paralelo.</x:v>
      </x:c>
      <x:c r="K365" s="18" t="n">
        <x:v>18</x:v>
      </x:c>
      <x:c r="L365" s="18" t="str">
        <x:v>Sí</x:v>
      </x:c>
      <x:c r="M365" s="18" t="str">
        <x:v>Adriana y Martín han sido padres con fecha 5 de abril de 2025. Ambos tienen derecho a la prestación económica por nacimiento y cuidado del menor. ¿Es posible que Martín ceda a Adriana el derecho de disfrute de descanso por nacimiento y cuidado del menor y, por tanto, el derecho a la prestación económica?</x:v>
      </x:c>
      <x:c r="N365" s="18" t="str">
        <x:v>Sí, Martín podría ceder a Adriana el disfrute de descanso de 16 semanas por nacimiento y cuidado del menor.</x:v>
      </x:c>
      <x:c r="O365" s="18" t="str">
        <x:v>Sí, Martín podría ceder a Adriana el disfrute de descanso de 10 semanas por nacimiento y cuidado del menor. Las 6 primeras semanas tras el nacimiento y cuidado del menor son de disfrute obligatorio para cada progenitor y no podrán cederse.</x:v>
      </x:c>
      <x:c r="P365" s="18" t="str">
        <x:v>No, Martín no podrá ceder las 16 semanas de disfrute de descanso por nacimiento y cuidado del menor.</x:v>
      </x:c>
      <x:c r="Q365" s="18" t="str">
        <x:v>Sí, Martín podría ceder a Adriana el disfrute de descanso de 16 semanas por nacimiento y cuidado del menor, siempre que lo comunique a la empresa en la que presta servicios con una antelación de 15 días.</x:v>
      </x:c>
      <x:c r="R365" s="18" t="str">
        <x:v>S09</x:v>
      </x:c>
      <x:c r="S365" s="18" t="n">
        <x:v>9</x:v>
      </x:c>
      <x:c r="T365" s="18" t="str">
        <x:v>Temario específico Seguridad Social</x:v>
      </x:c>
      <x:c r="U365" s="18" t="str">
        <x:v>Nacimiento y cuidado de menor. Ejercicio corresponsable del cuidado del lactante. Prestación por riesgo durante el embarazo. Prestación por riesgo durante la lactancia natural. Asignación económica por hijo o menor acogido a cargo. Prestación económica por nacimiento o adopción de hijo en supuestos de familias numerosas o monoparentales y en los casos de madres o padres con discapacidad. Prestación por parto o adopción Subsidio por cuidado de menores afectados por cáncer u otra enfermedad grave.</x:v>
      </x:c>
      <x:c r="V365" s="18" t="str">
        <x:v>S09</x:v>
      </x:c>
      <x:c r="W365" s="18" t="str"/>
      <x:c r="X365" s="18" t="str"/>
      <x:c r="Y365" s="18" t="str">
        <x:v>Personas beneficiarias</x:v>
      </x:c>
      <x:c r="Z365" s="18" t="str">
        <x:v>Alta</x:v>
      </x:c>
      <x:c r="AA365" s="18" t="str">
        <x:v>S09</x:v>
      </x:c>
      <x:c r="AB365" s="18" t="str"/>
      <x:c r="AC365" s="18" t="str"/>
      <x:c r="AD365" s="18" t="str">
        <x:v>No</x:v>
      </x:c>
      <x:c r="AE365" s="18" t="str">
        <x:v>Práctico</x:v>
      </x:c>
      <x:c r="AF365" s="18" t="str">
        <x:v>C</x:v>
      </x:c>
      <x:c r="AG365" s="18" t="str">
        <x:v>C</x:v>
      </x:c>
      <x:c r="AH365" s="18" t="str">
        <x:v>Válida</x:v>
      </x:c>
      <x:c r="AI365" s="18" t="str">
        <x:v>01. Información oficial de la oposición\Exámenes oficiales anteriores\2025 Convocatoria 2024 - Examen extraordinario acceso libre.pdf</x:v>
      </x:c>
      <x:c r="AJ365" s="18" t="str">
        <x:v>https://www.seg-social.es/wps/portal/wss/internet/InformacionUtil/9950/88beb45d-ca83-4bab-8162-f94ef2894562/7e46efac-32c8-4cf6-b3d3-d592c3560dff/rdpi_administrativos_2024</x:v>
      </x:c>
      <x:c r="AK365" s="18" t="str">
        <x:v>Texto PDF</x:v>
      </x:c>
      <x:c r="AL365" s="18" t="n">
        <x:v>100</x:v>
      </x:c>
      <x:c r="AM365" s="18" t="str">
        <x:v>Alta</x:v>
      </x:c>
      <x:c r="AN365" s="18" t="str">
        <x:v>Regla jurídica determinista</x:v>
      </x:c>
      <x:c r="AO365" s="18" t="str">
        <x:v>2025_conv2024_extraordinario-P18</x:v>
      </x:c>
      <x:c r="AP365" s="18" t="n">
        <x:v>1</x:v>
      </x:c>
    </x:row>
    <x:row r="366">
      <x:c r="A366" s="18" t="str">
        <x:v>2026_conv2025_rojo_A-T01</x:v>
      </x:c>
      <x:c r="B366" s="18" t="n">
        <x:v>2026</x:v>
      </x:c>
      <x:c r="C366" s="18" t="n">
        <x:v>2025</x:v>
      </x:c>
      <x:c r="D366" s="28" t="n">
        <x:v>46201</x:v>
      </x:c>
      <x:c r="E366" s="18" t="str">
        <x:v>Acceso libre</x:v>
      </x:c>
      <x:c r="F366" s="18" t="str">
        <x:v>Primera parte</x:v>
      </x:c>
      <x:c r="G366" s="18" t="str">
        <x:v>Rojo A</x:v>
      </x:c>
      <x:c r="H366" s="18" t="str">
        <x:v>Rojo/Verde A/B</x:v>
      </x:c>
      <x:c r="I366" s="18" t="str">
        <x:v>Sí</x:v>
      </x:c>
      <x:c r="J366" s="18" t="str">
        <x:v>Los colores y modelos reproducen el mismo conjunto de preguntas con orden y/o opciones permutados; Rojo A es la variante canónica para frecuencias y Verde A se conserva como control de cobertura.</x:v>
      </x:c>
      <x:c r="K366" s="18" t="n">
        <x:v>1</x:v>
      </x:c>
      <x:c r="L366" s="18" t="str">
        <x:v>No</x:v>
      </x:c>
      <x:c r="M366" s="18" t="str">
        <x:v>Hasta la fecha actual se han llevado a cabo las siguientes reformas constitucionales:</x:v>
      </x:c>
      <x:c r="N366" s="18" t="str">
        <x:v>Dos reformas constitucionales, de los artículos 13.1 y 135, ambas por el procedimiento de reforma constitucional ordinaria, recogido en eI artículo 167 de la Constitución.</x:v>
      </x:c>
      <x:c r="O366" s="18" t="str">
        <x:v>Dos reformas constitucionales, de los artículos 13.2 y 135 ambas por el procedimiento de reforma constitucional ordinaria, recogido en eI artículo 167 de la Constitución.</x:v>
      </x:c>
      <x:c r="P366" s="18" t="str">
        <x:v>Tres reformas constitucionales, de los artículos 13.1, 135 y 49 de la Constitución, todas por eI procedimiento de reforma constitucional agravada, recogido en eI artículo 168 de la Constitución.</x:v>
      </x:c>
      <x:c r="Q366" s="18" t="str">
        <x:v>Tres reformas constitucionales, de los artículos 13.2, 135 y 49 de la Constitución, todas por eI procedimiento de reforma constitucional ordinaria, recogido en eI artículo 167 de la Constitución.</x:v>
      </x:c>
      <x:c r="R366" s="18" t="str">
        <x:v>G01</x:v>
      </x:c>
      <x:c r="S366" s="18" t="n">
        <x:v>1</x:v>
      </x:c>
      <x:c r="T366" s="18" t="str">
        <x:v>Temario general</x:v>
      </x:c>
      <x:c r="U366" s="18" t="str">
        <x:v>La Constitución Española de 1978: Estructura y contenido. La reforma de la Constitución.</x:v>
      </x:c>
      <x:c r="V366" s="18" t="str">
        <x:v>G01</x:v>
      </x:c>
      <x:c r="W366" s="18" t="str"/>
      <x:c r="X366" s="18" t="str"/>
      <x:c r="Y366" s="18" t="str">
        <x:v>Artículos literales</x:v>
      </x:c>
      <x:c r="Z366" s="18" t="str">
        <x:v>Básica</x:v>
      </x:c>
      <x:c r="AA366" s="18" t="str">
        <x:v>G01</x:v>
      </x:c>
      <x:c r="AB366" s="18" t="str"/>
      <x:c r="AC366" s="18" t="str"/>
      <x:c r="AD366" s="18" t="str">
        <x:v>No</x:v>
      </x:c>
      <x:c r="AE366" s="18" t="str">
        <x:v>Teórico</x:v>
      </x:c>
      <x:c r="AF366" s="18" t="str">
        <x:v>D</x:v>
      </x:c>
      <x:c r="AG366" s="18" t="str">
        <x:v>D</x:v>
      </x:c>
      <x:c r="AH366" s="18" t="str">
        <x:v>Válida</x:v>
      </x:c>
      <x:c r="AI366" s="18" t="str">
        <x:v>01. Información oficial de la oposición\Exámenes oficiales anteriores\2026 Convocatoria 2025 - Acceso libre Rojo A.pdf</x:v>
      </x:c>
      <x:c r="AJ366" s="18" t="str">
        <x:v>https://www.seg-social.es/wps/portal/wss/internet/InformacionUtil/9950/88beb45d-ca83-4bab-8162-f94ef2894562/e0c83707-3358-47a9-94d7-508221dad233</x:v>
      </x:c>
      <x:c r="AK366" s="18" t="str">
        <x:v>OCR Windows es-ES sobre PDF oficial</x:v>
      </x:c>
      <x:c r="AL366" s="18" t="n">
        <x:v>100</x:v>
      </x:c>
      <x:c r="AM366" s="18" t="str">
        <x:v>Alta</x:v>
      </x:c>
      <x:c r="AN366" s="18" t="str">
        <x:v>Revisión jurídica individual</x:v>
      </x:c>
      <x:c r="AO366" s="18" t="str">
        <x:v>2026_conv2025_rojo_A-T01</x:v>
      </x:c>
      <x:c r="AP366" s="18" t="n">
        <x:v>1</x:v>
      </x:c>
    </x:row>
    <x:row r="367">
      <x:c r="A367" s="18" t="str">
        <x:v>2026_conv2025_rojo_A-T02</x:v>
      </x:c>
      <x:c r="B367" s="18" t="n">
        <x:v>2026</x:v>
      </x:c>
      <x:c r="C367" s="18" t="n">
        <x:v>2025</x:v>
      </x:c>
      <x:c r="D367" s="28" t="n">
        <x:v>46201</x:v>
      </x:c>
      <x:c r="E367" s="18" t="str">
        <x:v>Acceso libre</x:v>
      </x:c>
      <x:c r="F367" s="18" t="str">
        <x:v>Primera parte</x:v>
      </x:c>
      <x:c r="G367" s="18" t="str">
        <x:v>Rojo A</x:v>
      </x:c>
      <x:c r="H367" s="18" t="str">
        <x:v>Rojo/Verde A/B</x:v>
      </x:c>
      <x:c r="I367" s="18" t="str">
        <x:v>Sí</x:v>
      </x:c>
      <x:c r="J367" s="18" t="str">
        <x:v>Los colores y modelos reproducen el mismo conjunto de preguntas con orden y/o opciones permutados; Rojo A es la variante canónica para frecuencias y Verde A se conserva como control de cobertura.</x:v>
      </x:c>
      <x:c r="K367" s="18" t="n">
        <x:v>2</x:v>
      </x:c>
      <x:c r="L367" s="18" t="str">
        <x:v>No</x:v>
      </x:c>
      <x:c r="M367" s="18" t="str">
        <x:v>Respecto al patrimonio histórico, cultural y artístico de los pueblos de España y los bienes que 10 integran, señale la respuesta INCORRECTA, conforme a 10 recogido en eI Título I de la Constitución Española:</x:v>
      </x:c>
      <x:c r="N367" s="18" t="str">
        <x:v>Los Poderes Públicos garantizarán su conservación salvo que sean propiedad de particulares.</x:v>
      </x:c>
      <x:c r="O367" s="18" t="str">
        <x:v>Es un principio rector de la política social y económica.</x:v>
      </x:c>
      <x:c r="P367" s="18" t="str">
        <x:v>Se regula en el artículo 46 de la Constitución Española.</x:v>
      </x:c>
      <x:c r="Q367" s="18" t="str">
        <x:v>Los Poderes Públicos garantizarán su conservación cualquiera que sea su régimen jurídico.</x:v>
      </x:c>
      <x:c r="R367" s="18" t="str">
        <x:v>G02</x:v>
      </x:c>
      <x:c r="S367" s="18" t="n">
        <x:v>2</x:v>
      </x:c>
      <x:c r="T367" s="18" t="str">
        <x:v>Temario general</x:v>
      </x:c>
      <x:c r="U367" s="18" t="str">
        <x:v>Derechos y deberes fundamentales. Su garantía y suspensión.</x:v>
      </x:c>
      <x:c r="V367" s="18" t="str">
        <x:v>G02</x:v>
      </x:c>
      <x:c r="W367" s="18" t="str">
        <x:v>Constitución Española</x:v>
      </x:c>
      <x:c r="X367" s="18" t="str"/>
      <x:c r="Y367" s="18" t="str">
        <x:v>Artículos literales</x:v>
      </x:c>
      <x:c r="Z367" s="18" t="str">
        <x:v>Alta</x:v>
      </x:c>
      <x:c r="AA367" s="18" t="str">
        <x:v>G02</x:v>
      </x:c>
      <x:c r="AB367" s="18" t="str"/>
      <x:c r="AC367" s="18" t="str"/>
      <x:c r="AD367" s="18" t="str">
        <x:v>Sí</x:v>
      </x:c>
      <x:c r="AE367" s="18" t="str">
        <x:v>Teórico</x:v>
      </x:c>
      <x:c r="AF367" s="18" t="str">
        <x:v>A</x:v>
      </x:c>
      <x:c r="AG367" s="18" t="str">
        <x:v>A</x:v>
      </x:c>
      <x:c r="AH367" s="18" t="str">
        <x:v>Válida</x:v>
      </x:c>
      <x:c r="AI367" s="18" t="str">
        <x:v>01. Información oficial de la oposición\Exámenes oficiales anteriores\2026 Convocatoria 2025 - Acceso libre Rojo A.pdf</x:v>
      </x:c>
      <x:c r="AJ367" s="18" t="str">
        <x:v>https://www.seg-social.es/wps/portal/wss/internet/InformacionUtil/9950/88beb45d-ca83-4bab-8162-f94ef2894562/e0c83707-3358-47a9-94d7-508221dad233</x:v>
      </x:c>
      <x:c r="AK367" s="18" t="str">
        <x:v>OCR Windows es-ES sobre PDF oficial</x:v>
      </x:c>
      <x:c r="AL367" s="18" t="n">
        <x:v>100</x:v>
      </x:c>
      <x:c r="AM367" s="18" t="str">
        <x:v>Alta</x:v>
      </x:c>
      <x:c r="AN367" s="18" t="str">
        <x:v>Regla jurídica determinista</x:v>
      </x:c>
      <x:c r="AO367" s="18" t="str">
        <x:v>2026_conv2025_rojo_A-T02</x:v>
      </x:c>
      <x:c r="AP367" s="18" t="n">
        <x:v>1</x:v>
      </x:c>
    </x:row>
    <x:row r="368">
      <x:c r="A368" s="18" t="str">
        <x:v>2026_conv2025_rojo_A-T03</x:v>
      </x:c>
      <x:c r="B368" s="18" t="n">
        <x:v>2026</x:v>
      </x:c>
      <x:c r="C368" s="18" t="n">
        <x:v>2025</x:v>
      </x:c>
      <x:c r="D368" s="28" t="n">
        <x:v>46201</x:v>
      </x:c>
      <x:c r="E368" s="18" t="str">
        <x:v>Acceso libre</x:v>
      </x:c>
      <x:c r="F368" s="18" t="str">
        <x:v>Primera parte</x:v>
      </x:c>
      <x:c r="G368" s="18" t="str">
        <x:v>Rojo A</x:v>
      </x:c>
      <x:c r="H368" s="18" t="str">
        <x:v>Rojo/Verde A/B</x:v>
      </x:c>
      <x:c r="I368" s="18" t="str">
        <x:v>Sí</x:v>
      </x:c>
      <x:c r="J368" s="18" t="str">
        <x:v>Los colores y modelos reproducen el mismo conjunto de preguntas con orden y/o opciones permutados; Rojo A es la variante canónica para frecuencias y Verde A se conserva como control de cobertura.</x:v>
      </x:c>
      <x:c r="K368" s="18" t="n">
        <x:v>3</x:v>
      </x:c>
      <x:c r="L368" s="18" t="str">
        <x:v>No</x:v>
      </x:c>
      <x:c r="M368" s="18" t="str">
        <x:v>La Sección la del Capítulo Segundo del Título I de la Constitución Española, regula los Derechos fundamentales y las Libertades públicas contenidos en los artículos:</x:v>
      </x:c>
      <x:c r="N368" s="18" t="str">
        <x:v>14 al 29.</x:v>
      </x:c>
      <x:c r="O368" s="18" t="str">
        <x:v>14 al 30.</x:v>
      </x:c>
      <x:c r="P368" s="18" t="str">
        <x:v>15 al 29.</x:v>
      </x:c>
      <x:c r="Q368" s="18" t="str">
        <x:v>15 al 30.</x:v>
      </x:c>
      <x:c r="R368" s="18" t="str">
        <x:v>G02</x:v>
      </x:c>
      <x:c r="S368" s="18" t="n">
        <x:v>2</x:v>
      </x:c>
      <x:c r="T368" s="18" t="str">
        <x:v>Temario general</x:v>
      </x:c>
      <x:c r="U368" s="18" t="str">
        <x:v>Derechos y deberes fundamentales. Su garantía y suspensión.</x:v>
      </x:c>
      <x:c r="V368" s="18" t="str">
        <x:v>derechos fundamentales</x:v>
      </x:c>
      <x:c r="W368" s="18" t="str">
        <x:v>Constitución Española</x:v>
      </x:c>
      <x:c r="X368" s="18" t="str"/>
      <x:c r="Y368" s="18" t="str">
        <x:v>Artículos literales</x:v>
      </x:c>
      <x:c r="Z368" s="18" t="str">
        <x:v>Media</x:v>
      </x:c>
      <x:c r="AA368" s="18" t="str">
        <x:v>derechos fundamentales</x:v>
      </x:c>
      <x:c r="AB368" s="18" t="str"/>
      <x:c r="AC368" s="18" t="str"/>
      <x:c r="AD368" s="18" t="str">
        <x:v>No</x:v>
      </x:c>
      <x:c r="AE368" s="18" t="str">
        <x:v>Teórico</x:v>
      </x:c>
      <x:c r="AF368" s="18" t="str">
        <x:v>C</x:v>
      </x:c>
      <x:c r="AG368" s="18" t="str">
        <x:v>C</x:v>
      </x:c>
      <x:c r="AH368" s="18" t="str">
        <x:v>Válida</x:v>
      </x:c>
      <x:c r="AI368" s="18" t="str">
        <x:v>01. Información oficial de la oposición\Exámenes oficiales anteriores\2026 Convocatoria 2025 - Acceso libre Rojo A.pdf</x:v>
      </x:c>
      <x:c r="AJ368" s="18" t="str">
        <x:v>https://www.seg-social.es/wps/portal/wss/internet/InformacionUtil/9950/88beb45d-ca83-4bab-8162-f94ef2894562/e0c83707-3358-47a9-94d7-508221dad233</x:v>
      </x:c>
      <x:c r="AK368" s="18" t="str">
        <x:v>OCR Windows es-ES sobre PDF oficial</x:v>
      </x:c>
      <x:c r="AL368" s="18" t="n">
        <x:v>100</x:v>
      </x:c>
      <x:c r="AM368" s="18" t="str">
        <x:v>Alta</x:v>
      </x:c>
      <x:c r="AN368" s="18" t="str">
        <x:v>Regla jurídica determinista</x:v>
      </x:c>
      <x:c r="AO368" s="18" t="str">
        <x:v>2026_conv2025_rojo_A-T03</x:v>
      </x:c>
      <x:c r="AP368" s="18" t="n">
        <x:v>1</x:v>
      </x:c>
    </x:row>
    <x:row r="369">
      <x:c r="A369" s="18" t="str">
        <x:v>2026_conv2025_rojo_A-T04</x:v>
      </x:c>
      <x:c r="B369" s="18" t="n">
        <x:v>2026</x:v>
      </x:c>
      <x:c r="C369" s="18" t="n">
        <x:v>2025</x:v>
      </x:c>
      <x:c r="D369" s="28" t="n">
        <x:v>46201</x:v>
      </x:c>
      <x:c r="E369" s="18" t="str">
        <x:v>Acceso libre</x:v>
      </x:c>
      <x:c r="F369" s="18" t="str">
        <x:v>Primera parte</x:v>
      </x:c>
      <x:c r="G369" s="18" t="str">
        <x:v>Rojo A</x:v>
      </x:c>
      <x:c r="H369" s="18" t="str">
        <x:v>Rojo/Verde A/B</x:v>
      </x:c>
      <x:c r="I369" s="18" t="str">
        <x:v>Sí</x:v>
      </x:c>
      <x:c r="J369" s="18" t="str">
        <x:v>Los colores y modelos reproducen el mismo conjunto de preguntas con orden y/o opciones permutados; Rojo A es la variante canónica para frecuencias y Verde A se conserva como control de cobertura.</x:v>
      </x:c>
      <x:c r="K369" s="18" t="n">
        <x:v>4</x:v>
      </x:c>
      <x:c r="L369" s="18" t="str">
        <x:v>No</x:v>
      </x:c>
      <x:c r="M369" s="18" t="str">
        <x:v>Conforme a 10 previsto en el artículo 23 de la Ley Orgánica 2/1979, de 3 de octubre, del Tribunal Constitucional, la decisión sobre el cese de los Magistrados del Tribunal Constitucional requerirá mayoría simple del Pleno cuando se trate de:</x:v>
      </x:c>
      <x:c r="N369" s="18" t="str">
        <x:v>Falta de diligencia en los deberes del cargo y violación de la reserva propia de su función.</x:v>
      </x:c>
      <x:c r="O369" s="18" t="str">
        <x:v>Haber sido declarado responsable civilmente por dolo o condenado por delito doloso o por culpa grave.</x:v>
      </x:c>
      <x:c r="P369" s="18" t="str">
        <x:v>Falta de diligencia en los deberes del cargo y por haber sido declarado responsable civilmente por dolo o condenado por delito doloso o por culpa grave.</x:v>
      </x:c>
      <x:c r="Q369" s="18" t="str">
        <x:v>Incapacidad de las previstas para los miembros del Poder Judicial y por incompatibilidad sobrevenida.</x:v>
      </x:c>
      <x:c r="R369" s="18" t="str">
        <x:v>G03</x:v>
      </x:c>
      <x:c r="S369" s="18" t="n">
        <x:v>3</x:v>
      </x:c>
      <x:c r="T369" s="18" t="str">
        <x:v>Temario general</x:v>
      </x:c>
      <x:c r="U369" s="18" t="str">
        <x:v>El Tribunal Constitucional. Organización, composición y atribuciones.</x:v>
      </x:c>
      <x:c r="V369" s="18" t="str">
        <x:v>G03</x:v>
      </x:c>
      <x:c r="W369" s="18" t="str">
        <x:v>Ley Orgánica 2/1979</x:v>
      </x:c>
      <x:c r="X369" s="18" t="str">
        <x:v>23</x:v>
      </x:c>
      <x:c r="Y369" s="18" t="str">
        <x:v>Artículos literales</x:v>
      </x:c>
      <x:c r="Z369" s="18" t="str">
        <x:v>Media</x:v>
      </x:c>
      <x:c r="AA369" s="18" t="str">
        <x:v>G03</x:v>
      </x:c>
      <x:c r="AB369" s="18" t="str">
        <x:v>Tribunal Constitucional</x:v>
      </x:c>
      <x:c r="AC369" s="18" t="str"/>
      <x:c r="AD369" s="18" t="str">
        <x:v>No</x:v>
      </x:c>
      <x:c r="AE369" s="18" t="str">
        <x:v>Teórico</x:v>
      </x:c>
      <x:c r="AF369" s="18" t="str">
        <x:v>D</x:v>
      </x:c>
      <x:c r="AG369" s="18" t="str">
        <x:v>D</x:v>
      </x:c>
      <x:c r="AH369" s="18" t="str">
        <x:v>Válida</x:v>
      </x:c>
      <x:c r="AI369" s="18" t="str">
        <x:v>01. Información oficial de la oposición\Exámenes oficiales anteriores\2026 Convocatoria 2025 - Acceso libre Rojo A.pdf</x:v>
      </x:c>
      <x:c r="AJ369" s="18" t="str">
        <x:v>https://www.seg-social.es/wps/portal/wss/internet/InformacionUtil/9950/88beb45d-ca83-4bab-8162-f94ef2894562/e0c83707-3358-47a9-94d7-508221dad233</x:v>
      </x:c>
      <x:c r="AK369" s="18" t="str">
        <x:v>OCR Windows es-ES sobre PDF oficial</x:v>
      </x:c>
      <x:c r="AL369" s="18" t="n">
        <x:v>100</x:v>
      </x:c>
      <x:c r="AM369" s="18" t="str">
        <x:v>Alta</x:v>
      </x:c>
      <x:c r="AN369" s="18" t="str">
        <x:v>Regla jurídica determinista</x:v>
      </x:c>
      <x:c r="AO369" s="18" t="str">
        <x:v>2026_conv2025_rojo_A-T04</x:v>
      </x:c>
      <x:c r="AP369" s="18" t="n">
        <x:v>1</x:v>
      </x:c>
    </x:row>
    <x:row r="370">
      <x:c r="A370" s="18" t="str">
        <x:v>2026_conv2025_rojo_A-T05</x:v>
      </x:c>
      <x:c r="B370" s="18" t="n">
        <x:v>2026</x:v>
      </x:c>
      <x:c r="C370" s="18" t="n">
        <x:v>2025</x:v>
      </x:c>
      <x:c r="D370" s="28" t="n">
        <x:v>46201</x:v>
      </x:c>
      <x:c r="E370" s="18" t="str">
        <x:v>Acceso libre</x:v>
      </x:c>
      <x:c r="F370" s="18" t="str">
        <x:v>Primera parte</x:v>
      </x:c>
      <x:c r="G370" s="18" t="str">
        <x:v>Rojo A</x:v>
      </x:c>
      <x:c r="H370" s="18" t="str">
        <x:v>Rojo/Verde A/B</x:v>
      </x:c>
      <x:c r="I370" s="18" t="str">
        <x:v>Sí</x:v>
      </x:c>
      <x:c r="J370" s="18" t="str">
        <x:v>Los colores y modelos reproducen el mismo conjunto de preguntas con orden y/o opciones permutados; Rojo A es la variante canónica para frecuencias y Verde A se conserva como control de cobertura.</x:v>
      </x:c>
      <x:c r="K370" s="18" t="n">
        <x:v>5</x:v>
      </x:c>
      <x:c r="L370" s="18" t="str">
        <x:v>No</x:v>
      </x:c>
      <x:c r="M370" s="18" t="str">
        <x:v>Según 10 dispuesto en el artículo 16 de la Ley Orgánica 2/1979, de 3 de octubre, del Tribunal Constitucional, en relación con la designación de los Magistrados que integran dicho tribunal, señale la opción correcta:</x:v>
      </x:c>
      <x:c r="N370" s="18" t="str">
        <x:v>Los Magistrados podrán ser reelegidos en periodos consecutivos o alternos y propuestos al Rey.</x:v>
      </x:c>
      <x:c r="O370" s="18" t="str">
        <x:v>Ningún Magistrado podrá ser propuesto al Rey para otro período inmediato, salvo que hubiera ocupado eI cargo por un plazo no superior a tres años.</x:v>
      </x:c>
      <x:c r="P370" s="18" t="str">
        <x:v>Ningún Magistrado podrá ser propuesto al Rey para otro período alterno, salvo que hubiera ocupado eI cargo por un plazo no superior a dos años.</x:v>
      </x:c>
      <x:c r="Q370" s="18" t="str">
        <x:v>Los Magistrados podrán ser propuestos al Rey para otro período inmediato.</x:v>
      </x:c>
      <x:c r="R370" s="18" t="str">
        <x:v>G03</x:v>
      </x:c>
      <x:c r="S370" s="18" t="n">
        <x:v>3</x:v>
      </x:c>
      <x:c r="T370" s="18" t="str">
        <x:v>Temario general</x:v>
      </x:c>
      <x:c r="U370" s="18" t="str">
        <x:v>El Tribunal Constitucional. Organización, composición y atribuciones.</x:v>
      </x:c>
      <x:c r="V370" s="18" t="str">
        <x:v>G03</x:v>
      </x:c>
      <x:c r="W370" s="18" t="str">
        <x:v>Ley Orgánica 2/1979</x:v>
      </x:c>
      <x:c r="X370" s="18" t="str">
        <x:v>16</x:v>
      </x:c>
      <x:c r="Y370" s="18" t="str">
        <x:v>Artículos literales</x:v>
      </x:c>
      <x:c r="Z370" s="18" t="str">
        <x:v>Media</x:v>
      </x:c>
      <x:c r="AA370" s="18" t="str">
        <x:v>G03</x:v>
      </x:c>
      <x:c r="AB370" s="18" t="str">
        <x:v>Tribunal Constitucional</x:v>
      </x:c>
      <x:c r="AC370" s="18" t="str"/>
      <x:c r="AD370" s="18" t="str">
        <x:v>No</x:v>
      </x:c>
      <x:c r="AE370" s="18" t="str">
        <x:v>Teórico</x:v>
      </x:c>
      <x:c r="AF370" s="18" t="str">
        <x:v>B</x:v>
      </x:c>
      <x:c r="AG370" s="18" t="str">
        <x:v>B</x:v>
      </x:c>
      <x:c r="AH370" s="18" t="str">
        <x:v>Válida</x:v>
      </x:c>
      <x:c r="AI370" s="18" t="str">
        <x:v>01. Información oficial de la oposición\Exámenes oficiales anteriores\2026 Convocatoria 2025 - Acceso libre Rojo A.pdf</x:v>
      </x:c>
      <x:c r="AJ370" s="18" t="str">
        <x:v>https://www.seg-social.es/wps/portal/wss/internet/InformacionUtil/9950/88beb45d-ca83-4bab-8162-f94ef2894562/e0c83707-3358-47a9-94d7-508221dad233</x:v>
      </x:c>
      <x:c r="AK370" s="18" t="str">
        <x:v>OCR Windows es-ES sobre PDF oficial</x:v>
      </x:c>
      <x:c r="AL370" s="18" t="n">
        <x:v>100</x:v>
      </x:c>
      <x:c r="AM370" s="18" t="str">
        <x:v>Alta</x:v>
      </x:c>
      <x:c r="AN370" s="18" t="str">
        <x:v>Regla jurídica determinista</x:v>
      </x:c>
      <x:c r="AO370" s="18" t="str">
        <x:v>2026_conv2025_rojo_A-T05</x:v>
      </x:c>
      <x:c r="AP370" s="18" t="n">
        <x:v>1</x:v>
      </x:c>
    </x:row>
    <x:row r="371">
      <x:c r="A371" s="18" t="str">
        <x:v>2026_conv2025_rojo_A-T06</x:v>
      </x:c>
      <x:c r="B371" s="18" t="n">
        <x:v>2026</x:v>
      </x:c>
      <x:c r="C371" s="18" t="n">
        <x:v>2025</x:v>
      </x:c>
      <x:c r="D371" s="28" t="n">
        <x:v>46201</x:v>
      </x:c>
      <x:c r="E371" s="18" t="str">
        <x:v>Acceso libre</x:v>
      </x:c>
      <x:c r="F371" s="18" t="str">
        <x:v>Primera parte</x:v>
      </x:c>
      <x:c r="G371" s="18" t="str">
        <x:v>Rojo A</x:v>
      </x:c>
      <x:c r="H371" s="18" t="str">
        <x:v>Rojo/Verde A/B</x:v>
      </x:c>
      <x:c r="I371" s="18" t="str">
        <x:v>Sí</x:v>
      </x:c>
      <x:c r="J371" s="18" t="str">
        <x:v>Los colores y modelos reproducen el mismo conjunto de preguntas con orden y/o opciones permutados; Rojo A es la variante canónica para frecuencias y Verde A se conserva como control de cobertura.</x:v>
      </x:c>
      <x:c r="K371" s="18" t="n">
        <x:v>6</x:v>
      </x:c>
      <x:c r="L371" s="18" t="str">
        <x:v>No</x:v>
      </x:c>
      <x:c r="M371" s="18" t="str">
        <x:v>Según eI artículo 59.3 de la Constitución Española, señale la afirmación correcta:</x:v>
      </x:c>
      <x:c r="N371" s="18" t="str">
        <x:v>Si no hubiere ninguna persona a quien corresponda la Regencia, ésta será nombrada por el Presidente del Gobierno, y se compondrá de una, tres o cinco personas.</x:v>
      </x:c>
      <x:c r="O371" s="18" t="str">
        <x:v>Si no hubiere ninguna persona a quien corresponda la Regencia, ésta será nombrada por las Cortes Generales, y se compondrá de una, tres o cinco personas.</x:v>
      </x:c>
      <x:c r="P371" s="18" t="str">
        <x:v>Si no hubiere ninguna persona a quien corresponda la Regencia, ésta será nombrada por el Congreso, y se compondrá de una, tres o cinco personas.</x:v>
      </x:c>
      <x:c r="Q371" s="18" t="str">
        <x:v>Si no hubiere ninguna persona a quien corresponda la Regencia, ésta será nombrada por el Senado, y se compondrá de una, tres o cinco personas.</x:v>
      </x:c>
      <x:c r="R371" s="18" t="str">
        <x:v>G04</x:v>
      </x:c>
      <x:c r="S371" s="18" t="n">
        <x:v>4</x:v>
      </x:c>
      <x:c r="T371" s="18" t="str">
        <x:v>Temario general</x:v>
      </x:c>
      <x:c r="U371" s="18" t="str">
        <x:v>La Corona. Funciones constitucionales del Rey. Sucesión y regencia. El refrendo.</x:v>
      </x:c>
      <x:c r="V371" s="18" t="str">
        <x:v>G04</x:v>
      </x:c>
      <x:c r="W371" s="18" t="str">
        <x:v>Constitución Española</x:v>
      </x:c>
      <x:c r="X371" s="18" t="str">
        <x:v>59.3</x:v>
      </x:c>
      <x:c r="Y371" s="18" t="str">
        <x:v>Artículos literales</x:v>
      </x:c>
      <x:c r="Z371" s="18" t="str">
        <x:v>Media</x:v>
      </x:c>
      <x:c r="AA371" s="18" t="str">
        <x:v>G04</x:v>
      </x:c>
      <x:c r="AB371" s="18" t="str"/>
      <x:c r="AC371" s="18" t="str"/>
      <x:c r="AD371" s="18" t="str">
        <x:v>No</x:v>
      </x:c>
      <x:c r="AE371" s="18" t="str">
        <x:v>Teórico</x:v>
      </x:c>
      <x:c r="AF371" s="18" t="str">
        <x:v>B</x:v>
      </x:c>
      <x:c r="AG371" s="18" t="str">
        <x:v>B</x:v>
      </x:c>
      <x:c r="AH371" s="18" t="str">
        <x:v>Válida</x:v>
      </x:c>
      <x:c r="AI371" s="18" t="str">
        <x:v>01. Información oficial de la oposición\Exámenes oficiales anteriores\2026 Convocatoria 2025 - Acceso libre Rojo A.pdf</x:v>
      </x:c>
      <x:c r="AJ371" s="18" t="str">
        <x:v>https://www.seg-social.es/wps/portal/wss/internet/InformacionUtil/9950/88beb45d-ca83-4bab-8162-f94ef2894562/e0c83707-3358-47a9-94d7-508221dad233</x:v>
      </x:c>
      <x:c r="AK371" s="18" t="str">
        <x:v>OCR Windows es-ES sobre PDF oficial</x:v>
      </x:c>
      <x:c r="AL371" s="18" t="n">
        <x:v>100</x:v>
      </x:c>
      <x:c r="AM371" s="18" t="str">
        <x:v>Alta</x:v>
      </x:c>
      <x:c r="AN371" s="18" t="str">
        <x:v>Regla jurídica determinista</x:v>
      </x:c>
      <x:c r="AO371" s="18" t="str">
        <x:v>2026_conv2025_rojo_A-T06</x:v>
      </x:c>
      <x:c r="AP371" s="18" t="n">
        <x:v>1</x:v>
      </x:c>
    </x:row>
    <x:row r="372">
      <x:c r="A372" s="18" t="str">
        <x:v>2026_conv2025_rojo_A-T07</x:v>
      </x:c>
      <x:c r="B372" s="18" t="n">
        <x:v>2026</x:v>
      </x:c>
      <x:c r="C372" s="18" t="n">
        <x:v>2025</x:v>
      </x:c>
      <x:c r="D372" s="28" t="n">
        <x:v>46201</x:v>
      </x:c>
      <x:c r="E372" s="18" t="str">
        <x:v>Acceso libre</x:v>
      </x:c>
      <x:c r="F372" s="18" t="str">
        <x:v>Primera parte</x:v>
      </x:c>
      <x:c r="G372" s="18" t="str">
        <x:v>Rojo A</x:v>
      </x:c>
      <x:c r="H372" s="18" t="str">
        <x:v>Rojo/Verde A/B</x:v>
      </x:c>
      <x:c r="I372" s="18" t="str">
        <x:v>Sí</x:v>
      </x:c>
      <x:c r="J372" s="18" t="str">
        <x:v>Los colores y modelos reproducen el mismo conjunto de preguntas con orden y/o opciones permutados; Rojo A es la variante canónica para frecuencias y Verde A se conserva como control de cobertura.</x:v>
      </x:c>
      <x:c r="K372" s="18" t="n">
        <x:v>7</x:v>
      </x:c>
      <x:c r="L372" s="18" t="str">
        <x:v>No</x:v>
      </x:c>
      <x:c r="M372" s="18" t="str">
        <x:v>EI artículo 68 de la Constitución Española establece que las poblaciones de Ceuta y Melilla estarán representadas en eI Congreso:</x:v>
      </x:c>
      <x:c r="N372" s="18" t="str">
        <x:v>Por dos diputados cada una de ellas.</x:v>
      </x:c>
      <x:c r="O372" s="18" t="str">
        <x:v>Por tres diputados cada una de ellas.</x:v>
      </x:c>
      <x:c r="P372" s="18" t="str">
        <x:v>Por un diputado cada una de ellas.</x:v>
      </x:c>
      <x:c r="Q372" s="18" t="str">
        <x:v>No tendrán representación en el Congreso.</x:v>
      </x:c>
      <x:c r="R372" s="18" t="str">
        <x:v>G05</x:v>
      </x:c>
      <x:c r="S372" s="18" t="n">
        <x:v>5</x:v>
      </x:c>
      <x:c r="T372" s="18" t="str">
        <x:v>Temario general</x:v>
      </x:c>
      <x:c r="U372" s="18" t="str">
        <x:v>El poder legislativo. Las Cortes Generales: Composición, atribuciones y funcionamiento. El Defensor del Pueblo.</x:v>
      </x:c>
      <x:c r="V372" s="18" t="str">
        <x:v>G05</x:v>
      </x:c>
      <x:c r="W372" s="18" t="str">
        <x:v>Constitución Española</x:v>
      </x:c>
      <x:c r="X372" s="18" t="str">
        <x:v>68</x:v>
      </x:c>
      <x:c r="Y372" s="18" t="str">
        <x:v>Artículos literales</x:v>
      </x:c>
      <x:c r="Z372" s="18" t="str">
        <x:v>Media</x:v>
      </x:c>
      <x:c r="AA372" s="18" t="str">
        <x:v>G05</x:v>
      </x:c>
      <x:c r="AB372" s="18" t="str"/>
      <x:c r="AC372" s="18" t="str"/>
      <x:c r="AD372" s="18" t="str">
        <x:v>No</x:v>
      </x:c>
      <x:c r="AE372" s="18" t="str">
        <x:v>Teórico</x:v>
      </x:c>
      <x:c r="AF372" s="18" t="str">
        <x:v>C</x:v>
      </x:c>
      <x:c r="AG372" s="18" t="str">
        <x:v>C</x:v>
      </x:c>
      <x:c r="AH372" s="18" t="str">
        <x:v>Válida</x:v>
      </x:c>
      <x:c r="AI372" s="18" t="str">
        <x:v>01. Información oficial de la oposición\Exámenes oficiales anteriores\2026 Convocatoria 2025 - Acceso libre Rojo A.pdf</x:v>
      </x:c>
      <x:c r="AJ372" s="18" t="str">
        <x:v>https://www.seg-social.es/wps/portal/wss/internet/InformacionUtil/9950/88beb45d-ca83-4bab-8162-f94ef2894562/e0c83707-3358-47a9-94d7-508221dad233</x:v>
      </x:c>
      <x:c r="AK372" s="18" t="str">
        <x:v>OCR Windows es-ES sobre PDF oficial</x:v>
      </x:c>
      <x:c r="AL372" s="18" t="n">
        <x:v>100</x:v>
      </x:c>
      <x:c r="AM372" s="18" t="str">
        <x:v>Alta</x:v>
      </x:c>
      <x:c r="AN372" s="18" t="str">
        <x:v>Regla jurídica determinista</x:v>
      </x:c>
      <x:c r="AO372" s="18" t="str">
        <x:v>2026_conv2025_rojo_A-T07</x:v>
      </x:c>
      <x:c r="AP372" s="18" t="n">
        <x:v>1</x:v>
      </x:c>
    </x:row>
    <x:row r="373">
      <x:c r="A373" s="18" t="str">
        <x:v>2026_conv2025_rojo_A-T08</x:v>
      </x:c>
      <x:c r="B373" s="18" t="n">
        <x:v>2026</x:v>
      </x:c>
      <x:c r="C373" s="18" t="n">
        <x:v>2025</x:v>
      </x:c>
      <x:c r="D373" s="28" t="n">
        <x:v>46201</x:v>
      </x:c>
      <x:c r="E373" s="18" t="str">
        <x:v>Acceso libre</x:v>
      </x:c>
      <x:c r="F373" s="18" t="str">
        <x:v>Primera parte</x:v>
      </x:c>
      <x:c r="G373" s="18" t="str">
        <x:v>Rojo A</x:v>
      </x:c>
      <x:c r="H373" s="18" t="str">
        <x:v>Rojo/Verde A/B</x:v>
      </x:c>
      <x:c r="I373" s="18" t="str">
        <x:v>Sí</x:v>
      </x:c>
      <x:c r="J373" s="18" t="str">
        <x:v>Los colores y modelos reproducen el mismo conjunto de preguntas con orden y/o opciones permutados; Rojo A es la variante canónica para frecuencias y Verde A se conserva como control de cobertura.</x:v>
      </x:c>
      <x:c r="K373" s="18" t="n">
        <x:v>8</x:v>
      </x:c>
      <x:c r="L373" s="18" t="str">
        <x:v>No</x:v>
      </x:c>
      <x:c r="M373" s="18" t="str">
        <x:v>En virtud del artículo 73 de la Constitución Española, las Cámaras se reunirán anualmente en dos períodos ordinarios de sesiones:</x:v>
      </x:c>
      <x:c r="N373" s="18" t="str">
        <x:v>EI primero, de octubre a diciembre, y el segundo, de enero a junio.</x:v>
      </x:c>
      <x:c r="O373" s="18" t="str">
        <x:v>EI primero, de septiembre a diciembre, y el segundo, de febrero a junio.</x:v>
      </x:c>
      <x:c r="P373" s="18" t="str">
        <x:v>EI primero, de septiembre a enero, y el segundo, de marzo a junio.</x:v>
      </x:c>
      <x:c r="Q373" s="18" t="str">
        <x:v>EI primero, de septiembre a diciembre, y eI segundo, de febrero a julio.</x:v>
      </x:c>
      <x:c r="R373" s="18" t="str">
        <x:v>G05</x:v>
      </x:c>
      <x:c r="S373" s="18" t="n">
        <x:v>5</x:v>
      </x:c>
      <x:c r="T373" s="18" t="str">
        <x:v>Temario general</x:v>
      </x:c>
      <x:c r="U373" s="18" t="str">
        <x:v>El poder legislativo. Las Cortes Generales: Composición, atribuciones y funcionamiento. El Defensor del Pueblo.</x:v>
      </x:c>
      <x:c r="V373" s="18" t="str">
        <x:v>G05</x:v>
      </x:c>
      <x:c r="W373" s="18" t="str">
        <x:v>Constitución Española</x:v>
      </x:c>
      <x:c r="X373" s="18" t="str">
        <x:v>73</x:v>
      </x:c>
      <x:c r="Y373" s="18" t="str">
        <x:v>Artículos literales</x:v>
      </x:c>
      <x:c r="Z373" s="18" t="str">
        <x:v>Media</x:v>
      </x:c>
      <x:c r="AA373" s="18" t="str">
        <x:v>G05</x:v>
      </x:c>
      <x:c r="AB373" s="18" t="str"/>
      <x:c r="AC373" s="18" t="str"/>
      <x:c r="AD373" s="18" t="str">
        <x:v>No</x:v>
      </x:c>
      <x:c r="AE373" s="18" t="str">
        <x:v>Teórico</x:v>
      </x:c>
      <x:c r="AF373" s="18" t="str">
        <x:v>B</x:v>
      </x:c>
      <x:c r="AG373" s="18" t="str">
        <x:v>B</x:v>
      </x:c>
      <x:c r="AH373" s="18" t="str">
        <x:v>Válida</x:v>
      </x:c>
      <x:c r="AI373" s="18" t="str">
        <x:v>01. Información oficial de la oposición\Exámenes oficiales anteriores\2026 Convocatoria 2025 - Acceso libre Rojo A.pdf</x:v>
      </x:c>
      <x:c r="AJ373" s="18" t="str">
        <x:v>https://www.seg-social.es/wps/portal/wss/internet/InformacionUtil/9950/88beb45d-ca83-4bab-8162-f94ef2894562/e0c83707-3358-47a9-94d7-508221dad233</x:v>
      </x:c>
      <x:c r="AK373" s="18" t="str">
        <x:v>OCR Windows es-ES sobre PDF oficial</x:v>
      </x:c>
      <x:c r="AL373" s="18" t="n">
        <x:v>100</x:v>
      </x:c>
      <x:c r="AM373" s="18" t="str">
        <x:v>Alta</x:v>
      </x:c>
      <x:c r="AN373" s="18" t="str">
        <x:v>Regla jurídica determinista</x:v>
      </x:c>
      <x:c r="AO373" s="18" t="str">
        <x:v>2026_conv2025_rojo_A-T08</x:v>
      </x:c>
      <x:c r="AP373" s="18" t="n">
        <x:v>1</x:v>
      </x:c>
    </x:row>
    <x:row r="374">
      <x:c r="A374" s="18" t="str">
        <x:v>2026_conv2025_rojo_A-T09</x:v>
      </x:c>
      <x:c r="B374" s="18" t="n">
        <x:v>2026</x:v>
      </x:c>
      <x:c r="C374" s="18" t="n">
        <x:v>2025</x:v>
      </x:c>
      <x:c r="D374" s="28" t="n">
        <x:v>46201</x:v>
      </x:c>
      <x:c r="E374" s="18" t="str">
        <x:v>Acceso libre</x:v>
      </x:c>
      <x:c r="F374" s="18" t="str">
        <x:v>Primera parte</x:v>
      </x:c>
      <x:c r="G374" s="18" t="str">
        <x:v>Rojo A</x:v>
      </x:c>
      <x:c r="H374" s="18" t="str">
        <x:v>Rojo/Verde A/B</x:v>
      </x:c>
      <x:c r="I374" s="18" t="str">
        <x:v>Sí</x:v>
      </x:c>
      <x:c r="J374" s="18" t="str">
        <x:v>Los colores y modelos reproducen el mismo conjunto de preguntas con orden y/o opciones permutados; Rojo A es la variante canónica para frecuencias y Verde A se conserva como control de cobertura.</x:v>
      </x:c>
      <x:c r="K374" s="18" t="n">
        <x:v>9</x:v>
      </x:c>
      <x:c r="L374" s="18" t="str">
        <x:v>No</x:v>
      </x:c>
      <x:c r="M374" s="18" t="str">
        <x:v>Señale la respuesta correcta en relación con qué Salas integran el Tribunal Supremo y su orden, según se determina en el artículo 55 de la Ley Orgánica 6/1985, de 1 de julio, del Poder Judicial:</x:v>
      </x:c>
      <x:c r="N374" s="18" t="str">
        <x:v>Sala I de Apelación, II de Instrucción, III de 10 Penal, IV de Menores.</x:v>
      </x:c>
      <x:c r="O374" s="18" t="str">
        <x:v>Sala I de 10 Civil, II de 10 Penal, III de Menores, IV de 10 Social y V de Vigilancia Penitenciaria.</x:v>
      </x:c>
      <x:c r="P374" s="18" t="str">
        <x:v>Sala I de 10 Civil y Penal, II de 10 Contencioso -Administrativo, III de 10 Social, IV de 10 Militar.</x:v>
      </x:c>
      <x:c r="Q374" s="18" t="str">
        <x:v>Sala I de 10 Civil, II de 10 Penal, III de 10 Contencioso -Administrativo, IV de 10 Social y V de 10 Militar.</x:v>
      </x:c>
      <x:c r="R374" s="18" t="str">
        <x:v>G06</x:v>
      </x:c>
      <x:c r="S374" s="18" t="n">
        <x:v>6</x:v>
      </x:c>
      <x:c r="T374" s="18" t="str">
        <x:v>Temario general</x:v>
      </x:c>
      <x:c r="U374" s="18" t="str">
        <x:v>El Poder Judicial. El principio de unidad jurisdiccional. El Consejo General del Poder Judicial. La organización judicial española.</x:v>
      </x:c>
      <x:c r="V374" s="18" t="str">
        <x:v>G06</x:v>
      </x:c>
      <x:c r="W374" s="18" t="str">
        <x:v>Ley Orgánica 6/1985</x:v>
      </x:c>
      <x:c r="X374" s="18" t="str">
        <x:v>55</x:v>
      </x:c>
      <x:c r="Y374" s="18" t="str">
        <x:v>Artículos literales</x:v>
      </x:c>
      <x:c r="Z374" s="18" t="str">
        <x:v>Media</x:v>
      </x:c>
      <x:c r="AA374" s="18" t="str">
        <x:v>G06</x:v>
      </x:c>
      <x:c r="AB374" s="18" t="str">
        <x:v>Tribunal Supremo</x:v>
      </x:c>
      <x:c r="AC374" s="18" t="str"/>
      <x:c r="AD374" s="18" t="str">
        <x:v>No</x:v>
      </x:c>
      <x:c r="AE374" s="18" t="str">
        <x:v>Teórico</x:v>
      </x:c>
      <x:c r="AF374" s="18" t="str">
        <x:v>D</x:v>
      </x:c>
      <x:c r="AG374" s="18" t="str">
        <x:v>D</x:v>
      </x:c>
      <x:c r="AH374" s="18" t="str">
        <x:v>Válida</x:v>
      </x:c>
      <x:c r="AI374" s="18" t="str">
        <x:v>01. Información oficial de la oposición\Exámenes oficiales anteriores\2026 Convocatoria 2025 - Acceso libre Rojo A.pdf</x:v>
      </x:c>
      <x:c r="AJ374" s="18" t="str">
        <x:v>https://www.seg-social.es/wps/portal/wss/internet/InformacionUtil/9950/88beb45d-ca83-4bab-8162-f94ef2894562/e0c83707-3358-47a9-94d7-508221dad233</x:v>
      </x:c>
      <x:c r="AK374" s="18" t="str">
        <x:v>OCR Windows es-ES sobre PDF oficial</x:v>
      </x:c>
      <x:c r="AL374" s="18" t="n">
        <x:v>100</x:v>
      </x:c>
      <x:c r="AM374" s="18" t="str">
        <x:v>Alta</x:v>
      </x:c>
      <x:c r="AN374" s="18" t="str">
        <x:v>Regla jurídica determinista</x:v>
      </x:c>
      <x:c r="AO374" s="18" t="str">
        <x:v>2026_conv2025_rojo_A-T09</x:v>
      </x:c>
      <x:c r="AP374" s="18" t="n">
        <x:v>1</x:v>
      </x:c>
    </x:row>
    <x:row r="375">
      <x:c r="A375" s="18" t="str">
        <x:v>2026_conv2025_rojo_A-T10</x:v>
      </x:c>
      <x:c r="B375" s="18" t="n">
        <x:v>2026</x:v>
      </x:c>
      <x:c r="C375" s="18" t="n">
        <x:v>2025</x:v>
      </x:c>
      <x:c r="D375" s="28" t="n">
        <x:v>46201</x:v>
      </x:c>
      <x:c r="E375" s="18" t="str">
        <x:v>Acceso libre</x:v>
      </x:c>
      <x:c r="F375" s="18" t="str">
        <x:v>Primera parte</x:v>
      </x:c>
      <x:c r="G375" s="18" t="str">
        <x:v>Rojo A</x:v>
      </x:c>
      <x:c r="H375" s="18" t="str">
        <x:v>Rojo/Verde A/B</x:v>
      </x:c>
      <x:c r="I375" s="18" t="str">
        <x:v>Sí</x:v>
      </x:c>
      <x:c r="J375" s="18" t="str">
        <x:v>Los colores y modelos reproducen el mismo conjunto de preguntas con orden y/o opciones permutados; Rojo A es la variante canónica para frecuencias y Verde A se conserva como control de cobertura.</x:v>
      </x:c>
      <x:c r="K375" s="18" t="n">
        <x:v>10</x:v>
      </x:c>
      <x:c r="L375" s="18" t="str">
        <x:v>No</x:v>
      </x:c>
      <x:c r="M375" s="18" t="str">
        <x:v>Conforme al artículo 113 de la Constitución Española, la moción de censura:</x:v>
      </x:c>
      <x:c r="N375" s="18" t="str">
        <x:v>Será aprobada por mayoría simple del Congreso de los Diputados y, posteriormente, por mayoría absoluta del Senado.</x:v>
      </x:c>
      <x:c r="O375" s="18" t="str">
        <x:v>Será aprobada por mayoría absoluta del Senado.</x:v>
      </x:c>
      <x:c r="P375" s="18" t="str">
        <x:v>Será aprobada por mayoría simple de ambas Cámaras.</x:v>
      </x:c>
      <x:c r="Q375" s="18" t="str">
        <x:v>Será aprobada por mayoría absoluta del Congreso de los Diputados.</x:v>
      </x:c>
      <x:c r="R375" s="18" t="str">
        <x:v>G07</x:v>
      </x:c>
      <x:c r="S375" s="18" t="n">
        <x:v>7</x:v>
      </x:c>
      <x:c r="T375" s="18" t="str">
        <x:v>Temario general</x:v>
      </x:c>
      <x:c r="U375" s="18" t="str">
        <x:v>El poder ejecutivo. El presidente del Gobierno y el Consejo de Ministros. Relaciones entre el Gobierno y las Cortes Generales. Designación, causas de cese y responsabilidad del Gobierno. El Consejo de Estado.</x:v>
      </x:c>
      <x:c r="V375" s="18" t="str">
        <x:v>G07</x:v>
      </x:c>
      <x:c r="W375" s="18" t="str">
        <x:v>Constitución Española</x:v>
      </x:c>
      <x:c r="X375" s="18" t="str">
        <x:v>113</x:v>
      </x:c>
      <x:c r="Y375" s="18" t="str">
        <x:v>Artículos literales</x:v>
      </x:c>
      <x:c r="Z375" s="18" t="str">
        <x:v>Media</x:v>
      </x:c>
      <x:c r="AA375" s="18" t="str">
        <x:v>G07</x:v>
      </x:c>
      <x:c r="AB375" s="18" t="str"/>
      <x:c r="AC375" s="18" t="str"/>
      <x:c r="AD375" s="18" t="str">
        <x:v>No</x:v>
      </x:c>
      <x:c r="AE375" s="18" t="str">
        <x:v>Teórico</x:v>
      </x:c>
      <x:c r="AF375" s="18" t="str">
        <x:v>D</x:v>
      </x:c>
      <x:c r="AG375" s="18" t="str">
        <x:v>D</x:v>
      </x:c>
      <x:c r="AH375" s="18" t="str">
        <x:v>Válida</x:v>
      </x:c>
      <x:c r="AI375" s="18" t="str">
        <x:v>01. Información oficial de la oposición\Exámenes oficiales anteriores\2026 Convocatoria 2025 - Acceso libre Rojo A.pdf</x:v>
      </x:c>
      <x:c r="AJ375" s="18" t="str">
        <x:v>https://www.seg-social.es/wps/portal/wss/internet/InformacionUtil/9950/88beb45d-ca83-4bab-8162-f94ef2894562/e0c83707-3358-47a9-94d7-508221dad233</x:v>
      </x:c>
      <x:c r="AK375" s="18" t="str">
        <x:v>OCR Windows es-ES sobre PDF oficial</x:v>
      </x:c>
      <x:c r="AL375" s="18" t="n">
        <x:v>100</x:v>
      </x:c>
      <x:c r="AM375" s="18" t="str">
        <x:v>Alta</x:v>
      </x:c>
      <x:c r="AN375" s="18" t="str">
        <x:v>Regla jurídica determinista</x:v>
      </x:c>
      <x:c r="AO375" s="18" t="str">
        <x:v>2026_conv2025_rojo_A-T10</x:v>
      </x:c>
      <x:c r="AP375" s="18" t="n">
        <x:v>1</x:v>
      </x:c>
    </x:row>
    <x:row r="376">
      <x:c r="A376" s="18" t="str">
        <x:v>2026_conv2025_rojo_A-T11</x:v>
      </x:c>
      <x:c r="B376" s="18" t="n">
        <x:v>2026</x:v>
      </x:c>
      <x:c r="C376" s="18" t="n">
        <x:v>2025</x:v>
      </x:c>
      <x:c r="D376" s="28" t="n">
        <x:v>46201</x:v>
      </x:c>
      <x:c r="E376" s="18" t="str">
        <x:v>Acceso libre</x:v>
      </x:c>
      <x:c r="F376" s="18" t="str">
        <x:v>Primera parte</x:v>
      </x:c>
      <x:c r="G376" s="18" t="str">
        <x:v>Rojo A</x:v>
      </x:c>
      <x:c r="H376" s="18" t="str">
        <x:v>Rojo/Verde A/B</x:v>
      </x:c>
      <x:c r="I376" s="18" t="str">
        <x:v>Sí</x:v>
      </x:c>
      <x:c r="J376" s="18" t="str">
        <x:v>Los colores y modelos reproducen el mismo conjunto de preguntas con orden y/o opciones permutados; Rojo A es la variante canónica para frecuencias y Verde A se conserva como control de cobertura.</x:v>
      </x:c>
      <x:c r="K376" s="18" t="n">
        <x:v>11</x:v>
      </x:c>
      <x:c r="L376" s="18" t="str">
        <x:v>No</x:v>
      </x:c>
      <x:c r="M376" s="18" t="str">
        <x:v>Según los artículos 57 y 58 de la Ley 40/2015, de I de octubre, de Régimen Jurídico del Sector Público, señale la respuesta correcta respecto a la organización y funcionamiento de los Departamentos Ministeriales:</x:v>
      </x:c>
      <x:c r="N376" s="18" t="str">
        <x:v>En los Ministerios puede existir una Subsecretaría, y dependiendo de ella una Secretaría General Técnica, para la gestión de los servicios comunes previstos en la Ley de Régimen Jurídico del Sector Público.</x:v>
      </x:c>
      <x:c r="O376" s="18" t="str">
        <x:v>La determinación del número, la denominación y el ámbito de competencia respectivo de los Ministerios y las Secretarías de Estado se establecen mediante real decreto del Consejo de Ministros.</x:v>
      </x:c>
      <x:c r="P376" s="18" t="str">
        <x:v>Los Ministerios contarán, en todo caso, con Secretarias de Estado, y Secretarías Generales, para la gestión de un sector de actividad administrativa. De ellas dependerán jerárquicamente los órganos directivos que se les adscriban.</x:v>
      </x:c>
      <x:c r="Q376" s="18" t="str">
        <x:v>Las Direcciones Generales son los órganos de gestión de una o varias áreas funcionalmente homogéneas.</x:v>
      </x:c>
      <x:c r="R376" s="18" t="str">
        <x:v>G08</x:v>
      </x:c>
      <x:c r="S376" s="18" t="n">
        <x:v>8</x:v>
      </x:c>
      <x:c r="T376" s="18" t="str">
        <x:v>Temario general</x:v>
      </x:c>
      <x:c r="U376" s="18" t="str">
        <x:v>La Administración General del Estado. Principios de organización y funcionamiento. Órganos centrales. Órganos superiores y órganos directivos: creación, nombramiento, cese y funciones. Los servicios comunes de los ministerios. Órganos territoriales. La Administración del Estado en el Exterior.</x:v>
      </x:c>
      <x:c r="V376" s="18" t="str">
        <x:v>G08</x:v>
      </x:c>
      <x:c r="W376" s="18" t="str">
        <x:v>Ley 40/2015</x:v>
      </x:c>
      <x:c r="X376" s="18" t="str">
        <x:v>57 y 58</x:v>
      </x:c>
      <x:c r="Y376" s="18" t="str">
        <x:v>Artículos literales</x:v>
      </x:c>
      <x:c r="Z376" s="18" t="str">
        <x:v>Media</x:v>
      </x:c>
      <x:c r="AA376" s="18" t="str">
        <x:v>G08</x:v>
      </x:c>
      <x:c r="AB376" s="18" t="str"/>
      <x:c r="AC376" s="18" t="str"/>
      <x:c r="AD376" s="18" t="str">
        <x:v>No</x:v>
      </x:c>
      <x:c r="AE376" s="18" t="str">
        <x:v>Teórico</x:v>
      </x:c>
      <x:c r="AF376" s="18" t="str">
        <x:v>D</x:v>
      </x:c>
      <x:c r="AG376" s="18" t="str">
        <x:v>D</x:v>
      </x:c>
      <x:c r="AH376" s="18" t="str">
        <x:v>Válida</x:v>
      </x:c>
      <x:c r="AI376" s="18" t="str">
        <x:v>01. Información oficial de la oposición\Exámenes oficiales anteriores\2026 Convocatoria 2025 - Acceso libre Rojo A.pdf</x:v>
      </x:c>
      <x:c r="AJ376" s="18" t="str">
        <x:v>https://www.seg-social.es/wps/portal/wss/internet/InformacionUtil/9950/88beb45d-ca83-4bab-8162-f94ef2894562/e0c83707-3358-47a9-94d7-508221dad233</x:v>
      </x:c>
      <x:c r="AK376" s="18" t="str">
        <x:v>OCR Windows es-ES sobre PDF oficial</x:v>
      </x:c>
      <x:c r="AL376" s="18" t="n">
        <x:v>100</x:v>
      </x:c>
      <x:c r="AM376" s="18" t="str">
        <x:v>Alta</x:v>
      </x:c>
      <x:c r="AN376" s="18" t="str">
        <x:v>Regla jurídica determinista</x:v>
      </x:c>
      <x:c r="AO376" s="18" t="str">
        <x:v>2026_conv2025_rojo_A-T11</x:v>
      </x:c>
      <x:c r="AP376" s="18" t="n">
        <x:v>1</x:v>
      </x:c>
    </x:row>
    <x:row r="377">
      <x:c r="A377" s="18" t="str">
        <x:v>2026_conv2025_rojo_A-T12</x:v>
      </x:c>
      <x:c r="B377" s="18" t="n">
        <x:v>2026</x:v>
      </x:c>
      <x:c r="C377" s="18" t="n">
        <x:v>2025</x:v>
      </x:c>
      <x:c r="D377" s="28" t="n">
        <x:v>46201</x:v>
      </x:c>
      <x:c r="E377" s="18" t="str">
        <x:v>Acceso libre</x:v>
      </x:c>
      <x:c r="F377" s="18" t="str">
        <x:v>Primera parte</x:v>
      </x:c>
      <x:c r="G377" s="18" t="str">
        <x:v>Rojo A</x:v>
      </x:c>
      <x:c r="H377" s="18" t="str">
        <x:v>Rojo/Verde A/B</x:v>
      </x:c>
      <x:c r="I377" s="18" t="str">
        <x:v>Sí</x:v>
      </x:c>
      <x:c r="J377" s="18" t="str">
        <x:v>Los colores y modelos reproducen el mismo conjunto de preguntas con orden y/o opciones permutados; Rojo A es la variante canónica para frecuencias y Verde A se conserva como control de cobertura.</x:v>
      </x:c>
      <x:c r="K377" s="18" t="n">
        <x:v>12</x:v>
      </x:c>
      <x:c r="L377" s="18" t="str">
        <x:v>No</x:v>
      </x:c>
      <x:c r="M377" s="18" t="str">
        <x:v>Determine cuál de las siguientes es una competencia ejercida por el Subsecretario:</x:v>
      </x:c>
      <x:c r="N377" s="18" t="str">
        <x:v>Conceder subvenciones y ayudas con cargo a los créditos de gasto propios de la Secretaría de Estado, con los límites establecidos por el titular del Departamento.</x:v>
      </x:c>
      <x:c r="O377" s="18" t="str">
        <x:v>Convocar y resolver los concursos de personal funcionario.</x:v>
      </x:c>
      <x:c r="P377" s="18" t="str">
        <x:v>Imponer la sanción de separación del servicio por faltas muy graves.</x:v>
      </x:c>
      <x:c r="Q377" s="18" t="str">
        <x:v>Aprobar las propuestas de los estados de gastos del Ministerio, y de los presupuestos de los Organismos públicos dependientes y remitirlas al Ministerio de Hacienda y Administraciones Públicas.</x:v>
      </x:c>
      <x:c r="R377" s="18" t="str">
        <x:v>G08</x:v>
      </x:c>
      <x:c r="S377" s="18" t="n">
        <x:v>8</x:v>
      </x:c>
      <x:c r="T377" s="18" t="str">
        <x:v>Temario general</x:v>
      </x:c>
      <x:c r="U377" s="18" t="str">
        <x:v>La Administración General del Estado. Principios de organización y funcionamiento. Órganos centrales. Órganos superiores y órganos directivos: creación, nombramiento, cese y funciones. Los servicios comunes de los ministerios. Órganos territoriales. La Administración del Estado en el Exterior.</x:v>
      </x:c>
      <x:c r="V377" s="18" t="str">
        <x:v>G08</x:v>
      </x:c>
      <x:c r="W377" s="18" t="str"/>
      <x:c r="X377" s="18" t="str"/>
      <x:c r="Y377" s="18" t="str">
        <x:v>Competencias</x:v>
      </x:c>
      <x:c r="Z377" s="18" t="str">
        <x:v>Básica</x:v>
      </x:c>
      <x:c r="AA377" s="18" t="str">
        <x:v>G08</x:v>
      </x:c>
      <x:c r="AB377" s="18" t="str"/>
      <x:c r="AC377" s="18" t="str"/>
      <x:c r="AD377" s="18" t="str">
        <x:v>No</x:v>
      </x:c>
      <x:c r="AE377" s="18" t="str">
        <x:v>Teórico</x:v>
      </x:c>
      <x:c r="AF377" s="18" t="str">
        <x:v>B</x:v>
      </x:c>
      <x:c r="AG377" s="18" t="str">
        <x:v>B</x:v>
      </x:c>
      <x:c r="AH377" s="18" t="str">
        <x:v>Válida</x:v>
      </x:c>
      <x:c r="AI377" s="18" t="str">
        <x:v>01. Información oficial de la oposición\Exámenes oficiales anteriores\2026 Convocatoria 2025 - Acceso libre Rojo A.pdf</x:v>
      </x:c>
      <x:c r="AJ377" s="18" t="str">
        <x:v>https://www.seg-social.es/wps/portal/wss/internet/InformacionUtil/9950/88beb45d-ca83-4bab-8162-f94ef2894562/e0c83707-3358-47a9-94d7-508221dad233</x:v>
      </x:c>
      <x:c r="AK377" s="18" t="str">
        <x:v>OCR Windows es-ES sobre PDF oficial</x:v>
      </x:c>
      <x:c r="AL377" s="18" t="n">
        <x:v>100</x:v>
      </x:c>
      <x:c r="AM377" s="18" t="str">
        <x:v>Alta</x:v>
      </x:c>
      <x:c r="AN377" s="18" t="str">
        <x:v>Regla jurídica determinista</x:v>
      </x:c>
      <x:c r="AO377" s="18" t="str">
        <x:v>2026_conv2025_rojo_A-T12</x:v>
      </x:c>
      <x:c r="AP377" s="18" t="n">
        <x:v>1</x:v>
      </x:c>
    </x:row>
    <x:row r="378">
      <x:c r="A378" s="18" t="str">
        <x:v>2026_conv2025_rojo_A-T13</x:v>
      </x:c>
      <x:c r="B378" s="18" t="n">
        <x:v>2026</x:v>
      </x:c>
      <x:c r="C378" s="18" t="n">
        <x:v>2025</x:v>
      </x:c>
      <x:c r="D378" s="28" t="n">
        <x:v>46201</x:v>
      </x:c>
      <x:c r="E378" s="18" t="str">
        <x:v>Acceso libre</x:v>
      </x:c>
      <x:c r="F378" s="18" t="str">
        <x:v>Primera parte</x:v>
      </x:c>
      <x:c r="G378" s="18" t="str">
        <x:v>Rojo A</x:v>
      </x:c>
      <x:c r="H378" s="18" t="str">
        <x:v>Rojo/Verde A/B</x:v>
      </x:c>
      <x:c r="I378" s="18" t="str">
        <x:v>Sí</x:v>
      </x:c>
      <x:c r="J378" s="18" t="str">
        <x:v>Los colores y modelos reproducen el mismo conjunto de preguntas con orden y/o opciones permutados; Rojo A es la variante canónica para frecuencias y Verde A se conserva como control de cobertura.</x:v>
      </x:c>
      <x:c r="K378" s="18" t="n">
        <x:v>13</x:v>
      </x:c>
      <x:c r="L378" s="18" t="str">
        <x:v>No</x:v>
      </x:c>
      <x:c r="M378" s="18" t="str">
        <x:v>Según eI artículo 155 de la Constitución Española, ¿Qué requisito es imprescindible para que el Gobierno pueda adoptar las medidas necesarias para obligar a una comunidad autónoma al cumplimiento forzoso de sus obligaciones?</x:v>
      </x:c>
      <x:c r="N378" s="18" t="str">
        <x:v>Un requerimiento previo al presidente de la comunidad autónoma, y en caso de no ser atendida, la aprobación por mayoría absoluta del Senado.</x:v>
      </x:c>
      <x:c r="O378" s="18" t="str">
        <x:v>Un requerimiento previo al presidente de la comunidad autónoma, y en caso de no ser atendida, la aprobación por mayoría absoluta del Congreso.</x:v>
      </x:c>
      <x:c r="P378" s="18" t="str">
        <x:v>Un requerimiento previo al presidente de la comunidad autónoma, y en caso de no ser atendida, la aprobación por mayoría simple del Congreso.</x:v>
      </x:c>
      <x:c r="Q378" s="18" t="str">
        <x:v>La autorización previa del Tribunal Constitucional a petición del presidente del Gobierno.</x:v>
      </x:c>
      <x:c r="R378" s="18" t="str">
        <x:v>G09</x:v>
      </x:c>
      <x:c r="S378" s="18" t="n">
        <x:v>9</x:v>
      </x:c>
      <x:c r="T378" s="18" t="str">
        <x:v>Temario general</x:v>
      </x:c>
      <x:c r="U378" s="18" t="str">
        <x:v>La organización territorial del Estado. Las Comunidades Autónomas. Los Estatutos de Autonomía. La delimitación de competencias entre el Estado y las Comunidades Autónomas en la Constitución y en los Estatutos de Autonomía. La Administración local: El municipio. La provincia.</x:v>
      </x:c>
      <x:c r="V378" s="18" t="str">
        <x:v>G09</x:v>
      </x:c>
      <x:c r="W378" s="18" t="str">
        <x:v>Constitución Española</x:v>
      </x:c>
      <x:c r="X378" s="18" t="str">
        <x:v>155</x:v>
      </x:c>
      <x:c r="Y378" s="18" t="str">
        <x:v>Requisitos</x:v>
      </x:c>
      <x:c r="Z378" s="18" t="str">
        <x:v>Media</x:v>
      </x:c>
      <x:c r="AA378" s="18" t="str">
        <x:v>G09</x:v>
      </x:c>
      <x:c r="AB378" s="18" t="str"/>
      <x:c r="AC378" s="18" t="str"/>
      <x:c r="AD378" s="18" t="str">
        <x:v>No</x:v>
      </x:c>
      <x:c r="AE378" s="18" t="str">
        <x:v>Teórico</x:v>
      </x:c>
      <x:c r="AF378" s="18" t="str">
        <x:v>A</x:v>
      </x:c>
      <x:c r="AG378" s="18" t="str">
        <x:v>A</x:v>
      </x:c>
      <x:c r="AH378" s="18" t="str">
        <x:v>Válida</x:v>
      </x:c>
      <x:c r="AI378" s="18" t="str">
        <x:v>01. Información oficial de la oposición\Exámenes oficiales anteriores\2026 Convocatoria 2025 - Acceso libre Rojo A.pdf</x:v>
      </x:c>
      <x:c r="AJ378" s="18" t="str">
        <x:v>https://www.seg-social.es/wps/portal/wss/internet/InformacionUtil/9950/88beb45d-ca83-4bab-8162-f94ef2894562/e0c83707-3358-47a9-94d7-508221dad233</x:v>
      </x:c>
      <x:c r="AK378" s="18" t="str">
        <x:v>OCR Windows es-ES sobre PDF oficial</x:v>
      </x:c>
      <x:c r="AL378" s="18" t="n">
        <x:v>100</x:v>
      </x:c>
      <x:c r="AM378" s="18" t="str">
        <x:v>Alta</x:v>
      </x:c>
      <x:c r="AN378" s="18" t="str">
        <x:v>Regla jurídica determinista</x:v>
      </x:c>
      <x:c r="AO378" s="18" t="str">
        <x:v>2026_conv2025_rojo_A-T13</x:v>
      </x:c>
      <x:c r="AP378" s="18" t="n">
        <x:v>1</x:v>
      </x:c>
    </x:row>
    <x:row r="379">
      <x:c r="A379" s="18" t="str">
        <x:v>2026_conv2025_rojo_A-T14</x:v>
      </x:c>
      <x:c r="B379" s="18" t="n">
        <x:v>2026</x:v>
      </x:c>
      <x:c r="C379" s="18" t="n">
        <x:v>2025</x:v>
      </x:c>
      <x:c r="D379" s="28" t="n">
        <x:v>46201</x:v>
      </x:c>
      <x:c r="E379" s="18" t="str">
        <x:v>Acceso libre</x:v>
      </x:c>
      <x:c r="F379" s="18" t="str">
        <x:v>Primera parte</x:v>
      </x:c>
      <x:c r="G379" s="18" t="str">
        <x:v>Rojo A</x:v>
      </x:c>
      <x:c r="H379" s="18" t="str">
        <x:v>Rojo/Verde A/B</x:v>
      </x:c>
      <x:c r="I379" s="18" t="str">
        <x:v>Sí</x:v>
      </x:c>
      <x:c r="J379" s="18" t="str">
        <x:v>Los colores y modelos reproducen el mismo conjunto de preguntas con orden y/o opciones permutados; Rojo A es la variante canónica para frecuencias y Verde A se conserva como control de cobertura.</x:v>
      </x:c>
      <x:c r="K379" s="18" t="n">
        <x:v>14</x:v>
      </x:c>
      <x:c r="L379" s="18" t="str">
        <x:v>No</x:v>
      </x:c>
      <x:c r="M379" s="18" t="str">
        <x:v>De acuerdo con eI artículo 14, apartado 1, del Tratado de la Unión Europea, eI Parlamento Europeo ejercerá, conjuntamente con el Consejo:</x:v>
      </x:c>
      <x:c r="N379" s="18" t="str">
        <x:v>La función legislativa y la función presupuestaria.</x:v>
      </x:c>
      <x:c r="O379" s="18" t="str">
        <x:v>La función de control político y la elección del Presidente de la Comisión.</x:v>
      </x:c>
      <x:c r="P379" s="18" t="str">
        <x:v>La función jurisdiccional y la garantía del respeto del Derecho.</x:v>
      </x:c>
      <x:c r="Q379" s="18" t="str">
        <x:v>La función ejecutiva y la representación exterior de la Unión.</x:v>
      </x:c>
      <x:c r="R379" s="18" t="str">
        <x:v>G10</x:v>
      </x:c>
      <x:c r="S379" s="18" t="n">
        <x:v>10</x:v>
      </x:c>
      <x:c r="T379" s="18" t="str">
        <x:v>Temario general</x:v>
      </x:c>
      <x:c r="U379" s="18" t="str">
        <x:v>Las Instituciones de la Unión Europea: El Consejo, el Parlamento Europeo, la Comisión, el Tribunal de Justicia.</x:v>
      </x:c>
      <x:c r="V379" s="18" t="str">
        <x:v>G10</x:v>
      </x:c>
      <x:c r="W379" s="18" t="str">
        <x:v>Tratado de la Unión Europea</x:v>
      </x:c>
      <x:c r="X379" s="18" t="str">
        <x:v>14</x:v>
      </x:c>
      <x:c r="Y379" s="18" t="str">
        <x:v>Artículos literales</x:v>
      </x:c>
      <x:c r="Z379" s="18" t="str">
        <x:v>Media</x:v>
      </x:c>
      <x:c r="AA379" s="18" t="str">
        <x:v>G10</x:v>
      </x:c>
      <x:c r="AB379" s="18" t="str">
        <x:v>Parlamento Europeo</x:v>
      </x:c>
      <x:c r="AC379" s="18" t="str"/>
      <x:c r="AD379" s="18" t="str">
        <x:v>No</x:v>
      </x:c>
      <x:c r="AE379" s="18" t="str">
        <x:v>Teórico</x:v>
      </x:c>
      <x:c r="AF379" s="18" t="str">
        <x:v>A</x:v>
      </x:c>
      <x:c r="AG379" s="18" t="str">
        <x:v>A</x:v>
      </x:c>
      <x:c r="AH379" s="18" t="str">
        <x:v>Válida</x:v>
      </x:c>
      <x:c r="AI379" s="18" t="str">
        <x:v>01. Información oficial de la oposición\Exámenes oficiales anteriores\2026 Convocatoria 2025 - Acceso libre Rojo A.pdf</x:v>
      </x:c>
      <x:c r="AJ379" s="18" t="str">
        <x:v>https://www.seg-social.es/wps/portal/wss/internet/InformacionUtil/9950/88beb45d-ca83-4bab-8162-f94ef2894562/e0c83707-3358-47a9-94d7-508221dad233</x:v>
      </x:c>
      <x:c r="AK379" s="18" t="str">
        <x:v>OCR Windows es-ES sobre PDF oficial</x:v>
      </x:c>
      <x:c r="AL379" s="18" t="n">
        <x:v>100</x:v>
      </x:c>
      <x:c r="AM379" s="18" t="str">
        <x:v>Alta</x:v>
      </x:c>
      <x:c r="AN379" s="18" t="str">
        <x:v>Regla jurídica determinista</x:v>
      </x:c>
      <x:c r="AO379" s="18" t="str">
        <x:v>2026_conv2025_rojo_A-T14</x:v>
      </x:c>
      <x:c r="AP379" s="18" t="n">
        <x:v>1</x:v>
      </x:c>
    </x:row>
    <x:row r="380">
      <x:c r="A380" s="18" t="str">
        <x:v>2026_conv2025_rojo_A-T15</x:v>
      </x:c>
      <x:c r="B380" s="18" t="n">
        <x:v>2026</x:v>
      </x:c>
      <x:c r="C380" s="18" t="n">
        <x:v>2025</x:v>
      </x:c>
      <x:c r="D380" s="28" t="n">
        <x:v>46201</x:v>
      </x:c>
      <x:c r="E380" s="18" t="str">
        <x:v>Acceso libre</x:v>
      </x:c>
      <x:c r="F380" s="18" t="str">
        <x:v>Primera parte</x:v>
      </x:c>
      <x:c r="G380" s="18" t="str">
        <x:v>Rojo A</x:v>
      </x:c>
      <x:c r="H380" s="18" t="str">
        <x:v>Rojo/Verde A/B</x:v>
      </x:c>
      <x:c r="I380" s="18" t="str">
        <x:v>Sí</x:v>
      </x:c>
      <x:c r="J380" s="18" t="str">
        <x:v>Los colores y modelos reproducen el mismo conjunto de preguntas con orden y/o opciones permutados; Rojo A es la variante canónica para frecuencias y Verde A se conserva como control de cobertura.</x:v>
      </x:c>
      <x:c r="K380" s="18" t="n">
        <x:v>15</x:v>
      </x:c>
      <x:c r="L380" s="18" t="str">
        <x:v>No</x:v>
      </x:c>
      <x:c r="M380" s="18" t="str">
        <x:v>De conformidad con el artículo 17 del Tratado de la Unión Europea, el Parlamento Europeo elegirá al candidato para eI cargo de Presidente de la Comisión por:</x:v>
      </x:c>
      <x:c r="N380" s="18" t="str">
        <x:v>Mayoría de los votos emitidos</x:v>
      </x:c>
      <x:c r="O380" s="18" t="str">
        <x:v>Mayoría de los miembros que 10 componen.</x:v>
      </x:c>
      <x:c r="P380" s="18" t="str">
        <x:v>Mayoría cualificada de tres quintos</x:v>
      </x:c>
      <x:c r="Q380" s="18" t="str">
        <x:v>Unanimidad de los grupos políticos.</x:v>
      </x:c>
      <x:c r="R380" s="18" t="str">
        <x:v>G10</x:v>
      </x:c>
      <x:c r="S380" s="18" t="n">
        <x:v>10</x:v>
      </x:c>
      <x:c r="T380" s="18" t="str">
        <x:v>Temario general</x:v>
      </x:c>
      <x:c r="U380" s="18" t="str">
        <x:v>Las Instituciones de la Unión Europea: El Consejo, el Parlamento Europeo, la Comisión, el Tribunal de Justicia.</x:v>
      </x:c>
      <x:c r="V380" s="18" t="str">
        <x:v>G10</x:v>
      </x:c>
      <x:c r="W380" s="18" t="str">
        <x:v>Tratado de la Unión Europea</x:v>
      </x:c>
      <x:c r="X380" s="18" t="str">
        <x:v>17</x:v>
      </x:c>
      <x:c r="Y380" s="18" t="str">
        <x:v>Artículos literales</x:v>
      </x:c>
      <x:c r="Z380" s="18" t="str">
        <x:v>Media</x:v>
      </x:c>
      <x:c r="AA380" s="18" t="str">
        <x:v>G10</x:v>
      </x:c>
      <x:c r="AB380" s="18" t="str">
        <x:v>Parlamento Europeo</x:v>
      </x:c>
      <x:c r="AC380" s="18" t="str"/>
      <x:c r="AD380" s="18" t="str">
        <x:v>No</x:v>
      </x:c>
      <x:c r="AE380" s="18" t="str">
        <x:v>Teórico</x:v>
      </x:c>
      <x:c r="AF380" s="18" t="str">
        <x:v>B</x:v>
      </x:c>
      <x:c r="AG380" s="18" t="str">
        <x:v>B</x:v>
      </x:c>
      <x:c r="AH380" s="18" t="str">
        <x:v>Válida</x:v>
      </x:c>
      <x:c r="AI380" s="18" t="str">
        <x:v>01. Información oficial de la oposición\Exámenes oficiales anteriores\2026 Convocatoria 2025 - Acceso libre Rojo A.pdf</x:v>
      </x:c>
      <x:c r="AJ380" s="18" t="str">
        <x:v>https://www.seg-social.es/wps/portal/wss/internet/InformacionUtil/9950/88beb45d-ca83-4bab-8162-f94ef2894562/e0c83707-3358-47a9-94d7-508221dad233</x:v>
      </x:c>
      <x:c r="AK380" s="18" t="str">
        <x:v>OCR Windows es-ES sobre PDF oficial</x:v>
      </x:c>
      <x:c r="AL380" s="18" t="n">
        <x:v>100</x:v>
      </x:c>
      <x:c r="AM380" s="18" t="str">
        <x:v>Alta</x:v>
      </x:c>
      <x:c r="AN380" s="18" t="str">
        <x:v>Regla jurídica determinista</x:v>
      </x:c>
      <x:c r="AO380" s="18" t="str">
        <x:v>2026_conv2025_rojo_A-T15</x:v>
      </x:c>
      <x:c r="AP380" s="18" t="n">
        <x:v>1</x:v>
      </x:c>
    </x:row>
    <x:row r="381">
      <x:c r="A381" s="18" t="str">
        <x:v>2026_conv2025_rojo_A-T16</x:v>
      </x:c>
      <x:c r="B381" s="18" t="n">
        <x:v>2026</x:v>
      </x:c>
      <x:c r="C381" s="18" t="n">
        <x:v>2025</x:v>
      </x:c>
      <x:c r="D381" s="28" t="n">
        <x:v>46201</x:v>
      </x:c>
      <x:c r="E381" s="18" t="str">
        <x:v>Acceso libre</x:v>
      </x:c>
      <x:c r="F381" s="18" t="str">
        <x:v>Primera parte</x:v>
      </x:c>
      <x:c r="G381" s="18" t="str">
        <x:v>Rojo A</x:v>
      </x:c>
      <x:c r="H381" s="18" t="str">
        <x:v>Rojo/Verde A/B</x:v>
      </x:c>
      <x:c r="I381" s="18" t="str">
        <x:v>Sí</x:v>
      </x:c>
      <x:c r="J381" s="18" t="str">
        <x:v>Los colores y modelos reproducen el mismo conjunto de preguntas con orden y/o opciones permutados; Rojo A es la variante canónica para frecuencias y Verde A se conserva como control de cobertura.</x:v>
      </x:c>
      <x:c r="K381" s="18" t="n">
        <x:v>16</x:v>
      </x:c>
      <x:c r="L381" s="18" t="str">
        <x:v>No</x:v>
      </x:c>
      <x:c r="M381" s="18" t="str">
        <x:v>Según recoge eI artículo 3 del Real Decreto 501/2024, de 21 de mayo, por eI que se desarrolla la estructura orgánica básica del Ministerio de Inclusión, Seguridad Social y Migraciones, señale la respuesta correcta en relación con las funciones de la Dirección General de Ordenación de la Seguridad Social:</x:v>
      </x:c>
      <x:c r="N381" s="18" t="str">
        <x:v>La tramitación del procedimiento para la aplicación de coeficientes reductores de la edad de jubilación.</x:v>
      </x:c>
      <x:c r="O381" s="18" t="str">
        <x:v>Ser el órgano de control interno y de dirección de la contabilidad de las entidades que integran el sistema de la Seguridad Social.</x:v>
      </x:c>
      <x:c r="P381" s="18" t="str">
        <x:v>La dirección y tutela de las entidades gestoras y servicios comunes de la Seguridad Social, adscritas al Departamento, sin perjuicio de las competencias atribuidas a otros Ministerios y a otras unidades del Departamento.</x:v>
      </x:c>
      <x:c r="Q381" s="18" t="str">
        <x:v>La tutela, superior dirección y coordinación de la asistencia jurídica de las entidades gestoras y servicios comunes de la Seguridad Social.</x:v>
      </x:c>
      <x:c r="R381" s="18" t="str">
        <x:v>G12</x:v>
      </x:c>
      <x:c r="S381" s="18" t="n">
        <x:v>12</x:v>
      </x:c>
      <x:c r="T381" s="18" t="str">
        <x:v>Temario general</x:v>
      </x:c>
      <x:c r="U381" s="18" t="str">
        <x:v>El Ministerio de Inclusión, Seguridad Social y Migraciones. Organización. Estructura y funciones.</x:v>
      </x:c>
      <x:c r="V381" s="18" t="str">
        <x:v>G12</x:v>
      </x:c>
      <x:c r="W381" s="18" t="str">
        <x:v>Real Decreto 501/2024</x:v>
      </x:c>
      <x:c r="X381" s="18" t="str">
        <x:v>3</x:v>
      </x:c>
      <x:c r="Y381" s="18" t="str">
        <x:v>Artículos literales</x:v>
      </x:c>
      <x:c r="Z381" s="18" t="str">
        <x:v>Media</x:v>
      </x:c>
      <x:c r="AA381" s="18" t="str">
        <x:v>G12</x:v>
      </x:c>
      <x:c r="AB381" s="18" t="str"/>
      <x:c r="AC381" s="18" t="str"/>
      <x:c r="AD381" s="18" t="str">
        <x:v>No</x:v>
      </x:c>
      <x:c r="AE381" s="18" t="str">
        <x:v>Teórico</x:v>
      </x:c>
      <x:c r="AF381" s="18" t="str">
        <x:v>A</x:v>
      </x:c>
      <x:c r="AG381" s="18" t="str">
        <x:v>A</x:v>
      </x:c>
      <x:c r="AH381" s="18" t="str">
        <x:v>Válida</x:v>
      </x:c>
      <x:c r="AI381" s="18" t="str">
        <x:v>01. Información oficial de la oposición\Exámenes oficiales anteriores\2026 Convocatoria 2025 - Acceso libre Rojo A.pdf</x:v>
      </x:c>
      <x:c r="AJ381" s="18" t="str">
        <x:v>https://www.seg-social.es/wps/portal/wss/internet/InformacionUtil/9950/88beb45d-ca83-4bab-8162-f94ef2894562/e0c83707-3358-47a9-94d7-508221dad233</x:v>
      </x:c>
      <x:c r="AK381" s="18" t="str">
        <x:v>OCR Windows es-ES sobre PDF oficial</x:v>
      </x:c>
      <x:c r="AL381" s="18" t="n">
        <x:v>100</x:v>
      </x:c>
      <x:c r="AM381" s="18" t="str">
        <x:v>Alta</x:v>
      </x:c>
      <x:c r="AN381" s="18" t="str">
        <x:v>Regla jurídica determinista</x:v>
      </x:c>
      <x:c r="AO381" s="18" t="str">
        <x:v>2026_conv2025_rojo_A-T16</x:v>
      </x:c>
      <x:c r="AP381" s="18" t="n">
        <x:v>1</x:v>
      </x:c>
    </x:row>
    <x:row r="382">
      <x:c r="A382" s="18" t="str">
        <x:v>2026_conv2025_rojo_A-T17</x:v>
      </x:c>
      <x:c r="B382" s="18" t="n">
        <x:v>2026</x:v>
      </x:c>
      <x:c r="C382" s="18" t="n">
        <x:v>2025</x:v>
      </x:c>
      <x:c r="D382" s="28" t="n">
        <x:v>46201</x:v>
      </x:c>
      <x:c r="E382" s="18" t="str">
        <x:v>Acceso libre</x:v>
      </x:c>
      <x:c r="F382" s="18" t="str">
        <x:v>Primera parte</x:v>
      </x:c>
      <x:c r="G382" s="18" t="str">
        <x:v>Rojo A</x:v>
      </x:c>
      <x:c r="H382" s="18" t="str">
        <x:v>Rojo/Verde A/B</x:v>
      </x:c>
      <x:c r="I382" s="18" t="str">
        <x:v>Sí</x:v>
      </x:c>
      <x:c r="J382" s="18" t="str">
        <x:v>Los colores y modelos reproducen el mismo conjunto de preguntas con orden y/o opciones permutados; Rojo A es la variante canónica para frecuencias y Verde A se conserva como control de cobertura.</x:v>
      </x:c>
      <x:c r="K382" s="18" t="n">
        <x:v>17</x:v>
      </x:c>
      <x:c r="L382" s="18" t="str">
        <x:v>No</x:v>
      </x:c>
      <x:c r="M382" s="18" t="str">
        <x:v>Señale la respuesta correcta en relación con los artículos que recoge el Capítulo Tercero del Título III de la Constitución Española denominado "De los tratados internacionales":</x:v>
      </x:c>
      <x:c r="N382" s="18" t="str">
        <x:v>Mediante ley ordinaria se podrá autorizar la celebración de tratados por los que se atribuya a una organización o institución internacional eI ejercicio de competencias derivadas de la Constitución.</x:v>
      </x:c>
      <x:c r="O382" s="18" t="str">
        <x:v>Corresponde al Tribunal Supremo o al Gobierno, según los casos, la garantía del cumplimiento de estos tratados y de las resoluciones emanadas de los organismos internacionales o supranacionales titulares de la cesión.</x:v>
      </x:c>
      <x:c r="P382" s="18" t="str">
        <x:v>La celebración de un tratado internacional que contenga estipulaciones contrarias a la Constitución exigirá la previa revisión constitucional, salvo que afecte a normativa presupuestaria o a cuestiones de extranjería.</x:v>
      </x:c>
      <x:c r="Q382" s="18" t="str">
        <x:v>EI Gobierno o cualquiera de las Cámaras puede requerir al Tribunal Constitucional para que declare si existe o no contradicción entre las estipulaciones previstas en un Tratado internacional y la Constitución Española.</x:v>
      </x:c>
      <x:c r="R382" s="18" t="str">
        <x:v>G13</x:v>
      </x:c>
      <x:c r="S382" s="18" t="n">
        <x:v>13</x:v>
      </x:c>
      <x:c r="T382" s="18" t="str">
        <x:v>Temario general</x:v>
      </x:c>
      <x:c r="U382" s="18" t="str">
        <x:v>Las fuentes del Derecho Administrativo. Concepto y clases. La jerarquía de las fuentes.</x:v>
      </x:c>
      <x:c r="V382" s="18" t="str">
        <x:v>G13</x:v>
      </x:c>
      <x:c r="W382" s="18" t="str">
        <x:v>Constitución Española</x:v>
      </x:c>
      <x:c r="X382" s="18" t="str"/>
      <x:c r="Y382" s="18" t="str">
        <x:v>Artículos literales</x:v>
      </x:c>
      <x:c r="Z382" s="18" t="str">
        <x:v>Media</x:v>
      </x:c>
      <x:c r="AA382" s="18" t="str">
        <x:v>G13</x:v>
      </x:c>
      <x:c r="AB382" s="18" t="str"/>
      <x:c r="AC382" s="18" t="str"/>
      <x:c r="AD382" s="18" t="str">
        <x:v>No</x:v>
      </x:c>
      <x:c r="AE382" s="18" t="str">
        <x:v>Teórico</x:v>
      </x:c>
      <x:c r="AF382" s="18" t="str">
        <x:v>D</x:v>
      </x:c>
      <x:c r="AG382" s="18" t="str">
        <x:v>D</x:v>
      </x:c>
      <x:c r="AH382" s="18" t="str">
        <x:v>Válida</x:v>
      </x:c>
      <x:c r="AI382" s="18" t="str">
        <x:v>01. Información oficial de la oposición\Exámenes oficiales anteriores\2026 Convocatoria 2025 - Acceso libre Rojo A.pdf</x:v>
      </x:c>
      <x:c r="AJ382" s="18" t="str">
        <x:v>https://www.seg-social.es/wps/portal/wss/internet/InformacionUtil/9950/88beb45d-ca83-4bab-8162-f94ef2894562/e0c83707-3358-47a9-94d7-508221dad233</x:v>
      </x:c>
      <x:c r="AK382" s="18" t="str">
        <x:v>OCR Windows es-ES sobre PDF oficial</x:v>
      </x:c>
      <x:c r="AL382" s="18" t="n">
        <x:v>100</x:v>
      </x:c>
      <x:c r="AM382" s="18" t="str">
        <x:v>Alta</x:v>
      </x:c>
      <x:c r="AN382" s="18" t="str">
        <x:v>Revisión jurídica individual</x:v>
      </x:c>
      <x:c r="AO382" s="18" t="str">
        <x:v>2026_conv2025_rojo_A-T17</x:v>
      </x:c>
      <x:c r="AP382" s="18" t="n">
        <x:v>1</x:v>
      </x:c>
    </x:row>
    <x:row r="383">
      <x:c r="A383" s="18" t="str">
        <x:v>2026_conv2025_rojo_A-T18</x:v>
      </x:c>
      <x:c r="B383" s="18" t="n">
        <x:v>2026</x:v>
      </x:c>
      <x:c r="C383" s="18" t="n">
        <x:v>2025</x:v>
      </x:c>
      <x:c r="D383" s="28" t="n">
        <x:v>46201</x:v>
      </x:c>
      <x:c r="E383" s="18" t="str">
        <x:v>Acceso libre</x:v>
      </x:c>
      <x:c r="F383" s="18" t="str">
        <x:v>Primera parte</x:v>
      </x:c>
      <x:c r="G383" s="18" t="str">
        <x:v>Rojo A</x:v>
      </x:c>
      <x:c r="H383" s="18" t="str">
        <x:v>Rojo/Verde A/B</x:v>
      </x:c>
      <x:c r="I383" s="18" t="str">
        <x:v>Sí</x:v>
      </x:c>
      <x:c r="J383" s="18" t="str">
        <x:v>Los colores y modelos reproducen el mismo conjunto de preguntas con orden y/o opciones permutados; Rojo A es la variante canónica para frecuencias y Verde A se conserva como control de cobertura.</x:v>
      </x:c>
      <x:c r="K383" s="18" t="n">
        <x:v>18</x:v>
      </x:c>
      <x:c r="L383" s="18" t="str">
        <x:v>No</x:v>
      </x:c>
      <x:c r="M383" s="18" t="str">
        <x:v>De acuerdo con eI artículo 24 de la Ley 50/1997, de 27 de noviembre, del Gobierno, ¿qué rango ocupan las órdenes Ministeriales respecto de las disposiciones aprobadas por Real Decreto del Presidente del Gobierno o del Consejo de Ministros?</x:v>
      </x:c>
      <x:c r="N383" s="18" t="str">
        <x:v>Son de rango superior.</x:v>
      </x:c>
      <x:c r="O383" s="18" t="str">
        <x:v>Son de rango inferior.</x:v>
      </x:c>
      <x:c r="P383" s="18" t="str">
        <x:v>Tienen el mismo rango jerárquico.</x:v>
      </x:c>
      <x:c r="Q383" s="18" t="str">
        <x:v>Su rango depende de la fecha de publicación.</x:v>
      </x:c>
      <x:c r="R383" s="18" t="str">
        <x:v>G14</x:v>
      </x:c>
      <x:c r="S383" s="18" t="n">
        <x:v>14</x:v>
      </x:c>
      <x:c r="T383" s="18" t="str">
        <x:v>Temario general</x:v>
      </x:c>
      <x:c r="U383" s="18" t="str">
        <x:v>La Ley. Tipos de leyes. Disposiciones del Gobierno con fuerza de ley: decreto-ley y decreto legislativo. El Reglamento: concepto, clases y límites. Los principios generales del Derecho.</x:v>
      </x:c>
      <x:c r="V383" s="18" t="str">
        <x:v>G14</x:v>
      </x:c>
      <x:c r="W383" s="18" t="str">
        <x:v>Ley 50/1997</x:v>
      </x:c>
      <x:c r="X383" s="18" t="str">
        <x:v>24</x:v>
      </x:c>
      <x:c r="Y383" s="18" t="str">
        <x:v>Artículos literales</x:v>
      </x:c>
      <x:c r="Z383" s="18" t="str">
        <x:v>Media</x:v>
      </x:c>
      <x:c r="AA383" s="18" t="str">
        <x:v>G14</x:v>
      </x:c>
      <x:c r="AB383" s="18" t="str">
        <x:v>Consejo de Ministros</x:v>
      </x:c>
      <x:c r="AC383" s="18" t="str"/>
      <x:c r="AD383" s="18" t="str">
        <x:v>No</x:v>
      </x:c>
      <x:c r="AE383" s="18" t="str">
        <x:v>Teórico</x:v>
      </x:c>
      <x:c r="AF383" s="18" t="str">
        <x:v>B</x:v>
      </x:c>
      <x:c r="AG383" s="18" t="str">
        <x:v>B</x:v>
      </x:c>
      <x:c r="AH383" s="18" t="str">
        <x:v>Válida</x:v>
      </x:c>
      <x:c r="AI383" s="18" t="str">
        <x:v>01. Información oficial de la oposición\Exámenes oficiales anteriores\2026 Convocatoria 2025 - Acceso libre Rojo A.pdf</x:v>
      </x:c>
      <x:c r="AJ383" s="18" t="str">
        <x:v>https://www.seg-social.es/wps/portal/wss/internet/InformacionUtil/9950/88beb45d-ca83-4bab-8162-f94ef2894562/e0c83707-3358-47a9-94d7-508221dad233</x:v>
      </x:c>
      <x:c r="AK383" s="18" t="str">
        <x:v>OCR Windows es-ES sobre PDF oficial</x:v>
      </x:c>
      <x:c r="AL383" s="18" t="n">
        <x:v>100</x:v>
      </x:c>
      <x:c r="AM383" s="18" t="str">
        <x:v>Alta</x:v>
      </x:c>
      <x:c r="AN383" s="18" t="str">
        <x:v>Regla jurídica determinista</x:v>
      </x:c>
      <x:c r="AO383" s="18" t="str">
        <x:v>2026_conv2025_rojo_A-T18</x:v>
      </x:c>
      <x:c r="AP383" s="18" t="n">
        <x:v>1</x:v>
      </x:c>
    </x:row>
    <x:row r="384">
      <x:c r="A384" s="18" t="str">
        <x:v>2026_conv2025_rojo_A-T19</x:v>
      </x:c>
      <x:c r="B384" s="18" t="n">
        <x:v>2026</x:v>
      </x:c>
      <x:c r="C384" s="18" t="n">
        <x:v>2025</x:v>
      </x:c>
      <x:c r="D384" s="28" t="n">
        <x:v>46201</x:v>
      </x:c>
      <x:c r="E384" s="18" t="str">
        <x:v>Acceso libre</x:v>
      </x:c>
      <x:c r="F384" s="18" t="str">
        <x:v>Primera parte</x:v>
      </x:c>
      <x:c r="G384" s="18" t="str">
        <x:v>Rojo A</x:v>
      </x:c>
      <x:c r="H384" s="18" t="str">
        <x:v>Rojo/Verde A/B</x:v>
      </x:c>
      <x:c r="I384" s="18" t="str">
        <x:v>Sí</x:v>
      </x:c>
      <x:c r="J384" s="18" t="str">
        <x:v>Los colores y modelos reproducen el mismo conjunto de preguntas con orden y/o opciones permutados; Rojo A es la variante canónica para frecuencias y Verde A se conserva como control de cobertura.</x:v>
      </x:c>
      <x:c r="K384" s="18" t="n">
        <x:v>19</x:v>
      </x:c>
      <x:c r="L384" s="18" t="str">
        <x:v>No</x:v>
      </x:c>
      <x:c r="M384" s="18" t="str">
        <x:v>La Ley 39/2015, de I de octubre, del Procedimiento Administrativo Común de las Administraciones Públicas, en eI artículo 49, regula los límites a la extensión de la nulidad o anulabilidad de los actos. Señale la respuesta correcta:</x:v>
      </x:c>
      <x:c r="N384" s="18" t="str">
        <x:v>La nulidad o anulabilidad de un acto implicará la de los sucesivos en eI procedimiento que sean independientes del primero. La nulidad o anulabilidad en parte del acto administrativo no implicará la de las partes del mismo independientes de aquélla, salvo que la parte viciada sea de tal importancia que sin ella eI acto administrativo no hubiera sido dictado.</x:v>
      </x:c>
      <x:c r="O384" s="18" t="str">
        <x:v>La nulidad o anulabilidad de un acto no implicará la de los sucesivos en el procedimiento que sean independientes del primero. La nulidad o anulabilidad en parte del acto administrativo implicará la de las partes del mismo independientes de aquélla, salvo que la parte viciada sea de tal importancia que sin ella eI acto administrativo no hubiera sido dictado.</x:v>
      </x:c>
      <x:c r="P384" s="18" t="str">
        <x:v>La nulidad o anulabilidad de un acto implicará la de los sucesivos en el procedimiento que sean independientes del primero. La nulidad o anulabilidad en parte del acto administrativo implicará la de las partes del mismo independientes de aquélla, salvo que la parte viciada sea de tal importancia que sin ella el acto administrativo no hubiera sido dictado.</x:v>
      </x:c>
      <x:c r="Q384" s="18" t="str">
        <x:v>La nulidad o anulabilidad de un acto no implicará la de los sucesivos en el procedimiento que sean independientes del primero. La nulidad o anulabilidad en parte del acto administrativo no implicará la de las partes del mismo independientes de aquélla, salvo que la parte viciada sea de tal importancia que sin ella el acto administrativo no hubiera sido dictado.</x:v>
      </x:c>
      <x:c r="R384" s="18" t="str">
        <x:v>G15</x:v>
      </x:c>
      <x:c r="S384" s="18" t="n">
        <x:v>15</x:v>
      </x:c>
      <x:c r="T384" s="18" t="str">
        <x:v>Temario general</x:v>
      </x:c>
      <x:c r="U384" s="18" t="str">
        <x:v>Los actos administrativos. Concepto y clases. Motivación, forma y eficacia de los actos administrativos. Notificación y publicación. Nulidad y anulabilidad. La revisión de oficio.</x:v>
      </x:c>
      <x:c r="V384" s="18" t="str">
        <x:v>G15</x:v>
      </x:c>
      <x:c r="W384" s="18" t="str">
        <x:v>Ley 39/2015</x:v>
      </x:c>
      <x:c r="X384" s="18" t="str">
        <x:v>49</x:v>
      </x:c>
      <x:c r="Y384" s="18" t="str">
        <x:v>Procedimientos</x:v>
      </x:c>
      <x:c r="Z384" s="18" t="str">
        <x:v>Media</x:v>
      </x:c>
      <x:c r="AA384" s="18" t="str">
        <x:v>G15</x:v>
      </x:c>
      <x:c r="AB384" s="18" t="str"/>
      <x:c r="AC384" s="18" t="str"/>
      <x:c r="AD384" s="18" t="str">
        <x:v>No</x:v>
      </x:c>
      <x:c r="AE384" s="18" t="str">
        <x:v>Teórico</x:v>
      </x:c>
      <x:c r="AF384" s="18" t="str">
        <x:v>D</x:v>
      </x:c>
      <x:c r="AG384" s="18" t="str">
        <x:v>D</x:v>
      </x:c>
      <x:c r="AH384" s="18" t="str">
        <x:v>Válida</x:v>
      </x:c>
      <x:c r="AI384" s="18" t="str">
        <x:v>01. Información oficial de la oposición\Exámenes oficiales anteriores\2026 Convocatoria 2025 - Acceso libre Rojo A.pdf</x:v>
      </x:c>
      <x:c r="AJ384" s="18" t="str">
        <x:v>https://www.seg-social.es/wps/portal/wss/internet/InformacionUtil/9950/88beb45d-ca83-4bab-8162-f94ef2894562/e0c83707-3358-47a9-94d7-508221dad233</x:v>
      </x:c>
      <x:c r="AK384" s="18" t="str">
        <x:v>OCR Windows es-ES sobre PDF oficial</x:v>
      </x:c>
      <x:c r="AL384" s="18" t="n">
        <x:v>100</x:v>
      </x:c>
      <x:c r="AM384" s="18" t="str">
        <x:v>Alta</x:v>
      </x:c>
      <x:c r="AN384" s="18" t="str">
        <x:v>Regla jurídica determinista</x:v>
      </x:c>
      <x:c r="AO384" s="18" t="str">
        <x:v>2026_conv2025_rojo_A-T19</x:v>
      </x:c>
      <x:c r="AP384" s="18" t="n">
        <x:v>1</x:v>
      </x:c>
    </x:row>
    <x:row r="385">
      <x:c r="A385" s="18" t="str">
        <x:v>2026_conv2025_rojo_A-T20</x:v>
      </x:c>
      <x:c r="B385" s="18" t="n">
        <x:v>2026</x:v>
      </x:c>
      <x:c r="C385" s="18" t="n">
        <x:v>2025</x:v>
      </x:c>
      <x:c r="D385" s="28" t="n">
        <x:v>46201</x:v>
      </x:c>
      <x:c r="E385" s="18" t="str">
        <x:v>Acceso libre</x:v>
      </x:c>
      <x:c r="F385" s="18" t="str">
        <x:v>Primera parte</x:v>
      </x:c>
      <x:c r="G385" s="18" t="str">
        <x:v>Rojo A</x:v>
      </x:c>
      <x:c r="H385" s="18" t="str">
        <x:v>Rojo/Verde A/B</x:v>
      </x:c>
      <x:c r="I385" s="18" t="str">
        <x:v>Sí</x:v>
      </x:c>
      <x:c r="J385" s="18" t="str">
        <x:v>Los colores y modelos reproducen el mismo conjunto de preguntas con orden y/o opciones permutados; Rojo A es la variante canónica para frecuencias y Verde A se conserva como control de cobertura.</x:v>
      </x:c>
      <x:c r="K385" s="18" t="n">
        <x:v>20</x:v>
      </x:c>
      <x:c r="L385" s="18" t="str">
        <x:v>No</x:v>
      </x:c>
      <x:c r="M385" s="18" t="str">
        <x:v>Según establece el artículo 6 de la ley 39/2015, de 1 de octubre, del Procedimiento Administrativo Común de las Administraciones Públicas, ¿cuál es el plazo máximo de validez por el que se puede otorgar un apoderamiento en el registro electrónico antes de su primera prórroga?</x:v>
      </x:c>
      <x:c r="N385" s="18" t="str">
        <x:v>5 años desde la fecha de inscripción.</x:v>
      </x:c>
      <x:c r="O385" s="18" t="str">
        <x:v>2 años desde la fecha de inscripción.</x:v>
      </x:c>
      <x:c r="P385" s="18" t="str">
        <x:v>3 años desde la fecha de inscripción.</x:v>
      </x:c>
      <x:c r="Q385" s="18" t="str">
        <x:v>Es indefinido, hasta que su revocación sea expresa.</x:v>
      </x:c>
      <x:c r="R385" s="18" t="str">
        <x:v>G16</x:v>
      </x:c>
      <x:c r="S385" s="18" t="n">
        <x:v>16</x:v>
      </x:c>
      <x:c r="T385" s="18" t="str">
        <x:v>Temario general</x:v>
      </x:c>
      <x:c r="U385" s="18" t="str">
        <x:v>El procedimiento administrativo común. La capacidad de obrar y el concepto de interesado. Representación. Identificación y firma de los interesados. Derechos del interesado en el procedimiento administrativo. Obligación de resolver y silencio administrativo. Términos y plazos.</x:v>
      </x:c>
      <x:c r="V385" s="18" t="str">
        <x:v>G16</x:v>
      </x:c>
      <x:c r="W385" s="18" t="str">
        <x:v>ley 39/2015</x:v>
      </x:c>
      <x:c r="X385" s="18" t="str">
        <x:v>6</x:v>
      </x:c>
      <x:c r="Y385" s="18" t="str">
        <x:v>Plazos</x:v>
      </x:c>
      <x:c r="Z385" s="18" t="str">
        <x:v>Media</x:v>
      </x:c>
      <x:c r="AA385" s="18" t="str">
        <x:v>G16</x:v>
      </x:c>
      <x:c r="AB385" s="18" t="str"/>
      <x:c r="AC385" s="18" t="str"/>
      <x:c r="AD385" s="18" t="str">
        <x:v>No</x:v>
      </x:c>
      <x:c r="AE385" s="18" t="str">
        <x:v>Teórico</x:v>
      </x:c>
      <x:c r="AF385" s="18" t="str">
        <x:v>A</x:v>
      </x:c>
      <x:c r="AG385" s="18" t="str">
        <x:v>A</x:v>
      </x:c>
      <x:c r="AH385" s="18" t="str">
        <x:v>Válida</x:v>
      </x:c>
      <x:c r="AI385" s="18" t="str">
        <x:v>01. Información oficial de la oposición\Exámenes oficiales anteriores\2026 Convocatoria 2025 - Acceso libre Rojo A.pdf</x:v>
      </x:c>
      <x:c r="AJ385" s="18" t="str">
        <x:v>https://www.seg-social.es/wps/portal/wss/internet/InformacionUtil/9950/88beb45d-ca83-4bab-8162-f94ef2894562/e0c83707-3358-47a9-94d7-508221dad233</x:v>
      </x:c>
      <x:c r="AK385" s="18" t="str">
        <x:v>OCR Windows es-ES sobre PDF oficial</x:v>
      </x:c>
      <x:c r="AL385" s="18" t="n">
        <x:v>100</x:v>
      </x:c>
      <x:c r="AM385" s="18" t="str">
        <x:v>Alta</x:v>
      </x:c>
      <x:c r="AN385" s="18" t="str">
        <x:v>Revisión jurídica individual</x:v>
      </x:c>
      <x:c r="AO385" s="18" t="str">
        <x:v>2026_conv2025_rojo_A-T20</x:v>
      </x:c>
      <x:c r="AP385" s="18" t="n">
        <x:v>1</x:v>
      </x:c>
    </x:row>
    <x:row r="386">
      <x:c r="A386" s="18" t="str">
        <x:v>2026_conv2025_rojo_A-T21</x:v>
      </x:c>
      <x:c r="B386" s="18" t="n">
        <x:v>2026</x:v>
      </x:c>
      <x:c r="C386" s="18" t="n">
        <x:v>2025</x:v>
      </x:c>
      <x:c r="D386" s="28" t="n">
        <x:v>46201</x:v>
      </x:c>
      <x:c r="E386" s="18" t="str">
        <x:v>Acceso libre</x:v>
      </x:c>
      <x:c r="F386" s="18" t="str">
        <x:v>Primera parte</x:v>
      </x:c>
      <x:c r="G386" s="18" t="str">
        <x:v>Rojo A</x:v>
      </x:c>
      <x:c r="H386" s="18" t="str">
        <x:v>Rojo/Verde A/B</x:v>
      </x:c>
      <x:c r="I386" s="18" t="str">
        <x:v>Sí</x:v>
      </x:c>
      <x:c r="J386" s="18" t="str">
        <x:v>Los colores y modelos reproducen el mismo conjunto de preguntas con orden y/o opciones permutados; Rojo A es la variante canónica para frecuencias y Verde A se conserva como control de cobertura.</x:v>
      </x:c>
      <x:c r="K386" s="18" t="n">
        <x:v>21</x:v>
      </x:c>
      <x:c r="L386" s="18" t="str">
        <x:v>No</x:v>
      </x:c>
      <x:c r="M386" s="18" t="str">
        <x:v>¿Qué efecto tiene la comparecencia en eI trámite de información pública, según el artículo 83 de la Ley 39/2015, de 1 de octubre, del Procedimiento Administrativo Común de las Administraciones Públicas?</x:v>
      </x:c>
      <x:c r="N386" s="18" t="str">
        <x:v>Otorga automáticamente la condición de interesado.</x:v>
      </x:c>
      <x:c r="O386" s="18" t="str">
        <x:v>Impide interponer recursos contra la resolución final.</x:v>
      </x:c>
      <x:c r="P386" s="18" t="str">
        <x:v>No otorga por sí misma la condición de interesado.</x:v>
      </x:c>
      <x:c r="Q386" s="18" t="str">
        <x:v>Obliga a la Administración a suspender eI procedimiento.</x:v>
      </x:c>
      <x:c r="R386" s="18" t="str">
        <x:v>G17</x:v>
      </x:c>
      <x:c r="S386" s="18" t="n">
        <x:v>17</x:v>
      </x:c>
      <x:c r="T386" s="18" t="str">
        <x:v>Temario general</x:v>
      </x:c>
      <x:c r="U386" s="18" t="str">
        <x:v>Las fases del procedimiento administrativo: Iniciación, ordenación, instrucción y finalización. La ejecución de los actos y resoluciones administrativas.</x:v>
      </x:c>
      <x:c r="V386" s="18" t="str">
        <x:v>G17</x:v>
      </x:c>
      <x:c r="W386" s="18" t="str">
        <x:v>Ley 39/2015</x:v>
      </x:c>
      <x:c r="X386" s="18" t="str">
        <x:v>83</x:v>
      </x:c>
      <x:c r="Y386" s="18" t="str">
        <x:v>Procedimientos</x:v>
      </x:c>
      <x:c r="Z386" s="18" t="str">
        <x:v>Media</x:v>
      </x:c>
      <x:c r="AA386" s="18" t="str">
        <x:v>G17</x:v>
      </x:c>
      <x:c r="AB386" s="18" t="str"/>
      <x:c r="AC386" s="18" t="str"/>
      <x:c r="AD386" s="18" t="str">
        <x:v>No</x:v>
      </x:c>
      <x:c r="AE386" s="18" t="str">
        <x:v>Teórico</x:v>
      </x:c>
      <x:c r="AF386" s="18" t="str">
        <x:v>C</x:v>
      </x:c>
      <x:c r="AG386" s="18" t="str">
        <x:v>C</x:v>
      </x:c>
      <x:c r="AH386" s="18" t="str">
        <x:v>Válida</x:v>
      </x:c>
      <x:c r="AI386" s="18" t="str">
        <x:v>01. Información oficial de la oposición\Exámenes oficiales anteriores\2026 Convocatoria 2025 - Acceso libre Rojo A.pdf</x:v>
      </x:c>
      <x:c r="AJ386" s="18" t="str">
        <x:v>https://www.seg-social.es/wps/portal/wss/internet/InformacionUtil/9950/88beb45d-ca83-4bab-8162-f94ef2894562/e0c83707-3358-47a9-94d7-508221dad233</x:v>
      </x:c>
      <x:c r="AK386" s="18" t="str">
        <x:v>OCR Windows es-ES sobre PDF oficial</x:v>
      </x:c>
      <x:c r="AL386" s="18" t="n">
        <x:v>100</x:v>
      </x:c>
      <x:c r="AM386" s="18" t="str">
        <x:v>Alta</x:v>
      </x:c>
      <x:c r="AN386" s="18" t="str">
        <x:v>Regla jurídica determinista</x:v>
      </x:c>
      <x:c r="AO386" s="18" t="str">
        <x:v>2026_conv2025_rojo_A-T21</x:v>
      </x:c>
      <x:c r="AP386" s="18" t="n">
        <x:v>1</x:v>
      </x:c>
    </x:row>
    <x:row r="387">
      <x:c r="A387" s="18" t="str">
        <x:v>2026_conv2025_rojo_A-T22</x:v>
      </x:c>
      <x:c r="B387" s="18" t="n">
        <x:v>2026</x:v>
      </x:c>
      <x:c r="C387" s="18" t="n">
        <x:v>2025</x:v>
      </x:c>
      <x:c r="D387" s="28" t="n">
        <x:v>46201</x:v>
      </x:c>
      <x:c r="E387" s="18" t="str">
        <x:v>Acceso libre</x:v>
      </x:c>
      <x:c r="F387" s="18" t="str">
        <x:v>Primera parte</x:v>
      </x:c>
      <x:c r="G387" s="18" t="str">
        <x:v>Rojo A</x:v>
      </x:c>
      <x:c r="H387" s="18" t="str">
        <x:v>Rojo/Verde A/B</x:v>
      </x:c>
      <x:c r="I387" s="18" t="str">
        <x:v>Sí</x:v>
      </x:c>
      <x:c r="J387" s="18" t="str">
        <x:v>Los colores y modelos reproducen el mismo conjunto de preguntas con orden y/o opciones permutados; Rojo A es la variante canónica para frecuencias y Verde A se conserva como control de cobertura.</x:v>
      </x:c>
      <x:c r="K387" s="18" t="n">
        <x:v>22</x:v>
      </x:c>
      <x:c r="L387" s="18" t="str">
        <x:v>No</x:v>
      </x:c>
      <x:c r="M387" s="18" t="str">
        <x:v>Cuando la Administración dispone de varios medios de ejecución forzosa legalmente admisibles, ¿qué criterio debe aplicar conforme al artículo 100 de la Ley 39/2015, de I de octubre, del Procedimiento Administrativo Común de las Administraciones Públicas?</x:v>
      </x:c>
      <x:c r="N387" s="18" t="str">
        <x:v>EI medio que permita una ejecución más rápida del acto.</x:v>
      </x:c>
      <x:c r="O387" s="18" t="str">
        <x:v>EI que garantice una mayor eficacia administrativa.</x:v>
      </x:c>
      <x:c r="P387" s="18" t="str">
        <x:v>EI medio menos restrictivo de la libertad individual.</x:v>
      </x:c>
      <x:c r="Q387" s="18" t="str">
        <x:v>EI apremio sobre el patrimonio, por ser el que sitúa la Ley en primer lugar.</x:v>
      </x:c>
      <x:c r="R387" s="18" t="str">
        <x:v>G17</x:v>
      </x:c>
      <x:c r="S387" s="18" t="n">
        <x:v>17</x:v>
      </x:c>
      <x:c r="T387" s="18" t="str">
        <x:v>Temario general</x:v>
      </x:c>
      <x:c r="U387" s="18" t="str">
        <x:v>Las fases del procedimiento administrativo: Iniciación, ordenación, instrucción y finalización. La ejecución de los actos y resoluciones administrativas.</x:v>
      </x:c>
      <x:c r="V387" s="18" t="str">
        <x:v>G17</x:v>
      </x:c>
      <x:c r="W387" s="18" t="str">
        <x:v>Ley 39/2015</x:v>
      </x:c>
      <x:c r="X387" s="18" t="str">
        <x:v>100</x:v>
      </x:c>
      <x:c r="Y387" s="18" t="str">
        <x:v>Procedimientos</x:v>
      </x:c>
      <x:c r="Z387" s="18" t="str">
        <x:v>Media</x:v>
      </x:c>
      <x:c r="AA387" s="18" t="str">
        <x:v>G17</x:v>
      </x:c>
      <x:c r="AB387" s="18" t="str"/>
      <x:c r="AC387" s="18" t="str"/>
      <x:c r="AD387" s="18" t="str">
        <x:v>No</x:v>
      </x:c>
      <x:c r="AE387" s="18" t="str">
        <x:v>Teórico</x:v>
      </x:c>
      <x:c r="AF387" s="18" t="str">
        <x:v>C</x:v>
      </x:c>
      <x:c r="AG387" s="18" t="str">
        <x:v>C</x:v>
      </x:c>
      <x:c r="AH387" s="18" t="str">
        <x:v>Válida</x:v>
      </x:c>
      <x:c r="AI387" s="18" t="str">
        <x:v>01. Información oficial de la oposición\Exámenes oficiales anteriores\2026 Convocatoria 2025 - Acceso libre Rojo A.pdf</x:v>
      </x:c>
      <x:c r="AJ387" s="18" t="str">
        <x:v>https://www.seg-social.es/wps/portal/wss/internet/InformacionUtil/9950/88beb45d-ca83-4bab-8162-f94ef2894562/e0c83707-3358-47a9-94d7-508221dad233</x:v>
      </x:c>
      <x:c r="AK387" s="18" t="str">
        <x:v>OCR Windows es-ES sobre PDF oficial</x:v>
      </x:c>
      <x:c r="AL387" s="18" t="n">
        <x:v>100</x:v>
      </x:c>
      <x:c r="AM387" s="18" t="str">
        <x:v>Alta</x:v>
      </x:c>
      <x:c r="AN387" s="18" t="str">
        <x:v>Regla jurídica determinista</x:v>
      </x:c>
      <x:c r="AO387" s="18" t="str">
        <x:v>2026_conv2025_rojo_A-T22</x:v>
      </x:c>
      <x:c r="AP387" s="18" t="n">
        <x:v>1</x:v>
      </x:c>
    </x:row>
    <x:row r="388">
      <x:c r="A388" s="18" t="str">
        <x:v>2026_conv2025_rojo_A-T23</x:v>
      </x:c>
      <x:c r="B388" s="18" t="n">
        <x:v>2026</x:v>
      </x:c>
      <x:c r="C388" s="18" t="n">
        <x:v>2025</x:v>
      </x:c>
      <x:c r="D388" s="28" t="n">
        <x:v>46201</x:v>
      </x:c>
      <x:c r="E388" s="18" t="str">
        <x:v>Acceso libre</x:v>
      </x:c>
      <x:c r="F388" s="18" t="str">
        <x:v>Primera parte</x:v>
      </x:c>
      <x:c r="G388" s="18" t="str">
        <x:v>Rojo A</x:v>
      </x:c>
      <x:c r="H388" s="18" t="str">
        <x:v>Rojo/Verde A/B</x:v>
      </x:c>
      <x:c r="I388" s="18" t="str">
        <x:v>Sí</x:v>
      </x:c>
      <x:c r="J388" s="18" t="str">
        <x:v>Los colores y modelos reproducen el mismo conjunto de preguntas con orden y/o opciones permutados; Rojo A es la variante canónica para frecuencias y Verde A se conserva como control de cobertura.</x:v>
      </x:c>
      <x:c r="K388" s="18" t="n">
        <x:v>23</x:v>
      </x:c>
      <x:c r="L388" s="18" t="str">
        <x:v>No</x:v>
      </x:c>
      <x:c r="M388" s="18" t="str">
        <x:v>De conformidad con el artículo 122 de la Ley 3912015, de I de octubre, del Procedimiento Administrativo Común de las Administraciones Públicas, 'eI plazo máximo para notificar la resolución de un recurso de alzada será:</x:v>
      </x:c>
      <x:c r="N388" s="18" t="str">
        <x:v>Un mes y contra su resolución no cabrá ningún otro recurso administrativo, salvo el recurso extraordinario de revisión, en los casos establecidos en el artículo 125. I .</x:v>
      </x:c>
      <x:c r="O388" s="18" t="str">
        <x:v>Tres meses y contra su resolución no cabrá ningún otro recurso administrativo, salvo el recurso extraordinario de revisión, en los casos establecidos en el artículo 125.1.</x:v>
      </x:c>
      <x:c r="P388" s="18" t="str">
        <x:v>Dos meses y contra su resolución no cabrá ningún otro recurso administrativo.</x:v>
      </x:c>
      <x:c r="Q388" s="18" t="str">
        <x:v>Tres meses y contra su resolución no cabrá ningún otro recurso administrativo.</x:v>
      </x:c>
      <x:c r="R388" s="18" t="str">
        <x:v>G18</x:v>
      </x:c>
      <x:c r="S388" s="18" t="n">
        <x:v>18</x:v>
      </x:c>
      <x:c r="T388" s="18" t="str">
        <x:v>Temario general</x:v>
      </x:c>
      <x:c r="U388" s="18" t="str">
        <x:v>Los recursos administrativos: concepto y clases. Recurso de alzada. Recurso potestativo de reposición. Recurso extraordinario de revisión. La jurisdicción contencioso-administrativa: objeto y plazos de interposición del recurso contencioso administrativo.</x:v>
      </x:c>
      <x:c r="V388" s="18" t="str">
        <x:v>recurso de alzada</x:v>
      </x:c>
      <x:c r="W388" s="18" t="str"/>
      <x:c r="X388" s="18" t="str">
        <x:v>122</x:v>
      </x:c>
      <x:c r="Y388" s="18" t="str">
        <x:v>Plazos</x:v>
      </x:c>
      <x:c r="Z388" s="18" t="str">
        <x:v>Media</x:v>
      </x:c>
      <x:c r="AA388" s="18" t="str">
        <x:v>recurso de alzada</x:v>
      </x:c>
      <x:c r="AB388" s="18" t="str"/>
      <x:c r="AC388" s="18" t="str"/>
      <x:c r="AD388" s="18" t="str">
        <x:v>No</x:v>
      </x:c>
      <x:c r="AE388" s="18" t="str">
        <x:v>Teórico</x:v>
      </x:c>
      <x:c r="AF388" s="18" t="str">
        <x:v>B</x:v>
      </x:c>
      <x:c r="AG388" s="18" t="str">
        <x:v>B</x:v>
      </x:c>
      <x:c r="AH388" s="18" t="str">
        <x:v>Válida</x:v>
      </x:c>
      <x:c r="AI388" s="18" t="str">
        <x:v>01. Información oficial de la oposición\Exámenes oficiales anteriores\2026 Convocatoria 2025 - Acceso libre Rojo A.pdf</x:v>
      </x:c>
      <x:c r="AJ388" s="18" t="str">
        <x:v>https://www.seg-social.es/wps/portal/wss/internet/InformacionUtil/9950/88beb45d-ca83-4bab-8162-f94ef2894562/e0c83707-3358-47a9-94d7-508221dad233</x:v>
      </x:c>
      <x:c r="AK388" s="18" t="str">
        <x:v>OCR Windows es-ES sobre PDF oficial</x:v>
      </x:c>
      <x:c r="AL388" s="18" t="n">
        <x:v>100</x:v>
      </x:c>
      <x:c r="AM388" s="18" t="str">
        <x:v>Alta</x:v>
      </x:c>
      <x:c r="AN388" s="18" t="str">
        <x:v>Regla jurídica determinista</x:v>
      </x:c>
      <x:c r="AO388" s="18" t="str">
        <x:v>2026_conv2025_rojo_A-T23</x:v>
      </x:c>
      <x:c r="AP388" s="18" t="n">
        <x:v>1</x:v>
      </x:c>
    </x:row>
    <x:row r="389">
      <x:c r="A389" s="18" t="str">
        <x:v>2026_conv2025_rojo_A-T24</x:v>
      </x:c>
      <x:c r="B389" s="18" t="n">
        <x:v>2026</x:v>
      </x:c>
      <x:c r="C389" s="18" t="n">
        <x:v>2025</x:v>
      </x:c>
      <x:c r="D389" s="28" t="n">
        <x:v>46201</x:v>
      </x:c>
      <x:c r="E389" s="18" t="str">
        <x:v>Acceso libre</x:v>
      </x:c>
      <x:c r="F389" s="18" t="str">
        <x:v>Primera parte</x:v>
      </x:c>
      <x:c r="G389" s="18" t="str">
        <x:v>Rojo A</x:v>
      </x:c>
      <x:c r="H389" s="18" t="str">
        <x:v>Rojo/Verde A/B</x:v>
      </x:c>
      <x:c r="I389" s="18" t="str">
        <x:v>Sí</x:v>
      </x:c>
      <x:c r="J389" s="18" t="str">
        <x:v>Los colores y modelos reproducen el mismo conjunto de preguntas con orden y/o opciones permutados; Rojo A es la variante canónica para frecuencias y Verde A se conserva como control de cobertura.</x:v>
      </x:c>
      <x:c r="K389" s="18" t="n">
        <x:v>24</x:v>
      </x:c>
      <x:c r="L389" s="18" t="str">
        <x:v>No</x:v>
      </x:c>
      <x:c r="M389" s="18" t="str">
        <x:v>Respecto a los derechos retributivos de los empleados públicos regulados en el Real Decreto Legislativo 5/2015, de 30 de octubre, por eI que se aprueba eI texto refundido de la Ley del Estatuto Básico del Empleado Público, señale la respuesta INCORRECTA:</x:v>
      </x:c>
      <x:c r="N389" s="18" t="str">
        <x:v>Las retribuciones complementarias son las que retribuyen las características de los puestos de trabajo, la carrera profesional o eI desempeño, rendimiento o resultados alcanzados por eI funcionario.</x:v>
      </x:c>
      <x:c r="O389" s="18" t="str">
        <x:v>No podrá percibirse participación en tributos o en cualquier otro ingreso de las Administraciones Públicas como contraprestación de cualquier servicio, participación o premio en multas impuestas, aun cuando estuviesen normativamente atribuidas a los servicios.</x:v>
      </x:c>
      <x:c r="P389" s="18" t="str">
        <x:v>Los trienios, en su condición de retribución complementaria, consisten en una cantidad que será igual para cada Subgrupo o Grupo de clasificación profesional, en el supuesto de que éste no tenga Subgrupo, por cada tres años de servicio.</x:v>
      </x:c>
      <x:c r="Q389" s="18" t="str">
        <x:v>Las retribuciones complementarias contemplan la especial dificultad técnica, responsabilidad, dedicación, incompatibilidad exigible para el desempeño de determinados puestos de trabajo o las condiciones en que se desarrolla el trabajo.</x:v>
      </x:c>
      <x:c r="R389" s="18" t="str">
        <x:v>G19</x:v>
      </x:c>
      <x:c r="S389" s="18" t="n">
        <x:v>19</x:v>
      </x:c>
      <x:c r="T389" s="18" t="str">
        <x:v>Temario general</x:v>
      </x:c>
      <x:c r="U389" s="18" t="str">
        <x:v>El personal al servicio de las Administraciones Públicas: concepto y clases. Derechos y deberes de los funcionarios. La carrera administrativa. Las incompatibilidades. Régimen disciplinario: faltas, sanciones y procedimiento.</x:v>
      </x:c>
      <x:c r="V389" s="18" t="str">
        <x:v>G19</x:v>
      </x:c>
      <x:c r="W389" s="18" t="str">
        <x:v>Real Decreto Legislativo 5/2015</x:v>
      </x:c>
      <x:c r="X389" s="18" t="str"/>
      <x:c r="Y389" s="18" t="str">
        <x:v>Artículos literales</x:v>
      </x:c>
      <x:c r="Z389" s="18" t="str">
        <x:v>Alta</x:v>
      </x:c>
      <x:c r="AA389" s="18" t="str">
        <x:v>G19</x:v>
      </x:c>
      <x:c r="AB389" s="18" t="str"/>
      <x:c r="AC389" s="18" t="str"/>
      <x:c r="AD389" s="18" t="str">
        <x:v>Sí</x:v>
      </x:c>
      <x:c r="AE389" s="18" t="str">
        <x:v>Teórico</x:v>
      </x:c>
      <x:c r="AF389" s="18" t="str">
        <x:v>C</x:v>
      </x:c>
      <x:c r="AG389" s="18" t="str">
        <x:v>C</x:v>
      </x:c>
      <x:c r="AH389" s="18" t="str">
        <x:v>Válida</x:v>
      </x:c>
      <x:c r="AI389" s="18" t="str">
        <x:v>01. Información oficial de la oposición\Exámenes oficiales anteriores\2026 Convocatoria 2025 - Acceso libre Rojo A.pdf</x:v>
      </x:c>
      <x:c r="AJ389" s="18" t="str">
        <x:v>https://www.seg-social.es/wps/portal/wss/internet/InformacionUtil/9950/88beb45d-ca83-4bab-8162-f94ef2894562/e0c83707-3358-47a9-94d7-508221dad233</x:v>
      </x:c>
      <x:c r="AK389" s="18" t="str">
        <x:v>OCR Windows es-ES sobre PDF oficial</x:v>
      </x:c>
      <x:c r="AL389" s="18" t="n">
        <x:v>100</x:v>
      </x:c>
      <x:c r="AM389" s="18" t="str">
        <x:v>Alta</x:v>
      </x:c>
      <x:c r="AN389" s="18" t="str">
        <x:v>Regla jurídica determinista</x:v>
      </x:c>
      <x:c r="AO389" s="18" t="str">
        <x:v>2026_conv2025_rojo_A-T24</x:v>
      </x:c>
      <x:c r="AP389" s="18" t="n">
        <x:v>1</x:v>
      </x:c>
    </x:row>
    <x:row r="390">
      <x:c r="A390" s="18" t="str">
        <x:v>2026_conv2025_rojo_A-T25</x:v>
      </x:c>
      <x:c r="B390" s="18" t="n">
        <x:v>2026</x:v>
      </x:c>
      <x:c r="C390" s="18" t="n">
        <x:v>2025</x:v>
      </x:c>
      <x:c r="D390" s="28" t="n">
        <x:v>46201</x:v>
      </x:c>
      <x:c r="E390" s="18" t="str">
        <x:v>Acceso libre</x:v>
      </x:c>
      <x:c r="F390" s="18" t="str">
        <x:v>Primera parte</x:v>
      </x:c>
      <x:c r="G390" s="18" t="str">
        <x:v>Rojo A</x:v>
      </x:c>
      <x:c r="H390" s="18" t="str">
        <x:v>Rojo/Verde A/B</x:v>
      </x:c>
      <x:c r="I390" s="18" t="str">
        <x:v>Sí</x:v>
      </x:c>
      <x:c r="J390" s="18" t="str">
        <x:v>Los colores y modelos reproducen el mismo conjunto de preguntas con orden y/o opciones permutados; Rojo A es la variante canónica para frecuencias y Verde A se conserva como control de cobertura.</x:v>
      </x:c>
      <x:c r="K390" s="18" t="n">
        <x:v>25</x:v>
      </x:c>
      <x:c r="L390" s="18" t="str">
        <x:v>No</x:v>
      </x:c>
      <x:c r="M390" s="18" t="str">
        <x:v>De acuerdo con 10 dispuesto en el artículo 56 del Real Decreto Legislativo 1/2013, de 29 de noviembre, por eI que se aprueba eI Texto Refundido de la Ley General de los Derechos de las Personas con Discapacidad y de su Inclusión Social, ¿a qué órgano se adscribe la Oficina de Atención a la Discapacidad?</x:v>
      </x:c>
      <x:c r="N390" s="18" t="str">
        <x:v>Consejo Nacional de la Discapacidad.</x:v>
      </x:c>
      <x:c r="O390" s="18" t="str">
        <x:v>Real Patronato sobre Discapacidad.</x:v>
      </x:c>
      <x:c r="P390" s="18" t="str">
        <x:v>Observatorio Estatal de la Discapacidad.</x:v>
      </x:c>
      <x:c r="Q390" s="18" t="str">
        <x:v>Dirección General de Derechos de las Personas con Discapacidad.</x:v>
      </x:c>
      <x:c r="R390" s="18" t="str">
        <x:v>G21</x:v>
      </x:c>
      <x:c r="S390" s="18" t="n">
        <x:v>21</x:v>
      </x:c>
      <x:c r="T390" s="18" t="str">
        <x:v>Temario general</x:v>
      </x:c>
      <x:c r="U390" s="18" t="str">
        <x:v>Políticas de igualdad y contra la violencia de género. Discapacidad y dependencia: régimen jurídico. La Ley 4/2023, de 28 de febrero, para la igualdad real y efectiva de las personas trans y para la garantía de los derechos de las personas LGTBI.</x:v>
      </x:c>
      <x:c r="V390" s="18" t="str">
        <x:v>G21</x:v>
      </x:c>
      <x:c r="W390" s="18" t="str">
        <x:v>Real Decreto Legislativo 1/2013</x:v>
      </x:c>
      <x:c r="X390" s="18" t="str">
        <x:v>56</x:v>
      </x:c>
      <x:c r="Y390" s="18" t="str">
        <x:v>Órganos</x:v>
      </x:c>
      <x:c r="Z390" s="18" t="str">
        <x:v>Media</x:v>
      </x:c>
      <x:c r="AA390" s="18" t="str">
        <x:v>G21</x:v>
      </x:c>
      <x:c r="AB390" s="18" t="str"/>
      <x:c r="AC390" s="18" t="str"/>
      <x:c r="AD390" s="18" t="str">
        <x:v>No</x:v>
      </x:c>
      <x:c r="AE390" s="18" t="str">
        <x:v>Teórico</x:v>
      </x:c>
      <x:c r="AF390" s="18" t="str">
        <x:v>A</x:v>
      </x:c>
      <x:c r="AG390" s="18" t="str">
        <x:v>A</x:v>
      </x:c>
      <x:c r="AH390" s="18" t="str">
        <x:v>Válida</x:v>
      </x:c>
      <x:c r="AI390" s="18" t="str">
        <x:v>01. Información oficial de la oposición\Exámenes oficiales anteriores\2026 Convocatoria 2025 - Acceso libre Rojo A.pdf</x:v>
      </x:c>
      <x:c r="AJ390" s="18" t="str">
        <x:v>https://www.seg-social.es/wps/portal/wss/internet/InformacionUtil/9950/88beb45d-ca83-4bab-8162-f94ef2894562/e0c83707-3358-47a9-94d7-508221dad233</x:v>
      </x:c>
      <x:c r="AK390" s="18" t="str">
        <x:v>OCR Windows es-ES sobre PDF oficial</x:v>
      </x:c>
      <x:c r="AL390" s="18" t="n">
        <x:v>100</x:v>
      </x:c>
      <x:c r="AM390" s="18" t="str">
        <x:v>Alta</x:v>
      </x:c>
      <x:c r="AN390" s="18" t="str">
        <x:v>Regla jurídica determinista</x:v>
      </x:c>
      <x:c r="AO390" s="18" t="str">
        <x:v>2026_conv2025_rojo_A-T25</x:v>
      </x:c>
      <x:c r="AP390" s="18" t="n">
        <x:v>1</x:v>
      </x:c>
    </x:row>
    <x:row r="391">
      <x:c r="A391" s="18" t="str">
        <x:v>2026_conv2025_rojo_A-T26</x:v>
      </x:c>
      <x:c r="B391" s="18" t="n">
        <x:v>2026</x:v>
      </x:c>
      <x:c r="C391" s="18" t="n">
        <x:v>2025</x:v>
      </x:c>
      <x:c r="D391" s="28" t="n">
        <x:v>46201</x:v>
      </x:c>
      <x:c r="E391" s="18" t="str">
        <x:v>Acceso libre</x:v>
      </x:c>
      <x:c r="F391" s="18" t="str">
        <x:v>Primera parte</x:v>
      </x:c>
      <x:c r="G391" s="18" t="str">
        <x:v>Rojo A</x:v>
      </x:c>
      <x:c r="H391" s="18" t="str">
        <x:v>Rojo/Verde A/B</x:v>
      </x:c>
      <x:c r="I391" s="18" t="str">
        <x:v>Sí</x:v>
      </x:c>
      <x:c r="J391" s="18" t="str">
        <x:v>Los colores y modelos reproducen el mismo conjunto de preguntas con orden y/o opciones permutados; Rojo A es la variante canónica para frecuencias y Verde A se conserva como control de cobertura.</x:v>
      </x:c>
      <x:c r="K391" s="18" t="n">
        <x:v>26</x:v>
      </x:c>
      <x:c r="L391" s="18" t="str">
        <x:v>No</x:v>
      </x:c>
      <x:c r="M391" s="18" t="str">
        <x:v>De conformidad con eI artículo 27 de la Ley Orgánica 3/2007, de 22 de marzo, para la igualdad efectiva de mujeres y hombres, las políticas, estrategias y programas de salud integrarán las distintas necesidades de mujeres y hombres y las medidas necesarias para abordarlas adecuadamente:</x:v>
      </x:c>
      <x:c r="N391" s="18" t="str">
        <x:v>En su puesta en marcha y posterior revisión.</x:v>
      </x:c>
      <x:c r="O391" s="18" t="str">
        <x:v>En todos sus ámbitos.</x:v>
      </x:c>
      <x:c r="P391" s="18" t="str">
        <x:v>Exclusivamente en su desarrollo.</x:v>
      </x:c>
      <x:c r="Q391" s="18" t="str">
        <x:v>En su formulación, desarrollo y evaluación.</x:v>
      </x:c>
      <x:c r="R391" s="18" t="str">
        <x:v>G21</x:v>
      </x:c>
      <x:c r="S391" s="18" t="n">
        <x:v>21</x:v>
      </x:c>
      <x:c r="T391" s="18" t="str">
        <x:v>Temario general</x:v>
      </x:c>
      <x:c r="U391" s="18" t="str">
        <x:v>Políticas de igualdad y contra la violencia de género. Discapacidad y dependencia: régimen jurídico. La Ley 4/2023, de 28 de febrero, para la igualdad real y efectiva de las personas trans y para la garantía de los derechos de las personas LGTBI.</x:v>
      </x:c>
      <x:c r="V391" s="18" t="str">
        <x:v>G21</x:v>
      </x:c>
      <x:c r="W391" s="18" t="str">
        <x:v>Ley Orgánica 3/2007</x:v>
      </x:c>
      <x:c r="X391" s="18" t="str">
        <x:v>27</x:v>
      </x:c>
      <x:c r="Y391" s="18" t="str">
        <x:v>Artículos literales</x:v>
      </x:c>
      <x:c r="Z391" s="18" t="str">
        <x:v>Media</x:v>
      </x:c>
      <x:c r="AA391" s="18" t="str">
        <x:v>G21</x:v>
      </x:c>
      <x:c r="AB391" s="18" t="str"/>
      <x:c r="AC391" s="18" t="str"/>
      <x:c r="AD391" s="18" t="str">
        <x:v>No</x:v>
      </x:c>
      <x:c r="AE391" s="18" t="str">
        <x:v>Teórico</x:v>
      </x:c>
      <x:c r="AF391" s="18" t="str">
        <x:v>D</x:v>
      </x:c>
      <x:c r="AG391" s="18" t="str">
        <x:v>D</x:v>
      </x:c>
      <x:c r="AH391" s="18" t="str">
        <x:v>Válida</x:v>
      </x:c>
      <x:c r="AI391" s="18" t="str">
        <x:v>01. Información oficial de la oposición\Exámenes oficiales anteriores\2026 Convocatoria 2025 - Acceso libre Rojo A.pdf</x:v>
      </x:c>
      <x:c r="AJ391" s="18" t="str">
        <x:v>https://www.seg-social.es/wps/portal/wss/internet/InformacionUtil/9950/88beb45d-ca83-4bab-8162-f94ef2894562/e0c83707-3358-47a9-94d7-508221dad233</x:v>
      </x:c>
      <x:c r="AK391" s="18" t="str">
        <x:v>OCR Windows es-ES sobre PDF oficial</x:v>
      </x:c>
      <x:c r="AL391" s="18" t="n">
        <x:v>100</x:v>
      </x:c>
      <x:c r="AM391" s="18" t="str">
        <x:v>Alta</x:v>
      </x:c>
      <x:c r="AN391" s="18" t="str">
        <x:v>Regla jurídica determinista</x:v>
      </x:c>
      <x:c r="AO391" s="18" t="str">
        <x:v>2026_conv2025_rojo_A-T26</x:v>
      </x:c>
      <x:c r="AP391" s="18" t="n">
        <x:v>1</x:v>
      </x:c>
    </x:row>
    <x:row r="392">
      <x:c r="A392" s="18" t="str">
        <x:v>2026_conv2025_rojo_A-T27</x:v>
      </x:c>
      <x:c r="B392" s="18" t="n">
        <x:v>2026</x:v>
      </x:c>
      <x:c r="C392" s="18" t="n">
        <x:v>2025</x:v>
      </x:c>
      <x:c r="D392" s="28" t="n">
        <x:v>46201</x:v>
      </x:c>
      <x:c r="E392" s="18" t="str">
        <x:v>Acceso libre</x:v>
      </x:c>
      <x:c r="F392" s="18" t="str">
        <x:v>Primera parte</x:v>
      </x:c>
      <x:c r="G392" s="18" t="str">
        <x:v>Rojo A</x:v>
      </x:c>
      <x:c r="H392" s="18" t="str">
        <x:v>Rojo/Verde A/B</x:v>
      </x:c>
      <x:c r="I392" s="18" t="str">
        <x:v>Sí</x:v>
      </x:c>
      <x:c r="J392" s="18" t="str">
        <x:v>Los colores y modelos reproducen el mismo conjunto de preguntas con orden y/o opciones permutados; Rojo A es la variante canónica para frecuencias y Verde A se conserva como control de cobertura.</x:v>
      </x:c>
      <x:c r="K392" s="18" t="n">
        <x:v>27</x:v>
      </x:c>
      <x:c r="L392" s="18" t="str">
        <x:v>No</x:v>
      </x:c>
      <x:c r="M392" s="18" t="str">
        <x:v>Según eI art. 6 del Reglamento (UE) 2016/679 del Parlamento Europeo y del Consejo de 27 de abril de 2016, el tratamiento de los datos solo es lícito si se cumple al menos una de las siguientes condiciones: Señale la respuesta INCORRECTA.</x:v>
      </x:c>
      <x:c r="N392" s="18" t="str">
        <x:v>EI interesado dio su consentimiento para el tratamiento de sus datos personales para uno o varios fines específicos.</x:v>
      </x:c>
      <x:c r="O392" s="18" t="str">
        <x:v>EI tratamiento es necesario para proteger intereses vitales del interesado o de otra persona física.</x:v>
      </x:c>
      <x:c r="P392" s="18" t="str">
        <x:v>EI tratamiento no es necesario. para el cumplimiento de una obligación legal aplicable al responsable del tratamiento.</x:v>
      </x:c>
      <x:c r="Q392" s="18" t="str">
        <x:v>EI tratamiento es necesario para la ejecución de un contrato en eI que el interesado es parte o para la aplicación a petición de este de medidas precontractuales.</x:v>
      </x:c>
      <x:c r="R392" s="18" t="str">
        <x:v>G22</x:v>
      </x:c>
      <x:c r="S392" s="18" t="n">
        <x:v>22</x:v>
      </x:c>
      <x:c r="T392" s="18" t="str">
        <x:v>Temario general</x:v>
      </x:c>
      <x:c r="U392" s="18" t="str">
        <x:v>Normativa reguladora de la protección de datos personales: principios, derechos de las personas y ejercicios de los derechos.</x:v>
      </x:c>
      <x:c r="V392" s="18" t="str">
        <x:v>G22</x:v>
      </x:c>
      <x:c r="W392" s="18" t="str">
        <x:v>Reglamento (UE) 2016/679</x:v>
      </x:c>
      <x:c r="X392" s="18" t="str"/>
      <x:c r="Y392" s="18" t="str">
        <x:v>Artículos literales</x:v>
      </x:c>
      <x:c r="Z392" s="18" t="str">
        <x:v>Alta</x:v>
      </x:c>
      <x:c r="AA392" s="18" t="str">
        <x:v>G22</x:v>
      </x:c>
      <x:c r="AB392" s="18" t="str">
        <x:v>Parlamento Europeo</x:v>
      </x:c>
      <x:c r="AC392" s="18" t="str"/>
      <x:c r="AD392" s="18" t="str">
        <x:v>Sí</x:v>
      </x:c>
      <x:c r="AE392" s="18" t="str">
        <x:v>Teórico</x:v>
      </x:c>
      <x:c r="AF392" s="18" t="str">
        <x:v>C</x:v>
      </x:c>
      <x:c r="AG392" s="18" t="str">
        <x:v>C</x:v>
      </x:c>
      <x:c r="AH392" s="18" t="str">
        <x:v>Válida</x:v>
      </x:c>
      <x:c r="AI392" s="18" t="str">
        <x:v>01. Información oficial de la oposición\Exámenes oficiales anteriores\2026 Convocatoria 2025 - Acceso libre Rojo A.pdf</x:v>
      </x:c>
      <x:c r="AJ392" s="18" t="str">
        <x:v>https://www.seg-social.es/wps/portal/wss/internet/InformacionUtil/9950/88beb45d-ca83-4bab-8162-f94ef2894562/e0c83707-3358-47a9-94d7-508221dad233</x:v>
      </x:c>
      <x:c r="AK392" s="18" t="str">
        <x:v>OCR Windows es-ES sobre PDF oficial</x:v>
      </x:c>
      <x:c r="AL392" s="18" t="n">
        <x:v>100</x:v>
      </x:c>
      <x:c r="AM392" s="18" t="str">
        <x:v>Alta</x:v>
      </x:c>
      <x:c r="AN392" s="18" t="str">
        <x:v>Regla jurídica determinista</x:v>
      </x:c>
      <x:c r="AO392" s="18" t="str">
        <x:v>2026_conv2025_rojo_A-T27</x:v>
      </x:c>
      <x:c r="AP392" s="18" t="n">
        <x:v>1</x:v>
      </x:c>
    </x:row>
    <x:row r="393">
      <x:c r="A393" s="18" t="str">
        <x:v>2026_conv2025_rojo_A-T28</x:v>
      </x:c>
      <x:c r="B393" s="18" t="n">
        <x:v>2026</x:v>
      </x:c>
      <x:c r="C393" s="18" t="n">
        <x:v>2025</x:v>
      </x:c>
      <x:c r="D393" s="28" t="n">
        <x:v>46201</x:v>
      </x:c>
      <x:c r="E393" s="18" t="str">
        <x:v>Acceso libre</x:v>
      </x:c>
      <x:c r="F393" s="18" t="str">
        <x:v>Primera parte</x:v>
      </x:c>
      <x:c r="G393" s="18" t="str">
        <x:v>Rojo A</x:v>
      </x:c>
      <x:c r="H393" s="18" t="str">
        <x:v>Rojo/Verde A/B</x:v>
      </x:c>
      <x:c r="I393" s="18" t="str">
        <x:v>Sí</x:v>
      </x:c>
      <x:c r="J393" s="18" t="str">
        <x:v>Los colores y modelos reproducen el mismo conjunto de preguntas con orden y/o opciones permutados; Rojo A es la variante canónica para frecuencias y Verde A se conserva como control de cobertura.</x:v>
      </x:c>
      <x:c r="K393" s="18" t="n">
        <x:v>28</x:v>
      </x:c>
      <x:c r="L393" s="18" t="str">
        <x:v>No</x:v>
      </x:c>
      <x:c r="M393" s="18" t="str">
        <x:v>En relación con la configuración del expediente electrónico administrativo, regulada en eI artículo 51 del Real Decreto 203/2021, de 30 de marzo, por el que se aprueba eI Reglamento de actuación y funcionamiento del sector público por medios electrónicos, señale la respuesta correcta:</x:v>
      </x:c>
      <x:c r="N393" s="18" t="str">
        <x:v>EI foliado de los expedientes administrativos electrónicos se llevará a cabo mediante un índice electrónico autenticado.</x:v>
      </x:c>
      <x:c r="O393" s="18" t="str">
        <x:v>En ningún caso se formarán expedientes de manera automática.</x:v>
      </x:c>
      <x:c r="P393" s="18" t="str">
        <x:v>Un mismo documento no podrá formar parte de distintos expedientes administrativos.</x:v>
      </x:c>
      <x:c r="Q393" s="18" t="str">
        <x:v>EI índice electrónico autenticado será firmado por un funcionario del órgano que conforme el expediente para su tramitación.</x:v>
      </x:c>
      <x:c r="R393" s="18" t="str">
        <x:v>G23</x:v>
      </x:c>
      <x:c r="S393" s="18" t="n">
        <x:v>23</x:v>
      </x:c>
      <x:c r="T393" s="18" t="str">
        <x:v>Temario general</x:v>
      </x:c>
      <x:c r="U393" s="18" t="str">
        <x:v>El funcionamiento electrónico del sector público. Derecho y obligación de relacionarse electrónicamente con las Administraciones Públicas, registros y archivo electrónico.</x:v>
      </x:c>
      <x:c r="V393" s="18" t="str">
        <x:v>G23</x:v>
      </x:c>
      <x:c r="W393" s="18" t="str">
        <x:v>Real Decreto 203/2021</x:v>
      </x:c>
      <x:c r="X393" s="18" t="str">
        <x:v>51</x:v>
      </x:c>
      <x:c r="Y393" s="18" t="str">
        <x:v>Artículos literales</x:v>
      </x:c>
      <x:c r="Z393" s="18" t="str">
        <x:v>Media</x:v>
      </x:c>
      <x:c r="AA393" s="18" t="str">
        <x:v>G23</x:v>
      </x:c>
      <x:c r="AB393" s="18" t="str"/>
      <x:c r="AC393" s="18" t="str"/>
      <x:c r="AD393" s="18" t="str">
        <x:v>No</x:v>
      </x:c>
      <x:c r="AE393" s="18" t="str">
        <x:v>Teórico</x:v>
      </x:c>
      <x:c r="AF393" s="18" t="str">
        <x:v>A</x:v>
      </x:c>
      <x:c r="AG393" s="18" t="str">
        <x:v>A</x:v>
      </x:c>
      <x:c r="AH393" s="18" t="str">
        <x:v>Válida</x:v>
      </x:c>
      <x:c r="AI393" s="18" t="str">
        <x:v>01. Información oficial de la oposición\Exámenes oficiales anteriores\2026 Convocatoria 2025 - Acceso libre Rojo A.pdf</x:v>
      </x:c>
      <x:c r="AJ393" s="18" t="str">
        <x:v>https://www.seg-social.es/wps/portal/wss/internet/InformacionUtil/9950/88beb45d-ca83-4bab-8162-f94ef2894562/e0c83707-3358-47a9-94d7-508221dad233</x:v>
      </x:c>
      <x:c r="AK393" s="18" t="str">
        <x:v>OCR Windows es-ES sobre PDF oficial</x:v>
      </x:c>
      <x:c r="AL393" s="18" t="n">
        <x:v>100</x:v>
      </x:c>
      <x:c r="AM393" s="18" t="str">
        <x:v>Alta</x:v>
      </x:c>
      <x:c r="AN393" s="18" t="str">
        <x:v>Regla jurídica determinista</x:v>
      </x:c>
      <x:c r="AO393" s="18" t="str">
        <x:v>2026_conv2025_rojo_A-T28</x:v>
      </x:c>
      <x:c r="AP393" s="18" t="n">
        <x:v>1</x:v>
      </x:c>
    </x:row>
    <x:row r="394">
      <x:c r="A394" s="18" t="str">
        <x:v>2026_conv2025_rojo_A-T29</x:v>
      </x:c>
      <x:c r="B394" s="18" t="n">
        <x:v>2026</x:v>
      </x:c>
      <x:c r="C394" s="18" t="n">
        <x:v>2025</x:v>
      </x:c>
      <x:c r="D394" s="28" t="n">
        <x:v>46201</x:v>
      </x:c>
      <x:c r="E394" s="18" t="str">
        <x:v>Acceso libre</x:v>
      </x:c>
      <x:c r="F394" s="18" t="str">
        <x:v>Primera parte</x:v>
      </x:c>
      <x:c r="G394" s="18" t="str">
        <x:v>Rojo A</x:v>
      </x:c>
      <x:c r="H394" s="18" t="str">
        <x:v>Rojo/Verde A/B</x:v>
      </x:c>
      <x:c r="I394" s="18" t="str">
        <x:v>Sí</x:v>
      </x:c>
      <x:c r="J394" s="18" t="str">
        <x:v>Los colores y modelos reproducen el mismo conjunto de preguntas con orden y/o opciones permutados; Rojo A es la variante canónica para frecuencias y Verde A se conserva como control de cobertura.</x:v>
      </x:c>
      <x:c r="K394" s="18" t="n">
        <x:v>29</x:v>
      </x:c>
      <x:c r="L394" s="18" t="str">
        <x:v>No</x:v>
      </x:c>
      <x:c r="M394" s="18" t="str">
        <x:v>¿Cuál de los siguientes NO es un Título del texto refundido de la Ley General de la Seguridad Social?</x:v>
      </x:c>
      <x:c r="N394" s="18" t="str">
        <x:v>Prestaciones contributivas.</x:v>
      </x:c>
      <x:c r="O394" s="18" t="str">
        <x:v>Prestaciones no contributivas.</x:v>
      </x:c>
      <x:c r="P394" s="18" t="str">
        <x:v>Prestación por cese de actividad.</x:v>
      </x:c>
      <x:c r="Q394" s="18" t="str">
        <x:v>Normas generales del sistema de la Seguridad Social.</x:v>
      </x:c>
      <x:c r="R394" s="18" t="str">
        <x:v>S01</x:v>
      </x:c>
      <x:c r="S394" s="18" t="n">
        <x:v>1</x:v>
      </x:c>
      <x:c r="T394" s="18" t="str">
        <x:v>Temario específico Seguridad Social</x:v>
      </x:c>
      <x:c r="U394" s="18" t="str">
        <x:v>La Seguridad Social en la Constitución española de 1978. El texto refundido de la Ley General de la Seguridad Social.</x:v>
      </x:c>
      <x:c r="V394" s="18" t="str">
        <x:v>S01</x:v>
      </x:c>
      <x:c r="W394" s="18" t="str">
        <x:v>texto refundido de la Ley General de la Seguridad Social</x:v>
      </x:c>
      <x:c r="X394" s="18" t="str"/>
      <x:c r="Y394" s="18" t="str">
        <x:v>Artículos literales</x:v>
      </x:c>
      <x:c r="Z394" s="18" t="str">
        <x:v>Básica</x:v>
      </x:c>
      <x:c r="AA394" s="18" t="str">
        <x:v>S01</x:v>
      </x:c>
      <x:c r="AB394" s="18" t="str"/>
      <x:c r="AC394" s="18" t="str"/>
      <x:c r="AD394" s="18" t="str">
        <x:v>Sí</x:v>
      </x:c>
      <x:c r="AE394" s="18" t="str">
        <x:v>Teórico</x:v>
      </x:c>
      <x:c r="AF394" s="18" t="str">
        <x:v>A</x:v>
      </x:c>
      <x:c r="AG394" s="18" t="str">
        <x:v>ANULADA</x:v>
      </x:c>
      <x:c r="AH394" s="18" t="str">
        <x:v>Anulada</x:v>
      </x:c>
      <x:c r="AI394" s="18" t="str">
        <x:v>01. Información oficial de la oposición\Exámenes oficiales anteriores\2026 Convocatoria 2025 - Acceso libre Rojo A.pdf</x:v>
      </x:c>
      <x:c r="AJ394" s="18" t="str">
        <x:v>https://www.seg-social.es/wps/portal/wss/internet/InformacionUtil/9950/88beb45d-ca83-4bab-8162-f94ef2894562/e0c83707-3358-47a9-94d7-508221dad233</x:v>
      </x:c>
      <x:c r="AK394" s="18" t="str">
        <x:v>OCR Windows es-ES sobre PDF oficial</x:v>
      </x:c>
      <x:c r="AL394" s="18" t="n">
        <x:v>100</x:v>
      </x:c>
      <x:c r="AM394" s="18" t="str">
        <x:v>Alta</x:v>
      </x:c>
      <x:c r="AN394" s="18" t="str">
        <x:v>Regla jurídica determinista</x:v>
      </x:c>
      <x:c r="AO394" s="18" t="str">
        <x:v>2026_conv2025_rojo_A-T29</x:v>
      </x:c>
      <x:c r="AP394" s="18" t="n">
        <x:v>1</x:v>
      </x:c>
    </x:row>
    <x:row r="395">
      <x:c r="A395" s="18" t="str">
        <x:v>2026_conv2025_rojo_A-T30</x:v>
      </x:c>
      <x:c r="B395" s="18" t="n">
        <x:v>2026</x:v>
      </x:c>
      <x:c r="C395" s="18" t="n">
        <x:v>2025</x:v>
      </x:c>
      <x:c r="D395" s="28" t="n">
        <x:v>46201</x:v>
      </x:c>
      <x:c r="E395" s="18" t="str">
        <x:v>Acceso libre</x:v>
      </x:c>
      <x:c r="F395" s="18" t="str">
        <x:v>Primera parte</x:v>
      </x:c>
      <x:c r="G395" s="18" t="str">
        <x:v>Rojo A</x:v>
      </x:c>
      <x:c r="H395" s="18" t="str">
        <x:v>Rojo/Verde A/B</x:v>
      </x:c>
      <x:c r="I395" s="18" t="str">
        <x:v>Sí</x:v>
      </x:c>
      <x:c r="J395" s="18" t="str">
        <x:v>Los colores y modelos reproducen el mismo conjunto de preguntas con orden y/o opciones permutados; Rojo A es la variante canónica para frecuencias y Verde A se conserva como control de cobertura.</x:v>
      </x:c>
      <x:c r="K395" s="18" t="n">
        <x:v>30</x:v>
      </x:c>
      <x:c r="L395" s="18" t="str">
        <x:v>No</x:v>
      </x:c>
      <x:c r="M395" s="18" t="str">
        <x:v>¿Cuántas disposiciones adicionales tiene eI texto refundido de la Ley General de la Seguridad Social?</x:v>
      </x:c>
      <x:c r="N395" s="18" t="str">
        <x:v>54.</x:v>
      </x:c>
      <x:c r="O395" s="18" t="str">
        <x:v>61.</x:v>
      </x:c>
      <x:c r="P395" s="18" t="str">
        <x:v>373.</x:v>
      </x:c>
      <x:c r="Q395" s="18" t="str">
        <x:v>60.</x:v>
      </x:c>
      <x:c r="R395" s="18" t="str">
        <x:v>S01</x:v>
      </x:c>
      <x:c r="S395" s="18" t="n">
        <x:v>1</x:v>
      </x:c>
      <x:c r="T395" s="18" t="str">
        <x:v>Temario específico Seguridad Social</x:v>
      </x:c>
      <x:c r="U395" s="18" t="str">
        <x:v>La Seguridad Social en la Constitución española de 1978. El texto refundido de la Ley General de la Seguridad Social.</x:v>
      </x:c>
      <x:c r="V395" s="18" t="str">
        <x:v>S01</x:v>
      </x:c>
      <x:c r="W395" s="18" t="str">
        <x:v>texto refundido de la Ley General de la Seguridad Social</x:v>
      </x:c>
      <x:c r="X395" s="18" t="str"/>
      <x:c r="Y395" s="18" t="str">
        <x:v>Artículos literales</x:v>
      </x:c>
      <x:c r="Z395" s="18" t="str">
        <x:v>Básica</x:v>
      </x:c>
      <x:c r="AA395" s="18" t="str">
        <x:v>S01</x:v>
      </x:c>
      <x:c r="AB395" s="18" t="str"/>
      <x:c r="AC395" s="18" t="str"/>
      <x:c r="AD395" s="18" t="str">
        <x:v>No</x:v>
      </x:c>
      <x:c r="AE395" s="18" t="str">
        <x:v>Teórico</x:v>
      </x:c>
      <x:c r="AF395" s="18" t="str">
        <x:v>B</x:v>
      </x:c>
      <x:c r="AG395" s="18" t="str">
        <x:v>B</x:v>
      </x:c>
      <x:c r="AH395" s="18" t="str">
        <x:v>Válida</x:v>
      </x:c>
      <x:c r="AI395" s="18" t="str">
        <x:v>01. Información oficial de la oposición\Exámenes oficiales anteriores\2026 Convocatoria 2025 - Acceso libre Rojo A.pdf</x:v>
      </x:c>
      <x:c r="AJ395" s="18" t="str">
        <x:v>https://www.seg-social.es/wps/portal/wss/internet/InformacionUtil/9950/88beb45d-ca83-4bab-8162-f94ef2894562/e0c83707-3358-47a9-94d7-508221dad233</x:v>
      </x:c>
      <x:c r="AK395" s="18" t="str">
        <x:v>OCR Windows es-ES sobre PDF oficial</x:v>
      </x:c>
      <x:c r="AL395" s="18" t="n">
        <x:v>100</x:v>
      </x:c>
      <x:c r="AM395" s="18" t="str">
        <x:v>Alta</x:v>
      </x:c>
      <x:c r="AN395" s="18" t="str">
        <x:v>Regla jurídica determinista</x:v>
      </x:c>
      <x:c r="AO395" s="18" t="str">
        <x:v>2026_conv2025_rojo_A-T30</x:v>
      </x:c>
      <x:c r="AP395" s="18" t="n">
        <x:v>1</x:v>
      </x:c>
    </x:row>
    <x:row r="396">
      <x:c r="A396" s="18" t="str">
        <x:v>2026_conv2025_rojo_A-T31</x:v>
      </x:c>
      <x:c r="B396" s="18" t="n">
        <x:v>2026</x:v>
      </x:c>
      <x:c r="C396" s="18" t="n">
        <x:v>2025</x:v>
      </x:c>
      <x:c r="D396" s="28" t="n">
        <x:v>46201</x:v>
      </x:c>
      <x:c r="E396" s="18" t="str">
        <x:v>Acceso libre</x:v>
      </x:c>
      <x:c r="F396" s="18" t="str">
        <x:v>Primera parte</x:v>
      </x:c>
      <x:c r="G396" s="18" t="str">
        <x:v>Rojo A</x:v>
      </x:c>
      <x:c r="H396" s="18" t="str">
        <x:v>Rojo/Verde A/B</x:v>
      </x:c>
      <x:c r="I396" s="18" t="str">
        <x:v>Sí</x:v>
      </x:c>
      <x:c r="J396" s="18" t="str">
        <x:v>Los colores y modelos reproducen el mismo conjunto de preguntas con orden y/o opciones permutados; Rojo A es la variante canónica para frecuencias y Verde A se conserva como control de cobertura.</x:v>
      </x:c>
      <x:c r="K396" s="18" t="n">
        <x:v>31</x:v>
      </x:c>
      <x:c r="L396" s="18" t="str">
        <x:v>No</x:v>
      </x:c>
      <x:c r="M396" s="18" t="str">
        <x:v>¿Cuál de los siguientes NO se considera un Régimen Especial de la Seguridad Social de los previstos en el articulo 10 del texto refundido de la Ley General de la Seguridad Social?:</x:v>
      </x:c>
      <x:c r="N396" s="18" t="str">
        <x:v>Trabajadores del hogar.</x:v>
      </x:c>
      <x:c r="O396" s="18" t="str">
        <x:v>Trabajadores por cuenta propia o autónomos.</x:v>
      </x:c>
      <x:c r="P396" s="18" t="str">
        <x:v>Trabajadores del mar.</x:v>
      </x:c>
      <x:c r="Q396" s="18" t="str">
        <x:v>Estudiantes.</x:v>
      </x:c>
      <x:c r="R396" s="18" t="str">
        <x:v>S02</x:v>
      </x:c>
      <x:c r="S396" s="18" t="n">
        <x:v>2</x:v>
      </x:c>
      <x:c r="T396" s="18" t="str">
        <x:v>Temario específico Seguridad Social</x:v>
      </x:c>
      <x:c r="U396" s="18" t="str">
        <x:v>Campo de aplicación y composición del sistema de la Seguridad Social. Régimen general: ámbito subjetivo de aplicación, inclusiones y exclusiones. Regímenes especiales: enumeración, características generales, altas, bajas y cotización. Particularidades de la acción protectora. Sistemas especiales: enumeración y características generales. Altas, bajas y cotización. Particularidades de la acción protectora.</x:v>
      </x:c>
      <x:c r="V396" s="18" t="str">
        <x:v>S02</x:v>
      </x:c>
      <x:c r="W396" s="18" t="str">
        <x:v>texto refundido de la Ley General de la Seguridad Social</x:v>
      </x:c>
      <x:c r="X396" s="18" t="str">
        <x:v>10</x:v>
      </x:c>
      <x:c r="Y396" s="18" t="str">
        <x:v>Artículos literales</x:v>
      </x:c>
      <x:c r="Z396" s="18" t="str">
        <x:v>Media</x:v>
      </x:c>
      <x:c r="AA396" s="18" t="str">
        <x:v>S02</x:v>
      </x:c>
      <x:c r="AB396" s="18" t="str"/>
      <x:c r="AC396" s="18" t="str"/>
      <x:c r="AD396" s="18" t="str">
        <x:v>No</x:v>
      </x:c>
      <x:c r="AE396" s="18" t="str">
        <x:v>Teórico</x:v>
      </x:c>
      <x:c r="AF396" s="18" t="str">
        <x:v>A</x:v>
      </x:c>
      <x:c r="AG396" s="18" t="str">
        <x:v>A</x:v>
      </x:c>
      <x:c r="AH396" s="18" t="str">
        <x:v>Válida</x:v>
      </x:c>
      <x:c r="AI396" s="18" t="str">
        <x:v>01. Información oficial de la oposición\Exámenes oficiales anteriores\2026 Convocatoria 2025 - Acceso libre Rojo A.pdf</x:v>
      </x:c>
      <x:c r="AJ396" s="18" t="str">
        <x:v>https://www.seg-social.es/wps/portal/wss/internet/InformacionUtil/9950/88beb45d-ca83-4bab-8162-f94ef2894562/e0c83707-3358-47a9-94d7-508221dad233</x:v>
      </x:c>
      <x:c r="AK396" s="18" t="str">
        <x:v>OCR Windows es-ES sobre PDF oficial</x:v>
      </x:c>
      <x:c r="AL396" s="18" t="n">
        <x:v>100</x:v>
      </x:c>
      <x:c r="AM396" s="18" t="str">
        <x:v>Alta</x:v>
      </x:c>
      <x:c r="AN396" s="18" t="str">
        <x:v>Regla jurídica determinista</x:v>
      </x:c>
      <x:c r="AO396" s="18" t="str">
        <x:v>2026_conv2025_rojo_A-T31</x:v>
      </x:c>
      <x:c r="AP396" s="18" t="n">
        <x:v>1</x:v>
      </x:c>
    </x:row>
    <x:row r="397">
      <x:c r="A397" s="18" t="str">
        <x:v>2026_conv2025_rojo_A-T32</x:v>
      </x:c>
      <x:c r="B397" s="18" t="n">
        <x:v>2026</x:v>
      </x:c>
      <x:c r="C397" s="18" t="n">
        <x:v>2025</x:v>
      </x:c>
      <x:c r="D397" s="28" t="n">
        <x:v>46201</x:v>
      </x:c>
      <x:c r="E397" s="18" t="str">
        <x:v>Acceso libre</x:v>
      </x:c>
      <x:c r="F397" s="18" t="str">
        <x:v>Primera parte</x:v>
      </x:c>
      <x:c r="G397" s="18" t="str">
        <x:v>Rojo A</x:v>
      </x:c>
      <x:c r="H397" s="18" t="str">
        <x:v>Rojo/Verde A/B</x:v>
      </x:c>
      <x:c r="I397" s="18" t="str">
        <x:v>Sí</x:v>
      </x:c>
      <x:c r="J397" s="18" t="str">
        <x:v>Los colores y modelos reproducen el mismo conjunto de preguntas con orden y/o opciones permutados; Rojo A es la variante canónica para frecuencias y Verde A se conserva como control de cobertura.</x:v>
      </x:c>
      <x:c r="K397" s="18" t="n">
        <x:v>32</x:v>
      </x:c>
      <x:c r="L397" s="18" t="str">
        <x:v>No</x:v>
      </x:c>
      <x:c r="M397" s="18" t="str">
        <x:v>Señale la respuesta correcta en base a 10 previsto en el artículo 12 del texto refundido de la Ley General de la Seguridad Social, sobre los familiares del empresario/a:</x:v>
      </x:c>
      <x:c r="N397" s="18" t="str">
        <x:v>No tendrán la consideración de trabajadores/as por cuenta ajena, salvo prueba en contrario: parientes del empresario/a, por consanguinidad o afinidad hasta el tercer grado inclusive y, en su caso, por adopción, ocupados en su centro o centros de trabajo, cuando convivan en su hogar y estén a su cargo.</x:v>
      </x:c>
      <x:c r="O397" s="18" t="str">
        <x:v>Los trabajadore/as autónomos podrán contratar, como trabajadores por cuenta ajena, a los hijos/as menores de 30 años, aunque convivan con ellos, quedando incluida la cobertura por desempleo dentro de la acción protectora dispensada.</x:v>
      </x:c>
      <x:c r="P397" s="18" t="str">
        <x:v>Los trabajadores/as autónomos podrán contratar, como trabajadores/as por cuenta ajena, a los hijos/as que, aun siendo mayores de 30 años, convivan con ellos y tengan especiales dificultades para su inserción laboral.</x:v>
      </x:c>
      <x:c r="Q397" s="18" t="str">
        <x:v>Tendrá la consideración de trabajador/a por cuenta ajena, en todo caso, eI cónyuge del empresario/a.</x:v>
      </x:c>
      <x:c r="R397" s="18" t="str">
        <x:v>S02</x:v>
      </x:c>
      <x:c r="S397" s="18" t="n">
        <x:v>2</x:v>
      </x:c>
      <x:c r="T397" s="18" t="str">
        <x:v>Temario específico Seguridad Social</x:v>
      </x:c>
      <x:c r="U397" s="18" t="str">
        <x:v>Campo de aplicación y composición del sistema de la Seguridad Social. Régimen general: ámbito subjetivo de aplicación, inclusiones y exclusiones. Regímenes especiales: enumeración, características generales, altas, bajas y cotización. Particularidades de la acción protectora. Sistemas especiales: enumeración y características generales. Altas, bajas y cotización. Particularidades de la acción protectora.</x:v>
      </x:c>
      <x:c r="V397" s="18" t="str">
        <x:v>S02</x:v>
      </x:c>
      <x:c r="W397" s="18" t="str">
        <x:v>texto refundido de la Ley General de la Seguridad Social</x:v>
      </x:c>
      <x:c r="X397" s="18" t="str">
        <x:v>12</x:v>
      </x:c>
      <x:c r="Y397" s="18" t="str">
        <x:v>Artículos literales</x:v>
      </x:c>
      <x:c r="Z397" s="18" t="str">
        <x:v>Media</x:v>
      </x:c>
      <x:c r="AA397" s="18" t="str">
        <x:v>S02</x:v>
      </x:c>
      <x:c r="AB397" s="18" t="str"/>
      <x:c r="AC397" s="18" t="str"/>
      <x:c r="AD397" s="18" t="str">
        <x:v>No</x:v>
      </x:c>
      <x:c r="AE397" s="18" t="str">
        <x:v>Teórico</x:v>
      </x:c>
      <x:c r="AF397" s="18" t="str">
        <x:v>C</x:v>
      </x:c>
      <x:c r="AG397" s="18" t="str">
        <x:v>C</x:v>
      </x:c>
      <x:c r="AH397" s="18" t="str">
        <x:v>Válida</x:v>
      </x:c>
      <x:c r="AI397" s="18" t="str">
        <x:v>01. Información oficial de la oposición\Exámenes oficiales anteriores\2026 Convocatoria 2025 - Acceso libre Rojo A.pdf</x:v>
      </x:c>
      <x:c r="AJ397" s="18" t="str">
        <x:v>https://www.seg-social.es/wps/portal/wss/internet/InformacionUtil/9950/88beb45d-ca83-4bab-8162-f94ef2894562/e0c83707-3358-47a9-94d7-508221dad233</x:v>
      </x:c>
      <x:c r="AK397" s="18" t="str">
        <x:v>OCR Windows es-ES sobre PDF oficial</x:v>
      </x:c>
      <x:c r="AL397" s="18" t="n">
        <x:v>100</x:v>
      </x:c>
      <x:c r="AM397" s="18" t="str">
        <x:v>Alta</x:v>
      </x:c>
      <x:c r="AN397" s="18" t="str">
        <x:v>Regla jurídica determinista</x:v>
      </x:c>
      <x:c r="AO397" s="18" t="str">
        <x:v>2026_conv2025_rojo_A-T32</x:v>
      </x:c>
      <x:c r="AP397" s="18" t="n">
        <x:v>1</x:v>
      </x:c>
    </x:row>
    <x:row r="398">
      <x:c r="A398" s="18" t="str">
        <x:v>2026_conv2025_rojo_A-T33</x:v>
      </x:c>
      <x:c r="B398" s="18" t="n">
        <x:v>2026</x:v>
      </x:c>
      <x:c r="C398" s="18" t="n">
        <x:v>2025</x:v>
      </x:c>
      <x:c r="D398" s="28" t="n">
        <x:v>46201</x:v>
      </x:c>
      <x:c r="E398" s="18" t="str">
        <x:v>Acceso libre</x:v>
      </x:c>
      <x:c r="F398" s="18" t="str">
        <x:v>Primera parte</x:v>
      </x:c>
      <x:c r="G398" s="18" t="str">
        <x:v>Rojo A</x:v>
      </x:c>
      <x:c r="H398" s="18" t="str">
        <x:v>Rojo/Verde A/B</x:v>
      </x:c>
      <x:c r="I398" s="18" t="str">
        <x:v>Sí</x:v>
      </x:c>
      <x:c r="J398" s="18" t="str">
        <x:v>Los colores y modelos reproducen el mismo conjunto de preguntas con orden y/o opciones permutados; Rojo A es la variante canónica para frecuencias y Verde A se conserva como control de cobertura.</x:v>
      </x:c>
      <x:c r="K398" s="18" t="n">
        <x:v>33</x:v>
      </x:c>
      <x:c r="L398" s="18" t="str">
        <x:v>No</x:v>
      </x:c>
      <x:c r="M398" s="18" t="str">
        <x:v>Están obligatoriamente incluidos en eI campo de aplicación del Régimen Especial de la Seguridad Social de los Trabajadores por Cuenta Propia o Autónomos:</x:v>
      </x:c>
      <x:c r="N398" s="18" t="str">
        <x:v>Los trabajadores incluidos en el Sistema Especial para Trabajadores por Cuenta Ajena Agrarios.</x:v>
      </x:c>
      <x:c r="O398" s="18" t="str">
        <x:v>Los trabajadores autónomos económicamente dependientes a los que se refiere la Ley 20/2007, de 11 de julio.</x:v>
      </x:c>
      <x:c r="P398" s="18" t="str">
        <x:v>Los miembros del Cuerpo de Registradores de la Propiedad, Mercantiles y de Bienes Muebles, excluidos los del Cuerpo de Aspirantes.</x:v>
      </x:c>
      <x:c r="Q398" s="18" t="str">
        <x:v>Los socios trabajadores de las cooperativas de trabajo asociado dedicados a la venta ambulante siempre que no perciban ingresos directamente de los compradores.</x:v>
      </x:c>
      <x:c r="R398" s="18" t="str">
        <x:v>S02</x:v>
      </x:c>
      <x:c r="S398" s="18" t="n">
        <x:v>2</x:v>
      </x:c>
      <x:c r="T398" s="18" t="str">
        <x:v>Temario específico Seguridad Social</x:v>
      </x:c>
      <x:c r="U398" s="18" t="str">
        <x:v>Campo de aplicación y composición del sistema de la Seguridad Social. Régimen general: ámbito subjetivo de aplicación, inclusiones y exclusiones. Regímenes especiales: enumeración, características generales, altas, bajas y cotización. Particularidades de la acción protectora. Sistemas especiales: enumeración y características generales. Altas, bajas y cotización. Particularidades de la acción protectora.</x:v>
      </x:c>
      <x:c r="V398" s="18" t="str">
        <x:v>S02</x:v>
      </x:c>
      <x:c r="W398" s="18" t="str"/>
      <x:c r="X398" s="18" t="str"/>
      <x:c r="Y398" s="18" t="str">
        <x:v>Artículos literales</x:v>
      </x:c>
      <x:c r="Z398" s="18" t="str">
        <x:v>Media</x:v>
      </x:c>
      <x:c r="AA398" s="18" t="str">
        <x:v>S02</x:v>
      </x:c>
      <x:c r="AB398" s="18" t="str"/>
      <x:c r="AC398" s="18" t="str"/>
      <x:c r="AD398" s="18" t="str">
        <x:v>No</x:v>
      </x:c>
      <x:c r="AE398" s="18" t="str">
        <x:v>Teórico</x:v>
      </x:c>
      <x:c r="AF398" s="18" t="str">
        <x:v>B</x:v>
      </x:c>
      <x:c r="AG398" s="18" t="str">
        <x:v>B</x:v>
      </x:c>
      <x:c r="AH398" s="18" t="str">
        <x:v>Válida</x:v>
      </x:c>
      <x:c r="AI398" s="18" t="str">
        <x:v>01. Información oficial de la oposición\Exámenes oficiales anteriores\2026 Convocatoria 2025 - Acceso libre Rojo A.pdf</x:v>
      </x:c>
      <x:c r="AJ398" s="18" t="str">
        <x:v>https://www.seg-social.es/wps/portal/wss/internet/InformacionUtil/9950/88beb45d-ca83-4bab-8162-f94ef2894562/e0c83707-3358-47a9-94d7-508221dad233</x:v>
      </x:c>
      <x:c r="AK398" s="18" t="str">
        <x:v>OCR Windows es-ES sobre PDF oficial</x:v>
      </x:c>
      <x:c r="AL398" s="18" t="n">
        <x:v>100</x:v>
      </x:c>
      <x:c r="AM398" s="18" t="str">
        <x:v>Alta</x:v>
      </x:c>
      <x:c r="AN398" s="18" t="str">
        <x:v>Regla jurídica determinista</x:v>
      </x:c>
      <x:c r="AO398" s="18" t="str">
        <x:v>2026_conv2025_rojo_A-T33</x:v>
      </x:c>
      <x:c r="AP398" s="18" t="n">
        <x:v>1</x:v>
      </x:c>
    </x:row>
    <x:row r="399">
      <x:c r="A399" s="18" t="str">
        <x:v>2026_conv2025_rojo_A-T34</x:v>
      </x:c>
      <x:c r="B399" s="18" t="n">
        <x:v>2026</x:v>
      </x:c>
      <x:c r="C399" s="18" t="n">
        <x:v>2025</x:v>
      </x:c>
      <x:c r="D399" s="28" t="n">
        <x:v>46201</x:v>
      </x:c>
      <x:c r="E399" s="18" t="str">
        <x:v>Acceso libre</x:v>
      </x:c>
      <x:c r="F399" s="18" t="str">
        <x:v>Primera parte</x:v>
      </x:c>
      <x:c r="G399" s="18" t="str">
        <x:v>Rojo A</x:v>
      </x:c>
      <x:c r="H399" s="18" t="str">
        <x:v>Rojo/Verde A/B</x:v>
      </x:c>
      <x:c r="I399" s="18" t="str">
        <x:v>Sí</x:v>
      </x:c>
      <x:c r="J399" s="18" t="str">
        <x:v>Los colores y modelos reproducen el mismo conjunto de preguntas con orden y/o opciones permutados; Rojo A es la variante canónica para frecuencias y Verde A se conserva como control de cobertura.</x:v>
      </x:c>
      <x:c r="K399" s="18" t="n">
        <x:v>34</x:v>
      </x:c>
      <x:c r="L399" s="18" t="str">
        <x:v>No</x:v>
      </x:c>
      <x:c r="M399" s="18" t="str">
        <x:v>En relación con eI cambio de base de cotización por los trabajadores incluidos en el Régimen Especial de la Seguridad Social de los Trabajadores por Cuenta Propia o Autónomos:</x:v>
      </x:c>
      <x:c r="N399" s="18" t="str">
        <x:v>Podrán cambiar hasta cuatro veces al año la base por la que vengan obligados a cotizar.</x:v>
      </x:c>
      <x:c r="O399" s="18" t="str">
        <x:v>Podrán elegir otra dentro de los límites mínimo y máximo aplicables en eI ejercicio inmediatamente anterior.</x:v>
      </x:c>
      <x:c r="P399" s="18" t="str">
        <x:v>Lo tendrán que solicitar a la Dirección Provincial del Instituto Nacional de la Seguridad Social que correspohda según territorio.</x:v>
      </x:c>
      <x:c r="Q399" s="18" t="str">
        <x:v>EI cambio de base de cotización tendrá efecto el I de marzo, si la solicitud se formula entre el 1 de enero y el último día natural del mes de febrero.</x:v>
      </x:c>
      <x:c r="R399" s="18" t="str">
        <x:v>S04</x:v>
      </x:c>
      <x:c r="S399" s="18" t="n">
        <x:v>4</x:v>
      </x:c>
      <x:c r="T399" s="18" t="str">
        <x:v>Temario específico Seguridad Social</x:v>
      </x:c>
      <x:c r="U399" s="18" t="str">
        <x:v>La cotización a la Seguridad Social: normas comunes del sistema. La liquidación de cuotas. El régimen general de la Seguridad Social. Supuestos especiales. Bases y tipos de cotización. Liquidación de otras deudas.</x:v>
      </x:c>
      <x:c r="V399" s="18" t="str">
        <x:v>base de cotización</x:v>
      </x:c>
      <x:c r="W399" s="18" t="str"/>
      <x:c r="X399" s="18" t="str"/>
      <x:c r="Y399" s="18" t="str">
        <x:v>Cotización</x:v>
      </x:c>
      <x:c r="Z399" s="18" t="str">
        <x:v>Media</x:v>
      </x:c>
      <x:c r="AA399" s="18" t="str">
        <x:v>base de cotización</x:v>
      </x:c>
      <x:c r="AB399" s="18" t="str"/>
      <x:c r="AC399" s="18" t="str"/>
      <x:c r="AD399" s="18" t="str">
        <x:v>No</x:v>
      </x:c>
      <x:c r="AE399" s="18" t="str">
        <x:v>Teórico</x:v>
      </x:c>
      <x:c r="AF399" s="18" t="str">
        <x:v>D</x:v>
      </x:c>
      <x:c r="AG399" s="18" t="str">
        <x:v>D</x:v>
      </x:c>
      <x:c r="AH399" s="18" t="str">
        <x:v>Válida</x:v>
      </x:c>
      <x:c r="AI399" s="18" t="str">
        <x:v>01. Información oficial de la oposición\Exámenes oficiales anteriores\2026 Convocatoria 2025 - Acceso libre Rojo A.pdf</x:v>
      </x:c>
      <x:c r="AJ399" s="18" t="str">
        <x:v>https://www.seg-social.es/wps/portal/wss/internet/InformacionUtil/9950/88beb45d-ca83-4bab-8162-f94ef2894562/e0c83707-3358-47a9-94d7-508221dad233</x:v>
      </x:c>
      <x:c r="AK399" s="18" t="str">
        <x:v>OCR Windows es-ES sobre PDF oficial</x:v>
      </x:c>
      <x:c r="AL399" s="18" t="n">
        <x:v>100</x:v>
      </x:c>
      <x:c r="AM399" s="18" t="str">
        <x:v>Alta</x:v>
      </x:c>
      <x:c r="AN399" s="18" t="str">
        <x:v>Regla jurídica determinista</x:v>
      </x:c>
      <x:c r="AO399" s="18" t="str">
        <x:v>2026_conv2025_rojo_A-T34</x:v>
      </x:c>
      <x:c r="AP399" s="18" t="n">
        <x:v>1</x:v>
      </x:c>
    </x:row>
    <x:row r="400">
      <x:c r="A400" s="18" t="str">
        <x:v>2026_conv2025_rojo_A-T35</x:v>
      </x:c>
      <x:c r="B400" s="18" t="n">
        <x:v>2026</x:v>
      </x:c>
      <x:c r="C400" s="18" t="n">
        <x:v>2025</x:v>
      </x:c>
      <x:c r="D400" s="28" t="n">
        <x:v>46201</x:v>
      </x:c>
      <x:c r="E400" s="18" t="str">
        <x:v>Acceso libre</x:v>
      </x:c>
      <x:c r="F400" s="18" t="str">
        <x:v>Primera parte</x:v>
      </x:c>
      <x:c r="G400" s="18" t="str">
        <x:v>Rojo A</x:v>
      </x:c>
      <x:c r="H400" s="18" t="str">
        <x:v>Rojo/Verde A/B</x:v>
      </x:c>
      <x:c r="I400" s="18" t="str">
        <x:v>Sí</x:v>
      </x:c>
      <x:c r="J400" s="18" t="str">
        <x:v>Los colores y modelos reproducen el mismo conjunto de preguntas con orden y/o opciones permutados; Rojo A es la variante canónica para frecuencias y Verde A se conserva como control de cobertura.</x:v>
      </x:c>
      <x:c r="K400" s="18" t="n">
        <x:v>35</x:v>
      </x:c>
      <x:c r="L400" s="18" t="str">
        <x:v>No</x:v>
      </x:c>
      <x:c r="M400" s="18" t="str">
        <x:v>Según el Real Decreto 84/1996, de 26 de enero, se considera empresario:</x:v>
      </x:c>
      <x:c r="N400" s="18" t="str">
        <x:v>En el Régimen Especial de Profesionales Taurinos, el organizador, sea este persona física o jurídica, en relación con los espectáculos de este carácter en que aquellos intervengan.</x:v>
      </x:c>
      <x:c r="O400" s="18" t="str">
        <x:v>Toda persona física o jurídica, pública o privada a la que presten servicios, con la consideración de trabajadores por cuenta ajena o asimilados, las personas comprendidas en el campo de aplicación de cualquier Régimen de los que integran el sistema de la Seguridad Social.</x:v>
      </x:c>
      <x:c r="P400" s="18" t="str">
        <x:v>En el Régimen Especial Agrario, a quien ocupe trabajadores por cuenta ajena y tenga una explotación con una extensión mínima según 10 establecido en eI Reglamento de Afiliación.</x:v>
      </x:c>
      <x:c r="Q400" s="18" t="str">
        <x:v>En el Régimen General, para los miembros de los cultos religiosos, la autoridad de mayor rango según 10 tenga establecido cada confesión religiosa.</x:v>
      </x:c>
      <x:c r="R400" s="18" t="str">
        <x:v>S03</x:v>
      </x:c>
      <x:c r="S400" s="18" t="n">
        <x:v>3</x:v>
      </x:c>
      <x:c r="T400" s="18" t="str">
        <x:v>Temario específico Seguridad Social</x:v>
      </x:c>
      <x:c r="U400" s="18" t="str">
        <x:v>Normas sobre afiliación. Altas y bajas en el régimen general. Procedimiento y efectos. El convenio especial y otras situaciones asimiladas a la del alta. Encuadramiento e inscripción.</x:v>
      </x:c>
      <x:c r="V400" s="18" t="str">
        <x:v>S03</x:v>
      </x:c>
      <x:c r="W400" s="18" t="str">
        <x:v>Real Decreto 84/1996</x:v>
      </x:c>
      <x:c r="X400" s="18" t="str"/>
      <x:c r="Y400" s="18" t="str">
        <x:v>Afiliación, altas y bajas</x:v>
      </x:c>
      <x:c r="Z400" s="18" t="str">
        <x:v>Media</x:v>
      </x:c>
      <x:c r="AA400" s="18" t="str">
        <x:v>S03</x:v>
      </x:c>
      <x:c r="AB400" s="18" t="str"/>
      <x:c r="AC400" s="18" t="str"/>
      <x:c r="AD400" s="18" t="str">
        <x:v>No</x:v>
      </x:c>
      <x:c r="AE400" s="18" t="str">
        <x:v>Teórico</x:v>
      </x:c>
      <x:c r="AF400" s="18" t="str">
        <x:v>B</x:v>
      </x:c>
      <x:c r="AG400" s="18" t="str">
        <x:v>B</x:v>
      </x:c>
      <x:c r="AH400" s="18" t="str">
        <x:v>Válida</x:v>
      </x:c>
      <x:c r="AI400" s="18" t="str">
        <x:v>01. Información oficial de la oposición\Exámenes oficiales anteriores\2026 Convocatoria 2025 - Acceso libre Rojo A.pdf</x:v>
      </x:c>
      <x:c r="AJ400" s="18" t="str">
        <x:v>https://www.seg-social.es/wps/portal/wss/internet/InformacionUtil/9950/88beb45d-ca83-4bab-8162-f94ef2894562/e0c83707-3358-47a9-94d7-508221dad233</x:v>
      </x:c>
      <x:c r="AK400" s="18" t="str">
        <x:v>OCR Windows es-ES sobre PDF oficial</x:v>
      </x:c>
      <x:c r="AL400" s="18" t="n">
        <x:v>100</x:v>
      </x:c>
      <x:c r="AM400" s="18" t="str">
        <x:v>Alta</x:v>
      </x:c>
      <x:c r="AN400" s="18" t="str">
        <x:v>Regla jurídica determinista</x:v>
      </x:c>
      <x:c r="AO400" s="18" t="str">
        <x:v>2026_conv2025_rojo_A-T35</x:v>
      </x:c>
      <x:c r="AP400" s="18" t="n">
        <x:v>1</x:v>
      </x:c>
    </x:row>
    <x:row r="401">
      <x:c r="A401" s="18" t="str">
        <x:v>2026_conv2025_rojo_A-T36</x:v>
      </x:c>
      <x:c r="B401" s="18" t="n">
        <x:v>2026</x:v>
      </x:c>
      <x:c r="C401" s="18" t="n">
        <x:v>2025</x:v>
      </x:c>
      <x:c r="D401" s="28" t="n">
        <x:v>46201</x:v>
      </x:c>
      <x:c r="E401" s="18" t="str">
        <x:v>Acceso libre</x:v>
      </x:c>
      <x:c r="F401" s="18" t="str">
        <x:v>Primera parte</x:v>
      </x:c>
      <x:c r="G401" s="18" t="str">
        <x:v>Rojo A</x:v>
      </x:c>
      <x:c r="H401" s="18" t="str">
        <x:v>Rojo/Verde A/B</x:v>
      </x:c>
      <x:c r="I401" s="18" t="str">
        <x:v>Sí</x:v>
      </x:c>
      <x:c r="J401" s="18" t="str">
        <x:v>Los colores y modelos reproducen el mismo conjunto de preguntas con orden y/o opciones permutados; Rojo A es la variante canónica para frecuencias y Verde A se conserva como control de cobertura.</x:v>
      </x:c>
      <x:c r="K401" s="18" t="n">
        <x:v>36</x:v>
      </x:c>
      <x:c r="L401" s="18" t="str">
        <x:v>No</x:v>
      </x:c>
      <x:c r="M401" s="18" t="str">
        <x:v>En relación con los efectos que producen las altas, bajas y variaciones en los diferentes regímenes de la Seguridad Social según el Real Decreto 84/1996, de 26 de enero:</x:v>
      </x:c>
      <x:c r="N401" s="18" t="str">
        <x:v>Las altas presentadas con anterioridad a los 60 dias naturales al inicio de la actividad producirán efectos desde el día en que se inicie la actividad.</x:v>
      </x:c>
      <x:c r="O401" s="18" t="str">
        <x:v>Las altas practicadas de oficio por las Direcciones Provinciales de la TGSS o administraciones de la Seguridad Social retrotraerán sus efectos a la fecha en que los hechos que las motiven hayan sido conocidos por unas u otras.</x:v>
      </x:c>
      <x:c r="P401" s="18" t="str">
        <x:v>Las bajas que se comuniquen al sexto día del cese en el trabajo, producirán efectos desde el día del cese.</x:v>
      </x:c>
      <x:c r="Q401" s="18" t="str">
        <x:v>Las variaciones que puedan producirse en los datos de los trabajadores en alta causarán efectos a partir del momento en que aquellas se produzcan siempre que sean comunicadas en cualquier momento y de la forma establecida a la Tesorería General de la Seguridad Social.</x:v>
      </x:c>
      <x:c r="R401" s="18" t="str">
        <x:v>S03</x:v>
      </x:c>
      <x:c r="S401" s="18" t="n">
        <x:v>3</x:v>
      </x:c>
      <x:c r="T401" s="18" t="str">
        <x:v>Temario específico Seguridad Social</x:v>
      </x:c>
      <x:c r="U401" s="18" t="str">
        <x:v>Normas sobre afiliación. Altas y bajas en el régimen general. Procedimiento y efectos. El convenio especial y otras situaciones asimiladas a la del alta. Encuadramiento e inscripción.</x:v>
      </x:c>
      <x:c r="V401" s="18" t="str">
        <x:v>S03</x:v>
      </x:c>
      <x:c r="W401" s="18" t="str">
        <x:v>Real Decreto 84/1996</x:v>
      </x:c>
      <x:c r="X401" s="18" t="str"/>
      <x:c r="Y401" s="18" t="str">
        <x:v>Afiliación, altas y bajas</x:v>
      </x:c>
      <x:c r="Z401" s="18" t="str">
        <x:v>Media</x:v>
      </x:c>
      <x:c r="AA401" s="18" t="str">
        <x:v>S03</x:v>
      </x:c>
      <x:c r="AB401" s="18" t="str"/>
      <x:c r="AC401" s="18" t="str"/>
      <x:c r="AD401" s="18" t="str">
        <x:v>No</x:v>
      </x:c>
      <x:c r="AE401" s="18" t="str">
        <x:v>Teórico</x:v>
      </x:c>
      <x:c r="AF401" s="18" t="str">
        <x:v>B</x:v>
      </x:c>
      <x:c r="AG401" s="18" t="str">
        <x:v>B</x:v>
      </x:c>
      <x:c r="AH401" s="18" t="str">
        <x:v>Válida</x:v>
      </x:c>
      <x:c r="AI401" s="18" t="str">
        <x:v>01. Información oficial de la oposición\Exámenes oficiales anteriores\2026 Convocatoria 2025 - Acceso libre Rojo A.pdf</x:v>
      </x:c>
      <x:c r="AJ401" s="18" t="str">
        <x:v>https://www.seg-social.es/wps/portal/wss/internet/InformacionUtil/9950/88beb45d-ca83-4bab-8162-f94ef2894562/e0c83707-3358-47a9-94d7-508221dad233</x:v>
      </x:c>
      <x:c r="AK401" s="18" t="str">
        <x:v>OCR Windows es-ES sobre PDF oficial</x:v>
      </x:c>
      <x:c r="AL401" s="18" t="n">
        <x:v>100</x:v>
      </x:c>
      <x:c r="AM401" s="18" t="str">
        <x:v>Alta</x:v>
      </x:c>
      <x:c r="AN401" s="18" t="str">
        <x:v>Regla jurídica determinista</x:v>
      </x:c>
      <x:c r="AO401" s="18" t="str">
        <x:v>2026_conv2025_rojo_A-T36</x:v>
      </x:c>
      <x:c r="AP401" s="18" t="n">
        <x:v>1</x:v>
      </x:c>
    </x:row>
    <x:row r="402">
      <x:c r="A402" s="18" t="str">
        <x:v>2026_conv2025_rojo_A-T37</x:v>
      </x:c>
      <x:c r="B402" s="18" t="n">
        <x:v>2026</x:v>
      </x:c>
      <x:c r="C402" s="18" t="n">
        <x:v>2025</x:v>
      </x:c>
      <x:c r="D402" s="28" t="n">
        <x:v>46201</x:v>
      </x:c>
      <x:c r="E402" s="18" t="str">
        <x:v>Acceso libre</x:v>
      </x:c>
      <x:c r="F402" s="18" t="str">
        <x:v>Primera parte</x:v>
      </x:c>
      <x:c r="G402" s="18" t="str">
        <x:v>Rojo A</x:v>
      </x:c>
      <x:c r="H402" s="18" t="str">
        <x:v>Rojo/Verde A/B</x:v>
      </x:c>
      <x:c r="I402" s="18" t="str">
        <x:v>Sí</x:v>
      </x:c>
      <x:c r="J402" s="18" t="str">
        <x:v>Los colores y modelos reproducen el mismo conjunto de preguntas con orden y/o opciones permutados; Rojo A es la variante canónica para frecuencias y Verde A se conserva como control de cobertura.</x:v>
      </x:c>
      <x:c r="K402" s="18" t="n">
        <x:v>37</x:v>
      </x:c>
      <x:c r="L402" s="18" t="str">
        <x:v>No</x:v>
      </x:c>
      <x:c r="M402" s="18" t="str">
        <x:v>Conforme a la Orden TAS/2865/2003, ¿qué requisito es imprescindible para suscribir un convenio Especial con la Seguridad Social?</x:v>
      </x:c>
      <x:c r="N402" s="18" t="str">
        <x:v>Solicitar su suscripción ante la Dirección Provincial de la Tesorería General de la Seguridad Social o administración de la Seguridad Social correspondiente al domicilio del solicitante en el plazo de un año, que se computará de la forma prevista en el artículo 3 de la citada Ordem</x:v>
      </x:c>
      <x:c r="O402" s="18" t="str">
        <x:v>Tener cubierto, en la fecha de solicitud del convenio especial, un período de mil ochenta días de cotización al Sistema de la Seguridad Social en los quince años inmediatamente anteriores a la baja en eI Régimen de la Seguridad Social de que se trate.</x:v>
      </x:c>
      <x:c r="P402" s="18" t="str">
        <x:v>LOS diputados y senadores de las Cortes Generales para poder suscribir un Convenio Especial deben tener cubierto un período mínimo de cotización de ciento ochenta días en cualquiera de los Regímenes que integran la Seguridad Social.</x:v>
      </x:c>
      <x:c r="Q402" s="18" t="str">
        <x:v>Solicitar la suscripción del convenio especial en eI plazo máximo de nueve meses contados desde la resolución administrativa o judicial firme para aquellos trabajadores que causen baja en el correspondiente Régimen de la SS por haber solicitado una pensión y esta les sea posteriormente denegada.</x:v>
      </x:c>
      <x:c r="R402" s="18" t="str">
        <x:v>S03</x:v>
      </x:c>
      <x:c r="S402" s="18" t="n">
        <x:v>3</x:v>
      </x:c>
      <x:c r="T402" s="18" t="str">
        <x:v>Temario específico Seguridad Social</x:v>
      </x:c>
      <x:c r="U402" s="18" t="str">
        <x:v>Normas sobre afiliación. Altas y bajas en el régimen general. Procedimiento y efectos. El convenio especial y otras situaciones asimiladas a la del alta. Encuadramiento e inscripción.</x:v>
      </x:c>
      <x:c r="V402" s="18" t="str">
        <x:v>S03</x:v>
      </x:c>
      <x:c r="W402" s="18" t="str"/>
      <x:c r="X402" s="18" t="str"/>
      <x:c r="Y402" s="18" t="str">
        <x:v>Requisitos</x:v>
      </x:c>
      <x:c r="Z402" s="18" t="str">
        <x:v>Media</x:v>
      </x:c>
      <x:c r="AA402" s="18" t="str">
        <x:v>S03</x:v>
      </x:c>
      <x:c r="AB402" s="18" t="str"/>
      <x:c r="AC402" s="18" t="str"/>
      <x:c r="AD402" s="18" t="str">
        <x:v>No</x:v>
      </x:c>
      <x:c r="AE402" s="18" t="str">
        <x:v>Teórico</x:v>
      </x:c>
      <x:c r="AF402" s="18" t="str">
        <x:v>A</x:v>
      </x:c>
      <x:c r="AG402" s="18" t="str">
        <x:v>A</x:v>
      </x:c>
      <x:c r="AH402" s="18" t="str">
        <x:v>Válida</x:v>
      </x:c>
      <x:c r="AI402" s="18" t="str">
        <x:v>01. Información oficial de la oposición\Exámenes oficiales anteriores\2026 Convocatoria 2025 - Acceso libre Rojo A.pdf</x:v>
      </x:c>
      <x:c r="AJ402" s="18" t="str">
        <x:v>https://www.seg-social.es/wps/portal/wss/internet/InformacionUtil/9950/88beb45d-ca83-4bab-8162-f94ef2894562/e0c83707-3358-47a9-94d7-508221dad233</x:v>
      </x:c>
      <x:c r="AK402" s="18" t="str">
        <x:v>OCR Windows es-ES sobre PDF oficial</x:v>
      </x:c>
      <x:c r="AL402" s="18" t="n">
        <x:v>100</x:v>
      </x:c>
      <x:c r="AM402" s="18" t="str">
        <x:v>Alta</x:v>
      </x:c>
      <x:c r="AN402" s="18" t="str">
        <x:v>Regla jurídica determinista</x:v>
      </x:c>
      <x:c r="AO402" s="18" t="str">
        <x:v>2026_conv2025_rojo_A-T37</x:v>
      </x:c>
      <x:c r="AP402" s="18" t="n">
        <x:v>1</x:v>
      </x:c>
    </x:row>
    <x:row r="403">
      <x:c r="A403" s="18" t="str">
        <x:v>2026_conv2025_rojo_A-T38</x:v>
      </x:c>
      <x:c r="B403" s="18" t="n">
        <x:v>2026</x:v>
      </x:c>
      <x:c r="C403" s="18" t="n">
        <x:v>2025</x:v>
      </x:c>
      <x:c r="D403" s="28" t="n">
        <x:v>46201</x:v>
      </x:c>
      <x:c r="E403" s="18" t="str">
        <x:v>Acceso libre</x:v>
      </x:c>
      <x:c r="F403" s="18" t="str">
        <x:v>Primera parte</x:v>
      </x:c>
      <x:c r="G403" s="18" t="str">
        <x:v>Rojo A</x:v>
      </x:c>
      <x:c r="H403" s="18" t="str">
        <x:v>Rojo/Verde A/B</x:v>
      </x:c>
      <x:c r="I403" s="18" t="str">
        <x:v>Sí</x:v>
      </x:c>
      <x:c r="J403" s="18" t="str">
        <x:v>Los colores y modelos reproducen el mismo conjunto de preguntas con orden y/o opciones permutados; Rojo A es la variante canónica para frecuencias y Verde A se conserva como control de cobertura.</x:v>
      </x:c>
      <x:c r="K403" s="18" t="n">
        <x:v>38</x:v>
      </x:c>
      <x:c r="L403" s="18" t="str">
        <x:v>No</x:v>
      </x:c>
      <x:c r="M403" s="18" t="str">
        <x:v>De acuerdo con el Real Decreto 84/1996, en las situaciones de pluriactividad y pluriempleo:</x:v>
      </x:c>
      <x:c r="N403" s="18" t="str">
        <x:v>Se considera pluriactividad la situación del trabajador por cuenta propia y/o ajena cuyas actividades den lugar a su alta obligatoria en dos o más Regímenes distintos del sistema de la Seguridad Social.</x:v>
      </x:c>
      <x:c r="O403" s="18" t="str">
        <x:v>Se entenderá por pluriempleo la situación del trabajador por cuenta ajena contratado por dos o más empresas y que además ejerza servicios profesionales encuadrados dentro del Régimen Especial de Trabajadores Autónomos.</x:v>
      </x:c>
      <x:c r="P403" s="18" t="str">
        <x:v>Los empresarios que conozcan la situación de pluriempleo de sus trabajadores pueden comunicar las altas y las bajas de estos en el plazo de los 90 días siguientes al inicio de la actividad.</x:v>
      </x:c>
      <x:c r="Q403" s="18" t="str">
        <x:v>Si una de las actividades determinase la inclusión en el Sistema Especial de Trabajadores por Cuenta Propia Agrarios, eI alta se practicará por dicha actividad y la Tesorería podrá pedir un informe de la Intervención General de la Seguridad Social.</x:v>
      </x:c>
      <x:c r="R403" s="18" t="str">
        <x:v>S03</x:v>
      </x:c>
      <x:c r="S403" s="18" t="n">
        <x:v>3</x:v>
      </x:c>
      <x:c r="T403" s="18" t="str">
        <x:v>Temario específico Seguridad Social</x:v>
      </x:c>
      <x:c r="U403" s="18" t="str">
        <x:v>Normas sobre afiliación. Altas y bajas en el régimen general. Procedimiento y efectos. El convenio especial y otras situaciones asimiladas a la del alta. Encuadramiento e inscripción.</x:v>
      </x:c>
      <x:c r="V403" s="18" t="str">
        <x:v>S03</x:v>
      </x:c>
      <x:c r="W403" s="18" t="str">
        <x:v>Real Decreto 84/1996</x:v>
      </x:c>
      <x:c r="X403" s="18" t="str"/>
      <x:c r="Y403" s="18" t="str">
        <x:v>Afiliación, altas y bajas</x:v>
      </x:c>
      <x:c r="Z403" s="18" t="str">
        <x:v>Media</x:v>
      </x:c>
      <x:c r="AA403" s="18" t="str">
        <x:v>S03</x:v>
      </x:c>
      <x:c r="AB403" s="18" t="str"/>
      <x:c r="AC403" s="18" t="str"/>
      <x:c r="AD403" s="18" t="str">
        <x:v>No</x:v>
      </x:c>
      <x:c r="AE403" s="18" t="str">
        <x:v>Teórico</x:v>
      </x:c>
      <x:c r="AF403" s="18" t="str">
        <x:v>A</x:v>
      </x:c>
      <x:c r="AG403" s="18" t="str">
        <x:v>A</x:v>
      </x:c>
      <x:c r="AH403" s="18" t="str">
        <x:v>Válida</x:v>
      </x:c>
      <x:c r="AI403" s="18" t="str">
        <x:v>01. Información oficial de la oposición\Exámenes oficiales anteriores\2026 Convocatoria 2025 - Acceso libre Rojo A.pdf</x:v>
      </x:c>
      <x:c r="AJ403" s="18" t="str">
        <x:v>https://www.seg-social.es/wps/portal/wss/internet/InformacionUtil/9950/88beb45d-ca83-4bab-8162-f94ef2894562/e0c83707-3358-47a9-94d7-508221dad233</x:v>
      </x:c>
      <x:c r="AK403" s="18" t="str">
        <x:v>OCR Windows es-ES sobre PDF oficial</x:v>
      </x:c>
      <x:c r="AL403" s="18" t="n">
        <x:v>100</x:v>
      </x:c>
      <x:c r="AM403" s="18" t="str">
        <x:v>Alta</x:v>
      </x:c>
      <x:c r="AN403" s="18" t="str">
        <x:v>Regla jurídica determinista</x:v>
      </x:c>
      <x:c r="AO403" s="18" t="str">
        <x:v>2026_conv2025_rojo_A-T38</x:v>
      </x:c>
      <x:c r="AP403" s="18" t="n">
        <x:v>1</x:v>
      </x:c>
    </x:row>
    <x:row r="404">
      <x:c r="A404" s="18" t="str">
        <x:v>2026_conv2025_rojo_A-T39</x:v>
      </x:c>
      <x:c r="B404" s="18" t="n">
        <x:v>2026</x:v>
      </x:c>
      <x:c r="C404" s="18" t="n">
        <x:v>2025</x:v>
      </x:c>
      <x:c r="D404" s="28" t="n">
        <x:v>46201</x:v>
      </x:c>
      <x:c r="E404" s="18" t="str">
        <x:v>Acceso libre</x:v>
      </x:c>
      <x:c r="F404" s="18" t="str">
        <x:v>Primera parte</x:v>
      </x:c>
      <x:c r="G404" s="18" t="str">
        <x:v>Rojo A</x:v>
      </x:c>
      <x:c r="H404" s="18" t="str">
        <x:v>Rojo/Verde A/B</x:v>
      </x:c>
      <x:c r="I404" s="18" t="str">
        <x:v>Sí</x:v>
      </x:c>
      <x:c r="J404" s="18" t="str">
        <x:v>Los colores y modelos reproducen el mismo conjunto de preguntas con orden y/o opciones permutados; Rojo A es la variante canónica para frecuencias y Verde A se conserva como control de cobertura.</x:v>
      </x:c>
      <x:c r="K404" s="18" t="n">
        <x:v>39</x:v>
      </x:c>
      <x:c r="L404" s="18" t="str">
        <x:v>No</x:v>
      </x:c>
      <x:c r="M404" s="18" t="str">
        <x:v>De conformidad con eI artículo 18 del Real Decreto 206411995, de 22 de diciembre, por el que se aprueba el Reglamento General sobre Cotización y Liquidación de otros Derechos de la Seguridad Social, en eI sistema de liquidación simplificada:</x:v>
      </x:c>
      <x:c r="N404" s="18" t="str">
        <x:v>La Tesorería General de la Seguridad Social practicará la liquidación de las cuotas de la Seguridad Social correspondientes a cada período sin necesidad de solicitud previa por parte del sujeto responsable.</x:v>
      </x:c>
      <x:c r="O404" s="18" t="str">
        <x:v>EI sujeto responsable practicará la liquidación de las cuotas de la Seguridad Social correspondientes a cada período sin necesidad de solicitud previa por parte de la Tesorería General de la Seguridad Social.</x:v>
      </x:c>
      <x:c r="P404" s="18" t="str">
        <x:v>EI sujeto responsable practicará la liquidación de las cuotas de la Seguridad Social correspondientes a cada período sin necesidad de comunicación previa al trabajador.</x:v>
      </x:c>
      <x:c r="Q404" s="18" t="str">
        <x:v>EI Instituto Nacional de la Seguridad Social practicará la liquidación de las cuotas de la Seguridad Social correspondientes a cada período sin necesidad de comunicación previa al trabajador.</x:v>
      </x:c>
      <x:c r="R404" s="18" t="str">
        <x:v>S04</x:v>
      </x:c>
      <x:c r="S404" s="18" t="n">
        <x:v>4</x:v>
      </x:c>
      <x:c r="T404" s="18" t="str">
        <x:v>Temario específico Seguridad Social</x:v>
      </x:c>
      <x:c r="U404" s="18" t="str">
        <x:v>La cotización a la Seguridad Social: normas comunes del sistema. La liquidación de cuotas. El régimen general de la Seguridad Social. Supuestos especiales. Bases y tipos de cotización. Liquidación de otras deudas.</x:v>
      </x:c>
      <x:c r="V404" s="18" t="str">
        <x:v>S04</x:v>
      </x:c>
      <x:c r="W404" s="18" t="str"/>
      <x:c r="X404" s="18" t="str">
        <x:v>18</x:v>
      </x:c>
      <x:c r="Y404" s="18" t="str">
        <x:v>Cotización</x:v>
      </x:c>
      <x:c r="Z404" s="18" t="str">
        <x:v>Media</x:v>
      </x:c>
      <x:c r="AA404" s="18" t="str">
        <x:v>S04</x:v>
      </x:c>
      <x:c r="AB404" s="18" t="str"/>
      <x:c r="AC404" s="18" t="str"/>
      <x:c r="AD404" s="18" t="str">
        <x:v>No</x:v>
      </x:c>
      <x:c r="AE404" s="18" t="str">
        <x:v>Teórico</x:v>
      </x:c>
      <x:c r="AF404" s="18" t="str">
        <x:v>A</x:v>
      </x:c>
      <x:c r="AG404" s="18" t="str">
        <x:v>A</x:v>
      </x:c>
      <x:c r="AH404" s="18" t="str">
        <x:v>Válida</x:v>
      </x:c>
      <x:c r="AI404" s="18" t="str">
        <x:v>01. Información oficial de la oposición\Exámenes oficiales anteriores\2026 Convocatoria 2025 - Acceso libre Rojo A.pdf</x:v>
      </x:c>
      <x:c r="AJ404" s="18" t="str">
        <x:v>https://www.seg-social.es/wps/portal/wss/internet/InformacionUtil/9950/88beb45d-ca83-4bab-8162-f94ef2894562/e0c83707-3358-47a9-94d7-508221dad233</x:v>
      </x:c>
      <x:c r="AK404" s="18" t="str">
        <x:v>OCR Windows es-ES sobre PDF oficial</x:v>
      </x:c>
      <x:c r="AL404" s="18" t="n">
        <x:v>100</x:v>
      </x:c>
      <x:c r="AM404" s="18" t="str">
        <x:v>Alta</x:v>
      </x:c>
      <x:c r="AN404" s="18" t="str">
        <x:v>Regla jurídica determinista</x:v>
      </x:c>
      <x:c r="AO404" s="18" t="str">
        <x:v>2026_conv2025_rojo_A-T39</x:v>
      </x:c>
      <x:c r="AP404" s="18" t="n">
        <x:v>1</x:v>
      </x:c>
    </x:row>
    <x:row r="405">
      <x:c r="A405" s="18" t="str">
        <x:v>2026_conv2025_rojo_A-T40</x:v>
      </x:c>
      <x:c r="B405" s="18" t="n">
        <x:v>2026</x:v>
      </x:c>
      <x:c r="C405" s="18" t="n">
        <x:v>2025</x:v>
      </x:c>
      <x:c r="D405" s="28" t="n">
        <x:v>46201</x:v>
      </x:c>
      <x:c r="E405" s="18" t="str">
        <x:v>Acceso libre</x:v>
      </x:c>
      <x:c r="F405" s="18" t="str">
        <x:v>Primera parte</x:v>
      </x:c>
      <x:c r="G405" s="18" t="str">
        <x:v>Rojo A</x:v>
      </x:c>
      <x:c r="H405" s="18" t="str">
        <x:v>Rojo/Verde A/B</x:v>
      </x:c>
      <x:c r="I405" s="18" t="str">
        <x:v>Sí</x:v>
      </x:c>
      <x:c r="J405" s="18" t="str">
        <x:v>Los colores y modelos reproducen el mismo conjunto de preguntas con orden y/o opciones permutados; Rojo A es la variante canónica para frecuencias y Verde A se conserva como control de cobertura.</x:v>
      </x:c>
      <x:c r="K405" s="18" t="n">
        <x:v>40</x:v>
      </x:c>
      <x:c r="L405" s="18" t="str">
        <x:v>No</x:v>
      </x:c>
      <x:c r="M405" s="18" t="str">
        <x:v>Según el artículo 253 del texto refundido de la Ley General de la Seguridad Social, la exclusión del Sistema Especial para Trabajadores por Cuenta Ajena Agrarios durante los períodos de inactividad, con la consiguiente baja en eI Régimen General, podrá producirse:</x:v>
      </x:c>
      <x:c r="N405" s="18" t="str">
        <x:v>De oficio por la Tesorería General de la Seguridad Social cuando el trabajador no realice un mínimo de 30 jornadas de labores agrarias en un período continuado de trescientos sesenta y cinco días, computados desde el siguiente a aquel en que finalice el período anterior.</x:v>
      </x:c>
      <x:c r="O405" s="18" t="str">
        <x:v>De oficio por la Tesorería General de la Seguridad Social cuando eI trabajador no realice un mínimo de 40 jornadas de labores agrarias en un período continuado de trescientos sesenta y cinco días, computados desde el siguiente a aquel en que finalice el período anterior.</x:v>
      </x:c>
      <x:c r="P405" s="18" t="str">
        <x:v>De oficio por la Tesorería General de la Seguridad Social cuando el trabajador no realice un mínimo de 50 jornadas de labores agrarias en un período continuado de trescientos sesenta y cinco días, computados desde el siguiente a aquel en que finalice el período anterior.</x:v>
      </x:c>
      <x:c r="Q405" s="18" t="str">
        <x:v>De oficio por la Tesorería General de la Seguridad Social cuando el trabajador no realice un mínimo de 60 jornadas de labores agrarias en un período continuado de trescientos sesenta y cinco días, computados desde el siguiente a aquel en que finalice el período anterior.</x:v>
      </x:c>
      <x:c r="R405" s="18" t="str">
        <x:v>S02</x:v>
      </x:c>
      <x:c r="S405" s="18" t="n">
        <x:v>2</x:v>
      </x:c>
      <x:c r="T405" s="18" t="str">
        <x:v>Temario específico Seguridad Social</x:v>
      </x:c>
      <x:c r="U405" s="18" t="str">
        <x:v>Campo de aplicación y composición del sistema de la Seguridad Social. Régimen general: ámbito subjetivo de aplicación, inclusiones y exclusiones. Regímenes especiales: enumeración, características generales, altas, bajas y cotización. Particularidades de la acción protectora. Sistemas especiales: enumeración y características generales. Altas, bajas y cotización. Particularidades de la acción protectora.</x:v>
      </x:c>
      <x:c r="V405" s="18" t="str">
        <x:v>baja</x:v>
      </x:c>
      <x:c r="W405" s="18" t="str">
        <x:v>texto refundido de la Ley General de la Seguridad Social</x:v>
      </x:c>
      <x:c r="X405" s="18" t="str">
        <x:v>253</x:v>
      </x:c>
      <x:c r="Y405" s="18" t="str">
        <x:v>Artículos literales</x:v>
      </x:c>
      <x:c r="Z405" s="18" t="str">
        <x:v>Media</x:v>
      </x:c>
      <x:c r="AA405" s="18" t="str">
        <x:v>baja</x:v>
      </x:c>
      <x:c r="AB405" s="18" t="str"/>
      <x:c r="AC405" s="18" t="str"/>
      <x:c r="AD405" s="18" t="str">
        <x:v>No</x:v>
      </x:c>
      <x:c r="AE405" s="18" t="str">
        <x:v>Teórico</x:v>
      </x:c>
      <x:c r="AF405" s="18" t="str">
        <x:v>A</x:v>
      </x:c>
      <x:c r="AG405" s="18" t="str">
        <x:v>A</x:v>
      </x:c>
      <x:c r="AH405" s="18" t="str">
        <x:v>Válida</x:v>
      </x:c>
      <x:c r="AI405" s="18" t="str">
        <x:v>01. Información oficial de la oposición\Exámenes oficiales anteriores\2026 Convocatoria 2025 - Acceso libre Rojo A.pdf</x:v>
      </x:c>
      <x:c r="AJ405" s="18" t="str">
        <x:v>https://www.seg-social.es/wps/portal/wss/internet/InformacionUtil/9950/88beb45d-ca83-4bab-8162-f94ef2894562/e0c83707-3358-47a9-94d7-508221dad233</x:v>
      </x:c>
      <x:c r="AK405" s="18" t="str">
        <x:v>OCR Windows es-ES sobre PDF oficial</x:v>
      </x:c>
      <x:c r="AL405" s="18" t="n">
        <x:v>100</x:v>
      </x:c>
      <x:c r="AM405" s="18" t="str">
        <x:v>Alta</x:v>
      </x:c>
      <x:c r="AN405" s="18" t="str">
        <x:v>Regla jurídica determinista</x:v>
      </x:c>
      <x:c r="AO405" s="18" t="str">
        <x:v>2026_conv2025_rojo_A-T40</x:v>
      </x:c>
      <x:c r="AP405" s="18" t="n">
        <x:v>1</x:v>
      </x:c>
    </x:row>
    <x:row r="406">
      <x:c r="A406" s="18" t="str">
        <x:v>2026_conv2025_rojo_A-T41</x:v>
      </x:c>
      <x:c r="B406" s="18" t="n">
        <x:v>2026</x:v>
      </x:c>
      <x:c r="C406" s="18" t="n">
        <x:v>2025</x:v>
      </x:c>
      <x:c r="D406" s="28" t="n">
        <x:v>46201</x:v>
      </x:c>
      <x:c r="E406" s="18" t="str">
        <x:v>Acceso libre</x:v>
      </x:c>
      <x:c r="F406" s="18" t="str">
        <x:v>Primera parte</x:v>
      </x:c>
      <x:c r="G406" s="18" t="str">
        <x:v>Rojo A</x:v>
      </x:c>
      <x:c r="H406" s="18" t="str">
        <x:v>Rojo/Verde A/B</x:v>
      </x:c>
      <x:c r="I406" s="18" t="str">
        <x:v>Sí</x:v>
      </x:c>
      <x:c r="J406" s="18" t="str">
        <x:v>Los colores y modelos reproducen el mismo conjunto de preguntas con orden y/o opciones permutados; Rojo A es la variante canónica para frecuencias y Verde A se conserva como control de cobertura.</x:v>
      </x:c>
      <x:c r="K406" s="18" t="n">
        <x:v>41</x:v>
      </x:c>
      <x:c r="L406" s="18" t="str">
        <x:v>No</x:v>
      </x:c>
      <x:c r="M406" s="18" t="str">
        <x:v>En relación con los trabajadores contratados a tiempo parcial, el artículo 246 del texto refundido de la Ley General de la Seguridad Social establece que la base de cotización a la Seguridad Social y de las aportaciones que se recaudan conjuntamente con las cuotas de aquella:</x:v>
      </x:c>
      <x:c r="N406" s="18" t="str">
        <x:v>Será siempre mensual y estará constituida por las retribuciones efectivamente percibidas en función de las horas ordinarias trabajadas.</x:v>
      </x:c>
      <x:c r="O406" s="18" t="str">
        <x:v>Será siempre mensual y estará constituida por las retribuciones efectivamente percibidas en función de las horas trabajadas, tanto ordinarias como complementarias.</x:v>
      </x:c>
      <x:c r="P406" s="18" t="str">
        <x:v>Será mensual o semanal, en función del tipo de contrato, y estará constituida por las retribuciones efectivamente percibidas en función de las horas trabajadas, tanto ordinarias como complementarias.</x:v>
      </x:c>
      <x:c r="Q406" s="18" t="str">
        <x:v>Será mensual o semanal, en función del tipo de contrato, y estará constituida por las retribuciones efectivamente percibidas en función de las horas ordinarias trabajadas.</x:v>
      </x:c>
      <x:c r="R406" s="18" t="str">
        <x:v>S04</x:v>
      </x:c>
      <x:c r="S406" s="18" t="n">
        <x:v>4</x:v>
      </x:c>
      <x:c r="T406" s="18" t="str">
        <x:v>Temario específico Seguridad Social</x:v>
      </x:c>
      <x:c r="U406" s="18" t="str">
        <x:v>La cotización a la Seguridad Social: normas comunes del sistema. La liquidación de cuotas. El régimen general de la Seguridad Social. Supuestos especiales. Bases y tipos de cotización. Liquidación de otras deudas.</x:v>
      </x:c>
      <x:c r="V406" s="18" t="str">
        <x:v>base de cotización</x:v>
      </x:c>
      <x:c r="W406" s="18" t="str">
        <x:v>texto refundido de la Ley General de la Seguridad Social</x:v>
      </x:c>
      <x:c r="X406" s="18" t="str">
        <x:v>246</x:v>
      </x:c>
      <x:c r="Y406" s="18" t="str">
        <x:v>Cotización</x:v>
      </x:c>
      <x:c r="Z406" s="18" t="str">
        <x:v>Media</x:v>
      </x:c>
      <x:c r="AA406" s="18" t="str">
        <x:v>base de cotización</x:v>
      </x:c>
      <x:c r="AB406" s="18" t="str"/>
      <x:c r="AC406" s="18" t="str"/>
      <x:c r="AD406" s="18" t="str">
        <x:v>No</x:v>
      </x:c>
      <x:c r="AE406" s="18" t="str">
        <x:v>Teórico</x:v>
      </x:c>
      <x:c r="AF406" s="18" t="str">
        <x:v>B</x:v>
      </x:c>
      <x:c r="AG406" s="18" t="str">
        <x:v>B</x:v>
      </x:c>
      <x:c r="AH406" s="18" t="str">
        <x:v>Válida</x:v>
      </x:c>
      <x:c r="AI406" s="18" t="str">
        <x:v>01. Información oficial de la oposición\Exámenes oficiales anteriores\2026 Convocatoria 2025 - Acceso libre Rojo A.pdf</x:v>
      </x:c>
      <x:c r="AJ406" s="18" t="str">
        <x:v>https://www.seg-social.es/wps/portal/wss/internet/InformacionUtil/9950/88beb45d-ca83-4bab-8162-f94ef2894562/e0c83707-3358-47a9-94d7-508221dad233</x:v>
      </x:c>
      <x:c r="AK406" s="18" t="str">
        <x:v>OCR Windows es-ES sobre PDF oficial</x:v>
      </x:c>
      <x:c r="AL406" s="18" t="n">
        <x:v>100</x:v>
      </x:c>
      <x:c r="AM406" s="18" t="str">
        <x:v>Alta</x:v>
      </x:c>
      <x:c r="AN406" s="18" t="str">
        <x:v>Regla jurídica determinista</x:v>
      </x:c>
      <x:c r="AO406" s="18" t="str">
        <x:v>2026_conv2025_rojo_A-T41</x:v>
      </x:c>
      <x:c r="AP406" s="18" t="n">
        <x:v>1</x:v>
      </x:c>
    </x:row>
    <x:row r="407">
      <x:c r="A407" s="18" t="str">
        <x:v>2026_conv2025_rojo_A-T42</x:v>
      </x:c>
      <x:c r="B407" s="18" t="n">
        <x:v>2026</x:v>
      </x:c>
      <x:c r="C407" s="18" t="n">
        <x:v>2025</x:v>
      </x:c>
      <x:c r="D407" s="28" t="n">
        <x:v>46201</x:v>
      </x:c>
      <x:c r="E407" s="18" t="str">
        <x:v>Acceso libre</x:v>
      </x:c>
      <x:c r="F407" s="18" t="str">
        <x:v>Primera parte</x:v>
      </x:c>
      <x:c r="G407" s="18" t="str">
        <x:v>Rojo A</x:v>
      </x:c>
      <x:c r="H407" s="18" t="str">
        <x:v>Rojo/Verde A/B</x:v>
      </x:c>
      <x:c r="I407" s="18" t="str">
        <x:v>Sí</x:v>
      </x:c>
      <x:c r="J407" s="18" t="str">
        <x:v>Los colores y modelos reproducen el mismo conjunto de preguntas con orden y/o opciones permutados; Rojo A es la variante canónica para frecuencias y Verde A se conserva como control de cobertura.</x:v>
      </x:c>
      <x:c r="K407" s="18" t="n">
        <x:v>42</x:v>
      </x:c>
      <x:c r="L407" s="18" t="str">
        <x:v>No</x:v>
      </x:c>
      <x:c r="M407" s="18" t="str">
        <x:v>De acuerdo con el artículo 7 del Real Decreto 1415/2004, de 11 de junio, por el que se aprueba eI Reglamento General de Recaudación de la Seguridad Social, los actos de la Tesorería General de la Seguridad Social para la determinación y recaudación de la deuda con la Seguridad Social:</x:v>
      </x:c>
      <x:c r="N407" s="18" t="str">
        <x:v>Gozan de presunción de legalidad y son inmediatamente ejecutivos.</x:v>
      </x:c>
      <x:c r="O407" s="18" t="str">
        <x:v>Gozan de presunción de validez y son inmediatamente ejecutivos.</x:v>
      </x:c>
      <x:c r="P407" s="18" t="str">
        <x:v>Gozan de presunción de legalidad y son ejecutivos cuando adquieren firmeza en vía administrativa.</x:v>
      </x:c>
      <x:c r="Q407" s="18" t="str">
        <x:v>Gozan de presunción de validez y son ejecutivos cuando adquieren firmeza en vía administrativa.</x:v>
      </x:c>
      <x:c r="R407" s="18" t="str">
        <x:v>S05</x:v>
      </x:c>
      <x:c r="S407" s="18" t="n">
        <x:v>5</x:v>
      </x:c>
      <x:c r="T407" s="18" t="str">
        <x:v>Temario específico Seguridad Social</x:v>
      </x:c>
      <x:c r="U407" s="18" t="str">
        <x:v>La gestión recaudatoria: concepto, competencia y objeto. Responsables del pago. Requisitos para el pago. Medios de pago. Control de recaudación. Revisión de los actos de gestión recaudatoria. La recaudación en periodo voluntario. Efectos de la falta de cotización en período reglamentario. Recaudación de otros recursos. Aplazamientos. Devolución de ingresos indebidos. Capital coste de pensiones.</x:v>
      </x:c>
      <x:c r="V407" s="18" t="str">
        <x:v>S05</x:v>
      </x:c>
      <x:c r="W407" s="18" t="str">
        <x:v>Real Decreto 1415/2004</x:v>
      </x:c>
      <x:c r="X407" s="18" t="str">
        <x:v>7</x:v>
      </x:c>
      <x:c r="Y407" s="18" t="str">
        <x:v>Recaudación</x:v>
      </x:c>
      <x:c r="Z407" s="18" t="str">
        <x:v>Media</x:v>
      </x:c>
      <x:c r="AA407" s="18" t="str">
        <x:v>S05</x:v>
      </x:c>
      <x:c r="AB407" s="18" t="str">
        <x:v>Tesorería General de la Seguridad Social</x:v>
      </x:c>
      <x:c r="AC407" s="18" t="str"/>
      <x:c r="AD407" s="18" t="str">
        <x:v>No</x:v>
      </x:c>
      <x:c r="AE407" s="18" t="str">
        <x:v>Teórico</x:v>
      </x:c>
      <x:c r="AF407" s="18" t="str">
        <x:v>A</x:v>
      </x:c>
      <x:c r="AG407" s="18" t="str">
        <x:v>A</x:v>
      </x:c>
      <x:c r="AH407" s="18" t="str">
        <x:v>Válida</x:v>
      </x:c>
      <x:c r="AI407" s="18" t="str">
        <x:v>01. Información oficial de la oposición\Exámenes oficiales anteriores\2026 Convocatoria 2025 - Acceso libre Rojo A.pdf</x:v>
      </x:c>
      <x:c r="AJ407" s="18" t="str">
        <x:v>https://www.seg-social.es/wps/portal/wss/internet/InformacionUtil/9950/88beb45d-ca83-4bab-8162-f94ef2894562/e0c83707-3358-47a9-94d7-508221dad233</x:v>
      </x:c>
      <x:c r="AK407" s="18" t="str">
        <x:v>OCR Windows es-ES sobre PDF oficial</x:v>
      </x:c>
      <x:c r="AL407" s="18" t="n">
        <x:v>100</x:v>
      </x:c>
      <x:c r="AM407" s="18" t="str">
        <x:v>Alta</x:v>
      </x:c>
      <x:c r="AN407" s="18" t="str">
        <x:v>Regla jurídica determinista</x:v>
      </x:c>
      <x:c r="AO407" s="18" t="str">
        <x:v>2026_conv2025_rojo_A-T42</x:v>
      </x:c>
      <x:c r="AP407" s="18" t="n">
        <x:v>1</x:v>
      </x:c>
    </x:row>
    <x:row r="408">
      <x:c r="A408" s="18" t="str">
        <x:v>2026_conv2025_rojo_A-T43</x:v>
      </x:c>
      <x:c r="B408" s="18" t="n">
        <x:v>2026</x:v>
      </x:c>
      <x:c r="C408" s="18" t="n">
        <x:v>2025</x:v>
      </x:c>
      <x:c r="D408" s="28" t="n">
        <x:v>46201</x:v>
      </x:c>
      <x:c r="E408" s="18" t="str">
        <x:v>Acceso libre</x:v>
      </x:c>
      <x:c r="F408" s="18" t="str">
        <x:v>Primera parte</x:v>
      </x:c>
      <x:c r="G408" s="18" t="str">
        <x:v>Rojo A</x:v>
      </x:c>
      <x:c r="H408" s="18" t="str">
        <x:v>Rojo/Verde A/B</x:v>
      </x:c>
      <x:c r="I408" s="18" t="str">
        <x:v>Sí</x:v>
      </x:c>
      <x:c r="J408" s="18" t="str">
        <x:v>Los colores y modelos reproducen el mismo conjunto de preguntas con orden y/o opciones permutados; Rojo A es la variante canónica para frecuencias y Verde A se conserva como control de cobertura.</x:v>
      </x:c>
      <x:c r="K408" s="18" t="n">
        <x:v>43</x:v>
      </x:c>
      <x:c r="L408" s="18" t="str">
        <x:v>No</x:v>
      </x:c>
      <x:c r="M408" s="18" t="str">
        <x:v>EI artículo 34 del Real Decreto 1415/2004, de 11 de junio, por el que se aprueba el Reglamento General de Recaudación de 'a Seguridad Social, establece que en los aplazamientos en los que se haya eximido de constituir garantías por causas de carácter extraordinario, el interés aplicable será:</x:v>
      </x:c>
      <x:c r="N408" s="18" t="str">
        <x:v>EI interés legal del dinero.</x:v>
      </x:c>
      <x:c r="O408" s="18" t="str">
        <x:v>EI interés de demora.</x:v>
      </x:c>
      <x:c r="P408" s="18" t="str">
        <x:v>EI interés legal del dinero incrementado en el interés de demora.</x:v>
      </x:c>
      <x:c r="Q408" s="18" t="str">
        <x:v>No se devenga interés.</x:v>
      </x:c>
      <x:c r="R408" s="18" t="str">
        <x:v>S05</x:v>
      </x:c>
      <x:c r="S408" s="18" t="n">
        <x:v>5</x:v>
      </x:c>
      <x:c r="T408" s="18" t="str">
        <x:v>Temario específico Seguridad Social</x:v>
      </x:c>
      <x:c r="U408" s="18" t="str">
        <x:v>La gestión recaudatoria: concepto, competencia y objeto. Responsables del pago. Requisitos para el pago. Medios de pago. Control de recaudación. Revisión de los actos de gestión recaudatoria. La recaudación en periodo voluntario. Efectos de la falta de cotización en período reglamentario. Recaudación de otros recursos. Aplazamientos. Devolución de ingresos indebidos. Capital coste de pensiones.</x:v>
      </x:c>
      <x:c r="V408" s="18" t="str">
        <x:v>S05</x:v>
      </x:c>
      <x:c r="W408" s="18" t="str">
        <x:v>Real Decreto 1415/2004</x:v>
      </x:c>
      <x:c r="X408" s="18" t="str">
        <x:v>34</x:v>
      </x:c>
      <x:c r="Y408" s="18" t="str">
        <x:v>Recaudación</x:v>
      </x:c>
      <x:c r="Z408" s="18" t="str">
        <x:v>Media</x:v>
      </x:c>
      <x:c r="AA408" s="18" t="str">
        <x:v>S05</x:v>
      </x:c>
      <x:c r="AB408" s="18" t="str"/>
      <x:c r="AC408" s="18" t="str"/>
      <x:c r="AD408" s="18" t="str">
        <x:v>No</x:v>
      </x:c>
      <x:c r="AE408" s="18" t="str">
        <x:v>Teórico</x:v>
      </x:c>
      <x:c r="AF408" s="18" t="str">
        <x:v>B</x:v>
      </x:c>
      <x:c r="AG408" s="18" t="str">
        <x:v>ANULADA</x:v>
      </x:c>
      <x:c r="AH408" s="18" t="str">
        <x:v>Anulada</x:v>
      </x:c>
      <x:c r="AI408" s="18" t="str">
        <x:v>01. Información oficial de la oposición\Exámenes oficiales anteriores\2026 Convocatoria 2025 - Acceso libre Rojo A.pdf</x:v>
      </x:c>
      <x:c r="AJ408" s="18" t="str">
        <x:v>https://www.seg-social.es/wps/portal/wss/internet/InformacionUtil/9950/88beb45d-ca83-4bab-8162-f94ef2894562/e0c83707-3358-47a9-94d7-508221dad233</x:v>
      </x:c>
      <x:c r="AK408" s="18" t="str">
        <x:v>OCR Windows es-ES sobre PDF oficial</x:v>
      </x:c>
      <x:c r="AL408" s="18" t="n">
        <x:v>100</x:v>
      </x:c>
      <x:c r="AM408" s="18" t="str">
        <x:v>Alta</x:v>
      </x:c>
      <x:c r="AN408" s="18" t="str">
        <x:v>Regla jurídica determinista</x:v>
      </x:c>
      <x:c r="AO408" s="18" t="str">
        <x:v>2026_conv2025_rojo_A-T43</x:v>
      </x:c>
      <x:c r="AP408" s="18" t="n">
        <x:v>1</x:v>
      </x:c>
    </x:row>
    <x:row r="409">
      <x:c r="A409" s="18" t="str">
        <x:v>2026_conv2025_rojo_A-T44</x:v>
      </x:c>
      <x:c r="B409" s="18" t="n">
        <x:v>2026</x:v>
      </x:c>
      <x:c r="C409" s="18" t="n">
        <x:v>2025</x:v>
      </x:c>
      <x:c r="D409" s="28" t="n">
        <x:v>46201</x:v>
      </x:c>
      <x:c r="E409" s="18" t="str">
        <x:v>Acceso libre</x:v>
      </x:c>
      <x:c r="F409" s="18" t="str">
        <x:v>Primera parte</x:v>
      </x:c>
      <x:c r="G409" s="18" t="str">
        <x:v>Rojo A</x:v>
      </x:c>
      <x:c r="H409" s="18" t="str">
        <x:v>Rojo/Verde A/B</x:v>
      </x:c>
      <x:c r="I409" s="18" t="str">
        <x:v>Sí</x:v>
      </x:c>
      <x:c r="J409" s="18" t="str">
        <x:v>Los colores y modelos reproducen el mismo conjunto de preguntas con orden y/o opciones permutados; Rojo A es la variante canónica para frecuencias y Verde A se conserva como control de cobertura.</x:v>
      </x:c>
      <x:c r="K409" s="18" t="n">
        <x:v>44</x:v>
      </x:c>
      <x:c r="L409" s="18" t="str">
        <x:v>No</x:v>
      </x:c>
      <x:c r="M409" s="18" t="str">
        <x:v>De acuerdo con 10 establecido en el artículo 45 del Real Decreto 1415/2004, de II de junio, por eI que se aprueba eI Reglamento General de Recaudación de la Seguridad Social, ¿cuál es eI plazo máximo del que dispone la Tesorería General de la Seguridad Social para adoptar y notificar la resolución sobre una solicitud de devolución de ingresos indebidos?</x:v>
      </x:c>
      <x:c r="N409" s="18" t="str">
        <x:v>Tres meses siguientes a la fecha en que se hubiera completado la documentación que deba aportar el solicitante de la devolución.</x:v>
      </x:c>
      <x:c r="O409" s="18" t="str">
        <x:v>Tres meses desde la fecha de entrada de la solicitud en el registro competente.</x:v>
      </x:c>
      <x:c r="P409" s="18" t="str">
        <x:v>Seis meses siguientes a la fecha en que se hubiera completado la documentación que deba aportar el solicitante de la devolución.</x:v>
      </x:c>
      <x:c r="Q409" s="18" t="str">
        <x:v>Seis meses desde la fecha de entrada de la solicitud en el registro competente.</x:v>
      </x:c>
      <x:c r="R409" s="18" t="str">
        <x:v>S05</x:v>
      </x:c>
      <x:c r="S409" s="18" t="n">
        <x:v>5</x:v>
      </x:c>
      <x:c r="T409" s="18" t="str">
        <x:v>Temario específico Seguridad Social</x:v>
      </x:c>
      <x:c r="U409" s="18" t="str">
        <x:v>La gestión recaudatoria: concepto, competencia y objeto. Responsables del pago. Requisitos para el pago. Medios de pago. Control de recaudación. Revisión de los actos de gestión recaudatoria. La recaudación en periodo voluntario. Efectos de la falta de cotización en período reglamentario. Recaudación de otros recursos. Aplazamientos. Devolución de ingresos indebidos. Capital coste de pensiones.</x:v>
      </x:c>
      <x:c r="V409" s="18" t="str">
        <x:v>S05</x:v>
      </x:c>
      <x:c r="W409" s="18" t="str">
        <x:v>Real Decreto 1415/2004</x:v>
      </x:c>
      <x:c r="X409" s="18" t="str">
        <x:v>45</x:v>
      </x:c>
      <x:c r="Y409" s="18" t="str">
        <x:v>Plazos</x:v>
      </x:c>
      <x:c r="Z409" s="18" t="str">
        <x:v>Alta</x:v>
      </x:c>
      <x:c r="AA409" s="18" t="str">
        <x:v>S05</x:v>
      </x:c>
      <x:c r="AB409" s="18" t="str">
        <x:v>Tesorería General de la Seguridad Social</x:v>
      </x:c>
      <x:c r="AC409" s="18" t="str"/>
      <x:c r="AD409" s="18" t="str">
        <x:v>No</x:v>
      </x:c>
      <x:c r="AE409" s="18" t="str">
        <x:v>Teórico</x:v>
      </x:c>
      <x:c r="AF409" s="18" t="str">
        <x:v>C</x:v>
      </x:c>
      <x:c r="AG409" s="18" t="str">
        <x:v>C</x:v>
      </x:c>
      <x:c r="AH409" s="18" t="str">
        <x:v>Válida</x:v>
      </x:c>
      <x:c r="AI409" s="18" t="str">
        <x:v>01. Información oficial de la oposición\Exámenes oficiales anteriores\2026 Convocatoria 2025 - Acceso libre Rojo A.pdf</x:v>
      </x:c>
      <x:c r="AJ409" s="18" t="str">
        <x:v>https://www.seg-social.es/wps/portal/wss/internet/InformacionUtil/9950/88beb45d-ca83-4bab-8162-f94ef2894562/e0c83707-3358-47a9-94d7-508221dad233</x:v>
      </x:c>
      <x:c r="AK409" s="18" t="str">
        <x:v>OCR Windows es-ES sobre PDF oficial</x:v>
      </x:c>
      <x:c r="AL409" s="18" t="n">
        <x:v>100</x:v>
      </x:c>
      <x:c r="AM409" s="18" t="str">
        <x:v>Alta</x:v>
      </x:c>
      <x:c r="AN409" s="18" t="str">
        <x:v>Regla jurídica determinista</x:v>
      </x:c>
      <x:c r="AO409" s="18" t="str">
        <x:v>2026_conv2025_rojo_A-T44</x:v>
      </x:c>
      <x:c r="AP409" s="18" t="n">
        <x:v>1</x:v>
      </x:c>
    </x:row>
    <x:row r="410">
      <x:c r="A410" s="18" t="str">
        <x:v>2026_conv2025_rojo_A-T45</x:v>
      </x:c>
      <x:c r="B410" s="18" t="n">
        <x:v>2026</x:v>
      </x:c>
      <x:c r="C410" s="18" t="n">
        <x:v>2025</x:v>
      </x:c>
      <x:c r="D410" s="28" t="n">
        <x:v>46201</x:v>
      </x:c>
      <x:c r="E410" s="18" t="str">
        <x:v>Acceso libre</x:v>
      </x:c>
      <x:c r="F410" s="18" t="str">
        <x:v>Primera parte</x:v>
      </x:c>
      <x:c r="G410" s="18" t="str">
        <x:v>Rojo A</x:v>
      </x:c>
      <x:c r="H410" s="18" t="str">
        <x:v>Rojo/Verde A/B</x:v>
      </x:c>
      <x:c r="I410" s="18" t="str">
        <x:v>Sí</x:v>
      </x:c>
      <x:c r="J410" s="18" t="str">
        <x:v>Los colores y modelos reproducen el mismo conjunto de preguntas con orden y/o opciones permutados; Rojo A es la variante canónica para frecuencias y Verde A se conserva como control de cobertura.</x:v>
      </x:c>
      <x:c r="K410" s="18" t="n">
        <x:v>45</x:v>
      </x:c>
      <x:c r="L410" s="18" t="str">
        <x:v>No</x:v>
      </x:c>
      <x:c r="M410" s="18" t="str">
        <x:v>Según establece el artículo 64 del Real Decreto 1415/2004, de 11 de junio, por el que se aprueba el Reglamento General de Recaudación de la Seguridad Social, los importes exigidos en las reclamaciones de deuda por cuotas y conceptos de recaudación conjunta notificadas entre los días I y 15 de cada mes deberán hacerse efectivos dentro del siguiente plazo:</x:v>
      </x:c>
      <x:c r="N410" s="18" t="str">
        <x:v>Desde la fecha de la notificación hasta el último día hábil del mismo mes.</x:v>
      </x:c>
      <x:c r="O410" s="18" t="str">
        <x:v>Desde la fecha de la notificación hasta el día 5 del mes siguiente o el inmediato hábil posterior.</x:v>
      </x:c>
      <x:c r="P410" s="18" t="str">
        <x:v>Desde la fecha de la notificación hasta eI día 10 del mes siguiente o eI inmediato hábil posterior.</x:v>
      </x:c>
      <x:c r="Q410" s="18" t="str">
        <x:v>Desde la fecha de la notificación hasta eI día 15 del mes siguiente o eI inmediato hábil posterior.</x:v>
      </x:c>
      <x:c r="R410" s="18" t="str">
        <x:v>S05</x:v>
      </x:c>
      <x:c r="S410" s="18" t="n">
        <x:v>5</x:v>
      </x:c>
      <x:c r="T410" s="18" t="str">
        <x:v>Temario específico Seguridad Social</x:v>
      </x:c>
      <x:c r="U410" s="18" t="str">
        <x:v>La gestión recaudatoria: concepto, competencia y objeto. Responsables del pago. Requisitos para el pago. Medios de pago. Control de recaudación. Revisión de los actos de gestión recaudatoria. La recaudación en periodo voluntario. Efectos de la falta de cotización en período reglamentario. Recaudación de otros recursos. Aplazamientos. Devolución de ingresos indebidos. Capital coste de pensiones.</x:v>
      </x:c>
      <x:c r="V410" s="18" t="str">
        <x:v>S05</x:v>
      </x:c>
      <x:c r="W410" s="18" t="str">
        <x:v>Real Decreto 1415/2004</x:v>
      </x:c>
      <x:c r="X410" s="18" t="str">
        <x:v>64</x:v>
      </x:c>
      <x:c r="Y410" s="18" t="str">
        <x:v>Cálculos</x:v>
      </x:c>
      <x:c r="Z410" s="18" t="str">
        <x:v>Alta</x:v>
      </x:c>
      <x:c r="AA410" s="18" t="str">
        <x:v>S05</x:v>
      </x:c>
      <x:c r="AB410" s="18" t="str"/>
      <x:c r="AC410" s="18" t="str"/>
      <x:c r="AD410" s="18" t="str">
        <x:v>No</x:v>
      </x:c>
      <x:c r="AE410" s="18" t="str">
        <x:v>Teórico</x:v>
      </x:c>
      <x:c r="AF410" s="18" t="str">
        <x:v>B</x:v>
      </x:c>
      <x:c r="AG410" s="18" t="str">
        <x:v>B</x:v>
      </x:c>
      <x:c r="AH410" s="18" t="str">
        <x:v>Válida</x:v>
      </x:c>
      <x:c r="AI410" s="18" t="str">
        <x:v>01. Información oficial de la oposición\Exámenes oficiales anteriores\2026 Convocatoria 2025 - Acceso libre Rojo A.pdf</x:v>
      </x:c>
      <x:c r="AJ410" s="18" t="str">
        <x:v>https://www.seg-social.es/wps/portal/wss/internet/InformacionUtil/9950/88beb45d-ca83-4bab-8162-f94ef2894562/e0c83707-3358-47a9-94d7-508221dad233</x:v>
      </x:c>
      <x:c r="AK410" s="18" t="str">
        <x:v>OCR Windows es-ES sobre PDF oficial</x:v>
      </x:c>
      <x:c r="AL410" s="18" t="n">
        <x:v>100</x:v>
      </x:c>
      <x:c r="AM410" s="18" t="str">
        <x:v>Alta</x:v>
      </x:c>
      <x:c r="AN410" s="18" t="str">
        <x:v>Regla jurídica determinista</x:v>
      </x:c>
      <x:c r="AO410" s="18" t="str">
        <x:v>2026_conv2025_rojo_A-T45</x:v>
      </x:c>
      <x:c r="AP410" s="18" t="n">
        <x:v>1</x:v>
      </x:c>
    </x:row>
    <x:row r="411">
      <x:c r="A411" s="18" t="str">
        <x:v>2026_conv2025_rojo_A-T46</x:v>
      </x:c>
      <x:c r="B411" s="18" t="n">
        <x:v>2026</x:v>
      </x:c>
      <x:c r="C411" s="18" t="n">
        <x:v>2025</x:v>
      </x:c>
      <x:c r="D411" s="28" t="n">
        <x:v>46201</x:v>
      </x:c>
      <x:c r="E411" s="18" t="str">
        <x:v>Acceso libre</x:v>
      </x:c>
      <x:c r="F411" s="18" t="str">
        <x:v>Primera parte</x:v>
      </x:c>
      <x:c r="G411" s="18" t="str">
        <x:v>Rojo A</x:v>
      </x:c>
      <x:c r="H411" s="18" t="str">
        <x:v>Rojo/Verde A/B</x:v>
      </x:c>
      <x:c r="I411" s="18" t="str">
        <x:v>Sí</x:v>
      </x:c>
      <x:c r="J411" s="18" t="str">
        <x:v>Los colores y modelos reproducen el mismo conjunto de preguntas con orden y/o opciones permutados; Rojo A es la variante canónica para frecuencias y Verde A se conserva como control de cobertura.</x:v>
      </x:c>
      <x:c r="K411" s="18" t="n">
        <x:v>46</x:v>
      </x:c>
      <x:c r="L411" s="18" t="str">
        <x:v>No</x:v>
      </x:c>
      <x:c r="M411" s="18" t="str">
        <x:v>Conforme al artículo 87 del Real Decreto 1415/2004, de 11 de junio, por el que se aprueba eI Reglamento General de Recaudación de la Seguridad Socia', las actuaciones del procedimiento de apremio podrán prever, en concepto de previsión de costas e intereses, un incremento sobre la cuantía exigible de hasta:</x:v>
      </x:c>
      <x:c r="N411" s="18" t="str">
        <x:v>Un 10 por ciento.</x:v>
      </x:c>
      <x:c r="O411" s="18" t="str">
        <x:v>Un 7 por ciento.</x:v>
      </x:c>
      <x:c r="P411" s="18" t="str">
        <x:v>Un 5 por ciento.</x:v>
      </x:c>
      <x:c r="Q411" s="18" t="str">
        <x:v>Un 3 por ciento.</x:v>
      </x:c>
      <x:c r="R411" s="18" t="str">
        <x:v>S06</x:v>
      </x:c>
      <x:c r="S411" s="18" t="n">
        <x:v>6</x:v>
      </x:c>
      <x:c r="T411" s="18" t="str">
        <x:v>Temario específico Seguridad Social</x:v>
      </x:c>
      <x:c r="U411" s="18" t="str">
        <x:v>La recaudación en vía ejecutiva. Normas generales. Iniciación y título ejecutivo. La providencia de apremio. Oposición y efectos. El embargo de bienes. Enajenación de bienes: modalidades. Créditos incobrables. Tercerías.</x:v>
      </x:c>
      <x:c r="V411" s="18" t="str">
        <x:v>S06</x:v>
      </x:c>
      <x:c r="W411" s="18" t="str">
        <x:v>Real Decreto 1415/2004</x:v>
      </x:c>
      <x:c r="X411" s="18" t="str">
        <x:v>87</x:v>
      </x:c>
      <x:c r="Y411" s="18" t="str">
        <x:v>Cálculos</x:v>
      </x:c>
      <x:c r="Z411" s="18" t="str">
        <x:v>Media</x:v>
      </x:c>
      <x:c r="AA411" s="18" t="str">
        <x:v>S06</x:v>
      </x:c>
      <x:c r="AB411" s="18" t="str"/>
      <x:c r="AC411" s="18" t="str"/>
      <x:c r="AD411" s="18" t="str">
        <x:v>No</x:v>
      </x:c>
      <x:c r="AE411" s="18" t="str">
        <x:v>Teórico</x:v>
      </x:c>
      <x:c r="AF411" s="18" t="str">
        <x:v>A</x:v>
      </x:c>
      <x:c r="AG411" s="18" t="str">
        <x:v>A</x:v>
      </x:c>
      <x:c r="AH411" s="18" t="str">
        <x:v>Válida</x:v>
      </x:c>
      <x:c r="AI411" s="18" t="str">
        <x:v>01. Información oficial de la oposición\Exámenes oficiales anteriores\2026 Convocatoria 2025 - Acceso libre Rojo A.pdf</x:v>
      </x:c>
      <x:c r="AJ411" s="18" t="str">
        <x:v>https://www.seg-social.es/wps/portal/wss/internet/InformacionUtil/9950/88beb45d-ca83-4bab-8162-f94ef2894562/e0c83707-3358-47a9-94d7-508221dad233</x:v>
      </x:c>
      <x:c r="AK411" s="18" t="str">
        <x:v>OCR Windows es-ES sobre PDF oficial</x:v>
      </x:c>
      <x:c r="AL411" s="18" t="n">
        <x:v>100</x:v>
      </x:c>
      <x:c r="AM411" s="18" t="str">
        <x:v>Alta</x:v>
      </x:c>
      <x:c r="AN411" s="18" t="str">
        <x:v>Regla jurídica determinista</x:v>
      </x:c>
      <x:c r="AO411" s="18" t="str">
        <x:v>2026_conv2025_rojo_A-T46</x:v>
      </x:c>
      <x:c r="AP411" s="18" t="n">
        <x:v>1</x:v>
      </x:c>
    </x:row>
    <x:row r="412">
      <x:c r="A412" s="18" t="str">
        <x:v>2026_conv2025_rojo_A-T47</x:v>
      </x:c>
      <x:c r="B412" s="18" t="n">
        <x:v>2026</x:v>
      </x:c>
      <x:c r="C412" s="18" t="n">
        <x:v>2025</x:v>
      </x:c>
      <x:c r="D412" s="28" t="n">
        <x:v>46201</x:v>
      </x:c>
      <x:c r="E412" s="18" t="str">
        <x:v>Acceso libre</x:v>
      </x:c>
      <x:c r="F412" s="18" t="str">
        <x:v>Primera parte</x:v>
      </x:c>
      <x:c r="G412" s="18" t="str">
        <x:v>Rojo A</x:v>
      </x:c>
      <x:c r="H412" s="18" t="str">
        <x:v>Rojo/Verde A/B</x:v>
      </x:c>
      <x:c r="I412" s="18" t="str">
        <x:v>Sí</x:v>
      </x:c>
      <x:c r="J412" s="18" t="str">
        <x:v>Los colores y modelos reproducen el mismo conjunto de preguntas con orden y/o opciones permutados; Rojo A es la variante canónica para frecuencias y Verde A se conserva como control de cobertura.</x:v>
      </x:c>
      <x:c r="K412" s="18" t="n">
        <x:v>47</x:v>
      </x:c>
      <x:c r="L412" s="18" t="str">
        <x:v>No</x:v>
      </x:c>
      <x:c r="M412" s="18" t="str">
        <x:v>De acuerdo con el articulo 113 del Real Decreto 1415/2004, de II de junio, por eI que se aprueba el Reglamento General de Recaudación de la Seguridad Social, cuando los bienes embargados sean muebles o semovientes, podrán ser enajenados por concurso autorizado por:</x:v>
      </x:c>
      <x:c r="N412" s="18" t="str">
        <x:v>La persona titular de la Dirección General.</x:v>
      </x:c>
      <x:c r="O412" s="18" t="str">
        <x:v>La persona titular de 'a Unidad de Recaudación Ejecutiva.</x:v>
      </x:c>
      <x:c r="P412" s="18" t="str">
        <x:v>La persona titular de la Dirección Provincial.</x:v>
      </x:c>
      <x:c r="Q412" s="18" t="str">
        <x:v>La persona titular de la Subdirección General de Procedimientos Ejecutivos y Especiales de Recaudación.</x:v>
      </x:c>
      <x:c r="R412" s="18" t="str">
        <x:v>S06</x:v>
      </x:c>
      <x:c r="S412" s="18" t="n">
        <x:v>6</x:v>
      </x:c>
      <x:c r="T412" s="18" t="str">
        <x:v>Temario específico Seguridad Social</x:v>
      </x:c>
      <x:c r="U412" s="18" t="str">
        <x:v>La recaudación en vía ejecutiva. Normas generales. Iniciación y título ejecutivo. La providencia de apremio. Oposición y efectos. El embargo de bienes. Enajenación de bienes: modalidades. Créditos incobrables. Tercerías.</x:v>
      </x:c>
      <x:c r="V412" s="18" t="str">
        <x:v>S06</x:v>
      </x:c>
      <x:c r="W412" s="18" t="str">
        <x:v>Real Decreto 1415/2004</x:v>
      </x:c>
      <x:c r="X412" s="18" t="str">
        <x:v>113</x:v>
      </x:c>
      <x:c r="Y412" s="18" t="str">
        <x:v>Recaudación ejecutiva</x:v>
      </x:c>
      <x:c r="Z412" s="18" t="str">
        <x:v>Media</x:v>
      </x:c>
      <x:c r="AA412" s="18" t="str">
        <x:v>S06</x:v>
      </x:c>
      <x:c r="AB412" s="18" t="str"/>
      <x:c r="AC412" s="18" t="str"/>
      <x:c r="AD412" s="18" t="str">
        <x:v>No</x:v>
      </x:c>
      <x:c r="AE412" s="18" t="str">
        <x:v>Teórico</x:v>
      </x:c>
      <x:c r="AF412" s="18" t="str">
        <x:v>C</x:v>
      </x:c>
      <x:c r="AG412" s="18" t="str">
        <x:v>C</x:v>
      </x:c>
      <x:c r="AH412" s="18" t="str">
        <x:v>Válida</x:v>
      </x:c>
      <x:c r="AI412" s="18" t="str">
        <x:v>01. Información oficial de la oposición\Exámenes oficiales anteriores\2026 Convocatoria 2025 - Acceso libre Rojo A.pdf</x:v>
      </x:c>
      <x:c r="AJ412" s="18" t="str">
        <x:v>https://www.seg-social.es/wps/portal/wss/internet/InformacionUtil/9950/88beb45d-ca83-4bab-8162-f94ef2894562/e0c83707-3358-47a9-94d7-508221dad233</x:v>
      </x:c>
      <x:c r="AK412" s="18" t="str">
        <x:v>OCR Windows es-ES sobre PDF oficial</x:v>
      </x:c>
      <x:c r="AL412" s="18" t="n">
        <x:v>100</x:v>
      </x:c>
      <x:c r="AM412" s="18" t="str">
        <x:v>Alta</x:v>
      </x:c>
      <x:c r="AN412" s="18" t="str">
        <x:v>Regla jurídica determinista</x:v>
      </x:c>
      <x:c r="AO412" s="18" t="str">
        <x:v>2026_conv2025_rojo_A-T47</x:v>
      </x:c>
      <x:c r="AP412" s="18" t="n">
        <x:v>1</x:v>
      </x:c>
    </x:row>
    <x:row r="413">
      <x:c r="A413" s="18" t="str">
        <x:v>2026_conv2025_rojo_A-T48</x:v>
      </x:c>
      <x:c r="B413" s="18" t="n">
        <x:v>2026</x:v>
      </x:c>
      <x:c r="C413" s="18" t="n">
        <x:v>2025</x:v>
      </x:c>
      <x:c r="D413" s="28" t="n">
        <x:v>46201</x:v>
      </x:c>
      <x:c r="E413" s="18" t="str">
        <x:v>Acceso libre</x:v>
      </x:c>
      <x:c r="F413" s="18" t="str">
        <x:v>Primera parte</x:v>
      </x:c>
      <x:c r="G413" s="18" t="str">
        <x:v>Rojo A</x:v>
      </x:c>
      <x:c r="H413" s="18" t="str">
        <x:v>Rojo/Verde A/B</x:v>
      </x:c>
      <x:c r="I413" s="18" t="str">
        <x:v>Sí</x:v>
      </x:c>
      <x:c r="J413" s="18" t="str">
        <x:v>Los colores y modelos reproducen el mismo conjunto de preguntas con orden y/o opciones permutados; Rojo A es la variante canónica para frecuencias y Verde A se conserva como control de cobertura.</x:v>
      </x:c>
      <x:c r="K413" s="18" t="n">
        <x:v>48</x:v>
      </x:c>
      <x:c r="L413" s="18" t="str">
        <x:v>No</x:v>
      </x:c>
      <x:c r="M413" s="18" t="str">
        <x:v>De acuerdo con el artículo 119 del Real Decreto 1415/2004, de 11 de junio, por eI que se aprueba eI Reglamento General de Recaudación de la Seguridad Social, en las mesas de subasta actuará como secretario:</x:v>
      </x:c>
      <x:c r="N413" s="18" t="str">
        <x:v>La persona titular de la Dirección Provincial o titular del órgano o unidad en quien delegue.</x:v>
      </x:c>
      <x:c r="O413" s="18" t="str">
        <x:v>La persona titular de la Unidad de Recaudación Ejecutiva que tenga a su cargo el expediente ejecutivo.</x:v>
      </x:c>
      <x:c r="P413" s="18" t="str">
        <x:v>La persona titular de la Intervención Delegada en la Dirección Provincial.</x:v>
      </x:c>
      <x:c r="Q413" s="18" t="str">
        <x:v>La persona funcionaria que a tal efecto designe la persona titular de la Dirección Provincial.</x:v>
      </x:c>
      <x:c r="R413" s="18" t="str">
        <x:v>S06</x:v>
      </x:c>
      <x:c r="S413" s="18" t="n">
        <x:v>6</x:v>
      </x:c>
      <x:c r="T413" s="18" t="str">
        <x:v>Temario específico Seguridad Social</x:v>
      </x:c>
      <x:c r="U413" s="18" t="str">
        <x:v>La recaudación en vía ejecutiva. Normas generales. Iniciación y título ejecutivo. La providencia de apremio. Oposición y efectos. El embargo de bienes. Enajenación de bienes: modalidades. Créditos incobrables. Tercerías.</x:v>
      </x:c>
      <x:c r="V413" s="18" t="str">
        <x:v>S06</x:v>
      </x:c>
      <x:c r="W413" s="18" t="str">
        <x:v>Real Decreto 1415/2004</x:v>
      </x:c>
      <x:c r="X413" s="18" t="str">
        <x:v>119</x:v>
      </x:c>
      <x:c r="Y413" s="18" t="str">
        <x:v>Recaudación ejecutiva</x:v>
      </x:c>
      <x:c r="Z413" s="18" t="str">
        <x:v>Media</x:v>
      </x:c>
      <x:c r="AA413" s="18" t="str">
        <x:v>S06</x:v>
      </x:c>
      <x:c r="AB413" s="18" t="str"/>
      <x:c r="AC413" s="18" t="str"/>
      <x:c r="AD413" s="18" t="str">
        <x:v>No</x:v>
      </x:c>
      <x:c r="AE413" s="18" t="str">
        <x:v>Teórico</x:v>
      </x:c>
      <x:c r="AF413" s="18" t="str">
        <x:v>D</x:v>
      </x:c>
      <x:c r="AG413" s="18" t="str">
        <x:v>D</x:v>
      </x:c>
      <x:c r="AH413" s="18" t="str">
        <x:v>Válida</x:v>
      </x:c>
      <x:c r="AI413" s="18" t="str">
        <x:v>01. Información oficial de la oposición\Exámenes oficiales anteriores\2026 Convocatoria 2025 - Acceso libre Rojo A.pdf</x:v>
      </x:c>
      <x:c r="AJ413" s="18" t="str">
        <x:v>https://www.seg-social.es/wps/portal/wss/internet/InformacionUtil/9950/88beb45d-ca83-4bab-8162-f94ef2894562/e0c83707-3358-47a9-94d7-508221dad233</x:v>
      </x:c>
      <x:c r="AK413" s="18" t="str">
        <x:v>OCR Windows es-ES sobre PDF oficial</x:v>
      </x:c>
      <x:c r="AL413" s="18" t="n">
        <x:v>100</x:v>
      </x:c>
      <x:c r="AM413" s="18" t="str">
        <x:v>Alta</x:v>
      </x:c>
      <x:c r="AN413" s="18" t="str">
        <x:v>Regla jurídica determinista</x:v>
      </x:c>
      <x:c r="AO413" s="18" t="str">
        <x:v>2026_conv2025_rojo_A-T48</x:v>
      </x:c>
      <x:c r="AP413" s="18" t="n">
        <x:v>1</x:v>
      </x:c>
    </x:row>
    <x:row r="414">
      <x:c r="A414" s="18" t="str">
        <x:v>2026_conv2025_rojo_A-T49</x:v>
      </x:c>
      <x:c r="B414" s="18" t="n">
        <x:v>2026</x:v>
      </x:c>
      <x:c r="C414" s="18" t="n">
        <x:v>2025</x:v>
      </x:c>
      <x:c r="D414" s="28" t="n">
        <x:v>46201</x:v>
      </x:c>
      <x:c r="E414" s="18" t="str">
        <x:v>Acceso libre</x:v>
      </x:c>
      <x:c r="F414" s="18" t="str">
        <x:v>Primera parte</x:v>
      </x:c>
      <x:c r="G414" s="18" t="str">
        <x:v>Rojo A</x:v>
      </x:c>
      <x:c r="H414" s="18" t="str">
        <x:v>Rojo/Verde A/B</x:v>
      </x:c>
      <x:c r="I414" s="18" t="str">
        <x:v>Sí</x:v>
      </x:c>
      <x:c r="J414" s="18" t="str">
        <x:v>Los colores y modelos reproducen el mismo conjunto de preguntas con orden y/o opciones permutados; Rojo A es la variante canónica para frecuencias y Verde A se conserva como control de cobertura.</x:v>
      </x:c>
      <x:c r="K414" s="18" t="n">
        <x:v>49</x:v>
      </x:c>
      <x:c r="L414" s="18" t="str">
        <x:v>No</x:v>
      </x:c>
      <x:c r="M414" s="18" t="str">
        <x:v>Según establece el artículo 123 bis del Real Decreto 1415/2004, de II de junio, por el que se aprueba el Reglamento General de Recaudación de la Seguridad Social, una vez autorizada por eI director provincial de la Tesorería General la enajenación mediante adjudicación directa, las actuaciones necesarias para llevarla a cabo se realizarán en el plazo de:</x:v>
      </x:c>
      <x:c r="N414" s="18" t="str">
        <x:v>Un año.</x:v>
      </x:c>
      <x:c r="O414" s="18" t="str">
        <x:v>Seis meses.</x:v>
      </x:c>
      <x:c r="P414" s="18" t="str">
        <x:v>Tres meses.</x:v>
      </x:c>
      <x:c r="Q414" s="18" t="str">
        <x:v>30 días naturales.</x:v>
      </x:c>
      <x:c r="R414" s="18" t="str">
        <x:v>S06</x:v>
      </x:c>
      <x:c r="S414" s="18" t="n">
        <x:v>6</x:v>
      </x:c>
      <x:c r="T414" s="18" t="str">
        <x:v>Temario específico Seguridad Social</x:v>
      </x:c>
      <x:c r="U414" s="18" t="str">
        <x:v>La recaudación en vía ejecutiva. Normas generales. Iniciación y título ejecutivo. La providencia de apremio. Oposición y efectos. El embargo de bienes. Enajenación de bienes: modalidades. Créditos incobrables. Tercerías.</x:v>
      </x:c>
      <x:c r="V414" s="18" t="str">
        <x:v>S06</x:v>
      </x:c>
      <x:c r="W414" s="18" t="str">
        <x:v>Real Decreto 1415/2004</x:v>
      </x:c>
      <x:c r="X414" s="18" t="str">
        <x:v>123</x:v>
      </x:c>
      <x:c r="Y414" s="18" t="str">
        <x:v>Plazos</x:v>
      </x:c>
      <x:c r="Z414" s="18" t="str">
        <x:v>Alta</x:v>
      </x:c>
      <x:c r="AA414" s="18" t="str">
        <x:v>S06</x:v>
      </x:c>
      <x:c r="AB414" s="18" t="str"/>
      <x:c r="AC414" s="18" t="str"/>
      <x:c r="AD414" s="18" t="str">
        <x:v>No</x:v>
      </x:c>
      <x:c r="AE414" s="18" t="str">
        <x:v>Teórico</x:v>
      </x:c>
      <x:c r="AF414" s="18" t="str">
        <x:v>B</x:v>
      </x:c>
      <x:c r="AG414" s="18" t="str">
        <x:v>B</x:v>
      </x:c>
      <x:c r="AH414" s="18" t="str">
        <x:v>Válida</x:v>
      </x:c>
      <x:c r="AI414" s="18" t="str">
        <x:v>01. Información oficial de la oposición\Exámenes oficiales anteriores\2026 Convocatoria 2025 - Acceso libre Rojo A.pdf</x:v>
      </x:c>
      <x:c r="AJ414" s="18" t="str">
        <x:v>https://www.seg-social.es/wps/portal/wss/internet/InformacionUtil/9950/88beb45d-ca83-4bab-8162-f94ef2894562/e0c83707-3358-47a9-94d7-508221dad233</x:v>
      </x:c>
      <x:c r="AK414" s="18" t="str">
        <x:v>OCR Windows es-ES sobre PDF oficial</x:v>
      </x:c>
      <x:c r="AL414" s="18" t="n">
        <x:v>100</x:v>
      </x:c>
      <x:c r="AM414" s="18" t="str">
        <x:v>Alta</x:v>
      </x:c>
      <x:c r="AN414" s="18" t="str">
        <x:v>Regla jurídica determinista</x:v>
      </x:c>
      <x:c r="AO414" s="18" t="str">
        <x:v>2026_conv2025_rojo_A-T49</x:v>
      </x:c>
      <x:c r="AP414" s="18" t="n">
        <x:v>1</x:v>
      </x:c>
    </x:row>
    <x:row r="415">
      <x:c r="A415" s="18" t="str">
        <x:v>2026_conv2025_rojo_A-T50</x:v>
      </x:c>
      <x:c r="B415" s="18" t="n">
        <x:v>2026</x:v>
      </x:c>
      <x:c r="C415" s="18" t="n">
        <x:v>2025</x:v>
      </x:c>
      <x:c r="D415" s="28" t="n">
        <x:v>46201</x:v>
      </x:c>
      <x:c r="E415" s="18" t="str">
        <x:v>Acceso libre</x:v>
      </x:c>
      <x:c r="F415" s="18" t="str">
        <x:v>Primera parte</x:v>
      </x:c>
      <x:c r="G415" s="18" t="str">
        <x:v>Rojo A</x:v>
      </x:c>
      <x:c r="H415" s="18" t="str">
        <x:v>Rojo/Verde A/B</x:v>
      </x:c>
      <x:c r="I415" s="18" t="str">
        <x:v>Sí</x:v>
      </x:c>
      <x:c r="J415" s="18" t="str">
        <x:v>Los colores y modelos reproducen el mismo conjunto de preguntas con orden y/o opciones permutados; Rojo A es la variante canónica para frecuencias y Verde A se conserva como control de cobertura.</x:v>
      </x:c>
      <x:c r="K415" s="18" t="n">
        <x:v>50</x:v>
      </x:c>
      <x:c r="L415" s="18" t="str">
        <x:v>No</x:v>
      </x:c>
      <x:c r="M415" s="18" t="str">
        <x:v>Según el articulo 59 del texto refundido de la Ley General de la Seguridad Social, la cuantía de los complementos a mínimos que tengan derecho a recibir los beneficiarios de pensiones contributivas que residan legalmente en territorio español será equivalente a:</x:v>
      </x:c>
      <x:c r="N415" s="18" t="str">
        <x:v>A la cuantía necesaria para alcanzar la cuantía de la pensión mínima establecida cada año para las pensiones contributivas, en todo caso.</x:v>
      </x:c>
      <x:c r="O415" s="18" t="str">
        <x:v>A la cuantía equivalente a sumar a la pensión eI porcentaje equivalente al valor medio de las tasas de variación interanual expresadas en tanto por ciento del índice de Precios al Consumo de los 12 meses previos.</x:v>
      </x:c>
      <x:c r="P415" s="18" t="str">
        <x:v>A la cuantía necesaria para alcanzar la cuantía de la pensión mínima establecida cada año para las pensiones contributivas, pero en ningún caso podrá superar la cuantía establecida en cada ejercicio para las pensiones no contributivas de jubilación e invalidez</x:v>
      </x:c>
      <x:c r="Q415" s="18" t="str">
        <x:v>No hay complementos a mínimos. Las pensiones inferiores a la mínima legal establecida cada año pasan automáticamente a cobrar dicha cuantía en todo caso.</x:v>
      </x:c>
      <x:c r="R415" s="18" t="str">
        <x:v>S07</x:v>
      </x:c>
      <x:c r="S415" s="18" t="n">
        <x:v>7</x:v>
      </x:c>
      <x:c r="T415" s="18" t="str">
        <x:v>Temario específico Seguridad Social</x:v>
      </x:c>
      <x:c r="U415" s="18" t="str">
        <x:v>Acción protectora. Contenido y clasificación de las prestaciones. Caracteres de las prestaciones. Incompatibilidades. Reintegro de las prestaciones indebidas. Requisitos generales del derecho a las prestaciones. Responsabilidades en orden a las prestaciones por incumplimiento de las obligaciones de afiliación, altas, bajas y cotización. Automaticidad y anticipo de prestaciones. Riesgo protegido: contingencias comunes y profesionales.</x:v>
      </x:c>
      <x:c r="V415" s="18" t="str">
        <x:v>S07</x:v>
      </x:c>
      <x:c r="W415" s="18" t="str">
        <x:v>texto refundido de la Ley General de la Seguridad Social</x:v>
      </x:c>
      <x:c r="X415" s="18" t="str">
        <x:v>59</x:v>
      </x:c>
      <x:c r="Y415" s="18" t="str">
        <x:v>Cálculos</x:v>
      </x:c>
      <x:c r="Z415" s="18" t="str">
        <x:v>Media</x:v>
      </x:c>
      <x:c r="AA415" s="18" t="str">
        <x:v>S07</x:v>
      </x:c>
      <x:c r="AB415" s="18" t="str"/>
      <x:c r="AC415" s="18" t="str"/>
      <x:c r="AD415" s="18" t="str">
        <x:v>No</x:v>
      </x:c>
      <x:c r="AE415" s="18" t="str">
        <x:v>Teórico</x:v>
      </x:c>
      <x:c r="AF415" s="18" t="str">
        <x:v>C</x:v>
      </x:c>
      <x:c r="AG415" s="18" t="str">
        <x:v>C</x:v>
      </x:c>
      <x:c r="AH415" s="18" t="str">
        <x:v>Válida</x:v>
      </x:c>
      <x:c r="AI415" s="18" t="str">
        <x:v>01. Información oficial de la oposición\Exámenes oficiales anteriores\2026 Convocatoria 2025 - Acceso libre Rojo A.pdf</x:v>
      </x:c>
      <x:c r="AJ415" s="18" t="str">
        <x:v>https://www.seg-social.es/wps/portal/wss/internet/InformacionUtil/9950/88beb45d-ca83-4bab-8162-f94ef2894562/e0c83707-3358-47a9-94d7-508221dad233</x:v>
      </x:c>
      <x:c r="AK415" s="18" t="str">
        <x:v>OCR Windows es-ES sobre PDF oficial</x:v>
      </x:c>
      <x:c r="AL415" s="18" t="n">
        <x:v>100</x:v>
      </x:c>
      <x:c r="AM415" s="18" t="str">
        <x:v>Alta</x:v>
      </x:c>
      <x:c r="AN415" s="18" t="str">
        <x:v>Regla jurídica determinista</x:v>
      </x:c>
      <x:c r="AO415" s="18" t="str">
        <x:v>2026_conv2025_rojo_A-T50</x:v>
      </x:c>
      <x:c r="AP415" s="18" t="n">
        <x:v>1</x:v>
      </x:c>
    </x:row>
    <x:row r="416">
      <x:c r="A416" s="18" t="str">
        <x:v>2026_conv2025_rojo_A-T51</x:v>
      </x:c>
      <x:c r="B416" s="18" t="n">
        <x:v>2026</x:v>
      </x:c>
      <x:c r="C416" s="18" t="n">
        <x:v>2025</x:v>
      </x:c>
      <x:c r="D416" s="28" t="n">
        <x:v>46201</x:v>
      </x:c>
      <x:c r="E416" s="18" t="str">
        <x:v>Acceso libre</x:v>
      </x:c>
      <x:c r="F416" s="18" t="str">
        <x:v>Primera parte</x:v>
      </x:c>
      <x:c r="G416" s="18" t="str">
        <x:v>Rojo A</x:v>
      </x:c>
      <x:c r="H416" s="18" t="str">
        <x:v>Rojo/Verde A/B</x:v>
      </x:c>
      <x:c r="I416" s="18" t="str">
        <x:v>Sí</x:v>
      </x:c>
      <x:c r="J416" s="18" t="str">
        <x:v>Los colores y modelos reproducen el mismo conjunto de preguntas con orden y/o opciones permutados; Rojo A es la variante canónica para frecuencias y Verde A se conserva como control de cobertura.</x:v>
      </x:c>
      <x:c r="K416" s="18" t="n">
        <x:v>51</x:v>
      </x:c>
      <x:c r="L416" s="18" t="str">
        <x:v>No</x:v>
      </x:c>
      <x:c r="M416" s="18" t="str">
        <x:v>EI texto refundido de la Ley General de la Seguridad Social menciona distintos supuestos de incompatibilidad. Señale la afirmación INCORRECTA:</x:v>
      </x:c>
      <x:c r="N416" s="18" t="str">
        <x:v>Son incompatibles entre sí los complementos de pensiones contributivas para la reducción de la brecha de género que pudieran ser reconocidos en cualquiera de los regímenes de Seguridad Social siendo abonado en eI régimen en el que el causante de la pensión tenga más periodos de alta.</x:v>
      </x:c>
      <x:c r="O416" s="18" t="str">
        <x:v>Son incompatibles las indemnizaciones a tanto alzado de lesiones permanentes no incapacitantes con las prestaciones económicas de incapacidad temporal, aunque las lesiones sean totalmente independientes.</x:v>
      </x:c>
      <x:c r="P416" s="18" t="str">
        <x:v>Son incompatibles la prestación y el subsidio por desempleo con la obtención de prestaciones de carácter económico de la Seguridad Social, salvo que estas hubieran sido compatibles con el trabajo que originó la prestación o el subsidio.</x:v>
      </x:c>
      <x:c r="Q416" s="18" t="str">
        <x:v>Es incompatible la prestación económica por cese de actividad con la obtención de pensiones o prestaciones de carácter económico del sistema de la Seguridad Social, salvo que estas hubieran sido compatibles con el trabajo que dio lugar a la prestación por cese de actividad.</x:v>
      </x:c>
      <x:c r="R416" s="18" t="str">
        <x:v>S07</x:v>
      </x:c>
      <x:c r="S416" s="18" t="n">
        <x:v>7</x:v>
      </x:c>
      <x:c r="T416" s="18" t="str">
        <x:v>Temario específico Seguridad Social</x:v>
      </x:c>
      <x:c r="U416" s="18" t="str">
        <x:v>Acción protectora. Contenido y clasificación de las prestaciones. Caracteres de las prestaciones. Incompatibilidades. Reintegro de las prestaciones indebidas. Requisitos generales del derecho a las prestaciones. Responsabilidades en orden a las prestaciones por incumplimiento de las obligaciones de afiliación, altas, bajas y cotización. Automaticidad y anticipo de prestaciones. Riesgo protegido: contingencias comunes y profesionales.</x:v>
      </x:c>
      <x:c r="V416" s="18" t="str">
        <x:v>S07</x:v>
      </x:c>
      <x:c r="W416" s="18" t="str">
        <x:v>texto refundido de la Ley General de la Seguridad Social</x:v>
      </x:c>
      <x:c r="X416" s="18" t="str"/>
      <x:c r="Y416" s="18" t="str">
        <x:v>Artículos literales</x:v>
      </x:c>
      <x:c r="Z416" s="18" t="str">
        <x:v>Alta</x:v>
      </x:c>
      <x:c r="AA416" s="18" t="str">
        <x:v>S07</x:v>
      </x:c>
      <x:c r="AB416" s="18" t="str"/>
      <x:c r="AC416" s="18" t="str"/>
      <x:c r="AD416" s="18" t="str">
        <x:v>Sí</x:v>
      </x:c>
      <x:c r="AE416" s="18" t="str">
        <x:v>Teórico</x:v>
      </x:c>
      <x:c r="AF416" s="18" t="str">
        <x:v>B</x:v>
      </x:c>
      <x:c r="AG416" s="18" t="str">
        <x:v>B</x:v>
      </x:c>
      <x:c r="AH416" s="18" t="str">
        <x:v>Válida</x:v>
      </x:c>
      <x:c r="AI416" s="18" t="str">
        <x:v>01. Información oficial de la oposición\Exámenes oficiales anteriores\2026 Convocatoria 2025 - Acceso libre Rojo A.pdf</x:v>
      </x:c>
      <x:c r="AJ416" s="18" t="str">
        <x:v>https://www.seg-social.es/wps/portal/wss/internet/InformacionUtil/9950/88beb45d-ca83-4bab-8162-f94ef2894562/e0c83707-3358-47a9-94d7-508221dad233</x:v>
      </x:c>
      <x:c r="AK416" s="18" t="str">
        <x:v>OCR Windows es-ES sobre PDF oficial</x:v>
      </x:c>
      <x:c r="AL416" s="18" t="n">
        <x:v>100</x:v>
      </x:c>
      <x:c r="AM416" s="18" t="str">
        <x:v>Alta</x:v>
      </x:c>
      <x:c r="AN416" s="18" t="str">
        <x:v>Revisión jurídica individual</x:v>
      </x:c>
      <x:c r="AO416" s="18" t="str">
        <x:v>2026_conv2025_rojo_A-T51</x:v>
      </x:c>
      <x:c r="AP416" s="18" t="n">
        <x:v>1</x:v>
      </x:c>
    </x:row>
    <x:row r="417">
      <x:c r="A417" s="18" t="str">
        <x:v>2026_conv2025_rojo_A-T52</x:v>
      </x:c>
      <x:c r="B417" s="18" t="n">
        <x:v>2026</x:v>
      </x:c>
      <x:c r="C417" s="18" t="n">
        <x:v>2025</x:v>
      </x:c>
      <x:c r="D417" s="28" t="n">
        <x:v>46201</x:v>
      </x:c>
      <x:c r="E417" s="18" t="str">
        <x:v>Acceso libre</x:v>
      </x:c>
      <x:c r="F417" s="18" t="str">
        <x:v>Primera parte</x:v>
      </x:c>
      <x:c r="G417" s="18" t="str">
        <x:v>Rojo A</x:v>
      </x:c>
      <x:c r="H417" s="18" t="str">
        <x:v>Rojo/Verde A/B</x:v>
      </x:c>
      <x:c r="I417" s="18" t="str">
        <x:v>Sí</x:v>
      </x:c>
      <x:c r="J417" s="18" t="str">
        <x:v>Los colores y modelos reproducen el mismo conjunto de preguntas con orden y/o opciones permutados; Rojo A es la variante canónica para frecuencias y Verde A se conserva como control de cobertura.</x:v>
      </x:c>
      <x:c r="K417" s="18" t="n">
        <x:v>52</x:v>
      </x:c>
      <x:c r="L417" s="18" t="str">
        <x:v>No</x:v>
      </x:c>
      <x:c r="M417" s="18" t="str">
        <x:v>De acuerdo con 10 estipulado en el artículo 58 del texto refundido de la Ley General de la Seguridad Social, para mantener el poder adquisitivo de las pensiones de Seguridad Social, en su modalidad contributiva, incluido el complemento de brecha de género, las pensiones se revalorizarán al comienzo de cada año:</x:v>
      </x:c>
      <x:c r="N417" s="18" t="str">
        <x:v>En el porcentaje equivalente al valor expresado en tanto por ciento del índice de Precios al Consumo del mes de diciembre del año anterior.</x:v>
      </x:c>
      <x:c r="O417" s="18" t="str">
        <x:v>En eI porcentaje equivalente al valor medio de las tasas de variación interanual expresadas en tanto por ciento del Índice de Precios al Consumo de los doce meses previos a diciembre del año anterior.</x:v>
      </x:c>
      <x:c r="P417" s="18" t="str">
        <x:v>En eI 0,25 por ciento.</x:v>
      </x:c>
      <x:c r="Q417" s="18" t="str">
        <x:v>En eI porcentaje equivalente al valor expresado en tanto por ciento del Indice de Precios al Consumo del mes de noviembre del año anterior.</x:v>
      </x:c>
      <x:c r="R417" s="18" t="str">
        <x:v>S07</x:v>
      </x:c>
      <x:c r="S417" s="18" t="n">
        <x:v>7</x:v>
      </x:c>
      <x:c r="T417" s="18" t="str">
        <x:v>Temario específico Seguridad Social</x:v>
      </x:c>
      <x:c r="U417" s="18" t="str">
        <x:v>Acción protectora. Contenido y clasificación de las prestaciones. Caracteres de las prestaciones. Incompatibilidades. Reintegro de las prestaciones indebidas. Requisitos generales del derecho a las prestaciones. Responsabilidades en orden a las prestaciones por incumplimiento de las obligaciones de afiliación, altas, bajas y cotización. Automaticidad y anticipo de prestaciones. Riesgo protegido: contingencias comunes y profesionales.</x:v>
      </x:c>
      <x:c r="V417" s="18" t="str">
        <x:v>S07</x:v>
      </x:c>
      <x:c r="W417" s="18" t="str">
        <x:v>texto refundido de la Ley General de la Seguridad Social</x:v>
      </x:c>
      <x:c r="X417" s="18" t="str">
        <x:v>58</x:v>
      </x:c>
      <x:c r="Y417" s="18" t="str">
        <x:v>Artículos literales</x:v>
      </x:c>
      <x:c r="Z417" s="18" t="str">
        <x:v>Media</x:v>
      </x:c>
      <x:c r="AA417" s="18" t="str">
        <x:v>S07</x:v>
      </x:c>
      <x:c r="AB417" s="18" t="str"/>
      <x:c r="AC417" s="18" t="str"/>
      <x:c r="AD417" s="18" t="str">
        <x:v>No</x:v>
      </x:c>
      <x:c r="AE417" s="18" t="str">
        <x:v>Teórico</x:v>
      </x:c>
      <x:c r="AF417" s="18" t="str">
        <x:v>B</x:v>
      </x:c>
      <x:c r="AG417" s="18" t="str">
        <x:v>B</x:v>
      </x:c>
      <x:c r="AH417" s="18" t="str">
        <x:v>Válida</x:v>
      </x:c>
      <x:c r="AI417" s="18" t="str">
        <x:v>01. Información oficial de la oposición\Exámenes oficiales anteriores\2026 Convocatoria 2025 - Acceso libre Rojo A.pdf</x:v>
      </x:c>
      <x:c r="AJ417" s="18" t="str">
        <x:v>https://www.seg-social.es/wps/portal/wss/internet/InformacionUtil/9950/88beb45d-ca83-4bab-8162-f94ef2894562/e0c83707-3358-47a9-94d7-508221dad233</x:v>
      </x:c>
      <x:c r="AK417" s="18" t="str">
        <x:v>OCR Windows es-ES sobre PDF oficial</x:v>
      </x:c>
      <x:c r="AL417" s="18" t="n">
        <x:v>100</x:v>
      </x:c>
      <x:c r="AM417" s="18" t="str">
        <x:v>Alta</x:v>
      </x:c>
      <x:c r="AN417" s="18" t="str">
        <x:v>Regla jurídica determinista</x:v>
      </x:c>
      <x:c r="AO417" s="18" t="str">
        <x:v>2026_conv2025_rojo_A-T52</x:v>
      </x:c>
      <x:c r="AP417" s="18" t="n">
        <x:v>1</x:v>
      </x:c>
    </x:row>
    <x:row r="418">
      <x:c r="A418" s="18" t="str">
        <x:v>2026_conv2025_rojo_A-T53</x:v>
      </x:c>
      <x:c r="B418" s="18" t="n">
        <x:v>2026</x:v>
      </x:c>
      <x:c r="C418" s="18" t="n">
        <x:v>2025</x:v>
      </x:c>
      <x:c r="D418" s="28" t="n">
        <x:v>46201</x:v>
      </x:c>
      <x:c r="E418" s="18" t="str">
        <x:v>Acceso libre</x:v>
      </x:c>
      <x:c r="F418" s="18" t="str">
        <x:v>Primera parte</x:v>
      </x:c>
      <x:c r="G418" s="18" t="str">
        <x:v>Rojo A</x:v>
      </x:c>
      <x:c r="H418" s="18" t="str">
        <x:v>Rojo/Verde A/B</x:v>
      </x:c>
      <x:c r="I418" s="18" t="str">
        <x:v>Sí</x:v>
      </x:c>
      <x:c r="J418" s="18" t="str">
        <x:v>Los colores y modelos reproducen el mismo conjunto de preguntas con orden y/o opciones permutados; Rojo A es la variante canónica para frecuencias y Verde A se conserva como control de cobertura.</x:v>
      </x:c>
      <x:c r="K418" s="18" t="n">
        <x:v>53</x:v>
      </x:c>
      <x:c r="L418" s="18" t="str">
        <x:v>No</x:v>
      </x:c>
      <x:c r="M418" s="18" t="str">
        <x:v>Según eI artículo 174 del texto refundido de la Ley General de la Seguridad Social, extinguido el derecho a la prestación de incapacidad temporal por el transcurso del plazo de quinientos cuarenta y cinco días naturales de duración, con o sin declaración de incapacidad permanente, solo podrá generarse un nuevo derecho a la prestación de incapacidad temporal por la misma o similar patología, a contar desde la resolución de la incapacidad permanente, si media un periodo superior a:</x:v>
      </x:c>
      <x:c r="N418" s="18" t="str">
        <x:v>180 días naturales.</x:v>
      </x:c>
      <x:c r="O418" s="18" t="str">
        <x:v>60 días naturales.</x:v>
      </x:c>
      <x:c r="P418" s="18" t="str">
        <x:v>45 días naturales.</x:v>
      </x:c>
      <x:c r="Q418" s="18" t="str">
        <x:v>90 días naturales.</x:v>
      </x:c>
      <x:c r="R418" s="18" t="str">
        <x:v>S08</x:v>
      </x:c>
      <x:c r="S418" s="18" t="n">
        <x:v>8</x:v>
      </x:c>
      <x:c r="T418" s="18" t="str">
        <x:v>Temario específico Seguridad Social</x:v>
      </x:c>
      <x:c r="U418" s="18" t="str">
        <x:v>Incapacidad temporal: concepto y causas que motivan esta situación. Beneficiarios. Prestación económica: determinación y cuantía. Nacimiento, duración y extinción del derecho al subsidio. Reconocimiento y pago. Control de la incapacidad. Incapacidad permanente contributiva: concepto. Grados de incapacidad. Prestaciones. Determinación y cuantía. Beneficiarios. Nacimiento, duración y extinción del derecho. Lesiones permanentes no incapacitantes. La calificación y revisión de la incapacidad permanente.</x:v>
      </x:c>
      <x:c r="V418" s="18" t="str">
        <x:v>incapacidad temporal</x:v>
      </x:c>
      <x:c r="W418" s="18" t="str">
        <x:v>texto refundido de la Ley General de la Seguridad Social</x:v>
      </x:c>
      <x:c r="X418" s="18" t="str">
        <x:v>174</x:v>
      </x:c>
      <x:c r="Y418" s="18" t="str">
        <x:v>Plazos</x:v>
      </x:c>
      <x:c r="Z418" s="18" t="str">
        <x:v>Alta</x:v>
      </x:c>
      <x:c r="AA418" s="18" t="str">
        <x:v>incapacidad temporal</x:v>
      </x:c>
      <x:c r="AB418" s="18" t="str">
        <x:v>ISM</x:v>
      </x:c>
      <x:c r="AC418" s="18" t="str"/>
      <x:c r="AD418" s="18" t="str">
        <x:v>No</x:v>
      </x:c>
      <x:c r="AE418" s="18" t="str">
        <x:v>Teórico</x:v>
      </x:c>
      <x:c r="AF418" s="18" t="str">
        <x:v>A</x:v>
      </x:c>
      <x:c r="AG418" s="18" t="str">
        <x:v>A</x:v>
      </x:c>
      <x:c r="AH418" s="18" t="str">
        <x:v>Válida</x:v>
      </x:c>
      <x:c r="AI418" s="18" t="str">
        <x:v>01. Información oficial de la oposición\Exámenes oficiales anteriores\2026 Convocatoria 2025 - Acceso libre Rojo A.pdf</x:v>
      </x:c>
      <x:c r="AJ418" s="18" t="str">
        <x:v>https://www.seg-social.es/wps/portal/wss/internet/InformacionUtil/9950/88beb45d-ca83-4bab-8162-f94ef2894562/e0c83707-3358-47a9-94d7-508221dad233</x:v>
      </x:c>
      <x:c r="AK418" s="18" t="str">
        <x:v>OCR Windows es-ES sobre PDF oficial</x:v>
      </x:c>
      <x:c r="AL418" s="18" t="n">
        <x:v>100</x:v>
      </x:c>
      <x:c r="AM418" s="18" t="str">
        <x:v>Alta</x:v>
      </x:c>
      <x:c r="AN418" s="18" t="str">
        <x:v>Regla jurídica determinista</x:v>
      </x:c>
      <x:c r="AO418" s="18" t="str">
        <x:v>2026_conv2025_rojo_A-T53</x:v>
      </x:c>
      <x:c r="AP418" s="18" t="n">
        <x:v>1</x:v>
      </x:c>
    </x:row>
    <x:row r="419">
      <x:c r="A419" s="18" t="str">
        <x:v>2026_conv2025_rojo_A-T54</x:v>
      </x:c>
      <x:c r="B419" s="18" t="n">
        <x:v>2026</x:v>
      </x:c>
      <x:c r="C419" s="18" t="n">
        <x:v>2025</x:v>
      </x:c>
      <x:c r="D419" s="28" t="n">
        <x:v>46201</x:v>
      </x:c>
      <x:c r="E419" s="18" t="str">
        <x:v>Acceso libre</x:v>
      </x:c>
      <x:c r="F419" s="18" t="str">
        <x:v>Primera parte</x:v>
      </x:c>
      <x:c r="G419" s="18" t="str">
        <x:v>Rojo A</x:v>
      </x:c>
      <x:c r="H419" s="18" t="str">
        <x:v>Rojo/Verde A/B</x:v>
      </x:c>
      <x:c r="I419" s="18" t="str">
        <x:v>Sí</x:v>
      </x:c>
      <x:c r="J419" s="18" t="str">
        <x:v>Los colores y modelos reproducen el mismo conjunto de preguntas con orden y/o opciones permutados; Rojo A es la variante canónica para frecuencias y Verde A se conserva como control de cobertura.</x:v>
      </x:c>
      <x:c r="K419" s="18" t="n">
        <x:v>54</x:v>
      </x:c>
      <x:c r="L419" s="18" t="str">
        <x:v>No</x:v>
      </x:c>
      <x:c r="M419" s="18" t="str">
        <x:v>Según el artículo 173 del texto refundido de la Ley General de la Seguridad Social, en caso de accidente de trabajo o enfermedad profesional, el subsidio se abonará desde:</x:v>
      </x:c>
      <x:c r="N419" s="18" t="str">
        <x:v>EI mismo día al de la baja en el trabajo, estando a cargo del empresario el salario íntegro correspondiente al día de la baja.</x:v>
      </x:c>
      <x:c r="O419" s="18" t="str">
        <x:v>EI día siguiente al de la baja en eI trabajo, estando a cargo del empresario eI salario íntegro correspondiente al día de la baja.</x:v>
      </x:c>
      <x:c r="P419" s="18" t="str">
        <x:v>A partir del cuarto día al de baja en eI trabajo, estando a cargo del empresario el salario íntegro correspondiente al día de la baja.</x:v>
      </x:c>
      <x:c r="Q419" s="18" t="str">
        <x:v>A partir del tercer día al de baja en el trabajo, estando a cargo del empresario eI salario íntegro correspondiente al día de la baja-</x:v>
      </x:c>
      <x:c r="R419" s="18" t="str">
        <x:v>S08</x:v>
      </x:c>
      <x:c r="S419" s="18" t="n">
        <x:v>8</x:v>
      </x:c>
      <x:c r="T419" s="18" t="str">
        <x:v>Temario específico Seguridad Social</x:v>
      </x:c>
      <x:c r="U419" s="18" t="str">
        <x:v>Incapacidad temporal: concepto y causas que motivan esta situación. Beneficiarios. Prestación económica: determinación y cuantía. Nacimiento, duración y extinción del derecho al subsidio. Reconocimiento y pago. Control de la incapacidad. Incapacidad permanente contributiva: concepto. Grados de incapacidad. Prestaciones. Determinación y cuantía. Beneficiarios. Nacimiento, duración y extinción del derecho. Lesiones permanentes no incapacitantes. La calificación y revisión de la incapacidad permanente.</x:v>
      </x:c>
      <x:c r="V419" s="18" t="str">
        <x:v>S08</x:v>
      </x:c>
      <x:c r="W419" s="18" t="str">
        <x:v>texto refundido de la Ley General de la Seguridad Social</x:v>
      </x:c>
      <x:c r="X419" s="18" t="str">
        <x:v>173</x:v>
      </x:c>
      <x:c r="Y419" s="18" t="str">
        <x:v>Incapacidad</x:v>
      </x:c>
      <x:c r="Z419" s="18" t="str">
        <x:v>Media</x:v>
      </x:c>
      <x:c r="AA419" s="18" t="str">
        <x:v>S08</x:v>
      </x:c>
      <x:c r="AB419" s="18" t="str"/>
      <x:c r="AC419" s="18" t="str"/>
      <x:c r="AD419" s="18" t="str">
        <x:v>No</x:v>
      </x:c>
      <x:c r="AE419" s="18" t="str">
        <x:v>Teórico</x:v>
      </x:c>
      <x:c r="AF419" s="18" t="str">
        <x:v>B</x:v>
      </x:c>
      <x:c r="AG419" s="18" t="str">
        <x:v>B</x:v>
      </x:c>
      <x:c r="AH419" s="18" t="str">
        <x:v>Válida</x:v>
      </x:c>
      <x:c r="AI419" s="18" t="str">
        <x:v>01. Información oficial de la oposición\Exámenes oficiales anteriores\2026 Convocatoria 2025 - Acceso libre Rojo A.pdf</x:v>
      </x:c>
      <x:c r="AJ419" s="18" t="str">
        <x:v>https://www.seg-social.es/wps/portal/wss/internet/InformacionUtil/9950/88beb45d-ca83-4bab-8162-f94ef2894562/e0c83707-3358-47a9-94d7-508221dad233</x:v>
      </x:c>
      <x:c r="AK419" s="18" t="str">
        <x:v>OCR Windows es-ES sobre PDF oficial</x:v>
      </x:c>
      <x:c r="AL419" s="18" t="n">
        <x:v>100</x:v>
      </x:c>
      <x:c r="AM419" s="18" t="str">
        <x:v>Alta</x:v>
      </x:c>
      <x:c r="AN419" s="18" t="str">
        <x:v>Regla jurídica determinista</x:v>
      </x:c>
      <x:c r="AO419" s="18" t="str">
        <x:v>2026_conv2025_rojo_A-T54</x:v>
      </x:c>
      <x:c r="AP419" s="18" t="n">
        <x:v>1</x:v>
      </x:c>
    </x:row>
    <x:row r="420">
      <x:c r="A420" s="18" t="str">
        <x:v>2026_conv2025_rojo_A-T55</x:v>
      </x:c>
      <x:c r="B420" s="18" t="n">
        <x:v>2026</x:v>
      </x:c>
      <x:c r="C420" s="18" t="n">
        <x:v>2025</x:v>
      </x:c>
      <x:c r="D420" s="28" t="n">
        <x:v>46201</x:v>
      </x:c>
      <x:c r="E420" s="18" t="str">
        <x:v>Acceso libre</x:v>
      </x:c>
      <x:c r="F420" s="18" t="str">
        <x:v>Primera parte</x:v>
      </x:c>
      <x:c r="G420" s="18" t="str">
        <x:v>Rojo A</x:v>
      </x:c>
      <x:c r="H420" s="18" t="str">
        <x:v>Rojo/Verde A/B</x:v>
      </x:c>
      <x:c r="I420" s="18" t="str">
        <x:v>Sí</x:v>
      </x:c>
      <x:c r="J420" s="18" t="str">
        <x:v>Los colores y modelos reproducen el mismo conjunto de preguntas con orden y/o opciones permutados; Rojo A es la variante canónica para frecuencias y Verde A se conserva como control de cobertura.</x:v>
      </x:c>
      <x:c r="K420" s="18" t="n">
        <x:v>55</x:v>
      </x:c>
      <x:c r="L420" s="18" t="str">
        <x:v>No</x:v>
      </x:c>
      <x:c r="M420" s="18" t="str">
        <x:v>De acuerdo con el artículo 185 del texto refundido de la Ley General de la Seguridad Social, la prestación económica por ejercicio corresponsable del cuidado de lactante se extinguirá cuando:</x:v>
      </x:c>
      <x:c r="N420" s="18" t="str">
        <x:v>EI o la menor cumpla nueve meses de edad.</x:v>
      </x:c>
      <x:c r="O420" s="18" t="str">
        <x:v>EI o la menor cumpla doce meses de edad.</x:v>
      </x:c>
      <x:c r="P420" s="18" t="str">
        <x:v>EI o la menor cumpla dieciocho meses de edad.</x:v>
      </x:c>
      <x:c r="Q420" s="18" t="str">
        <x:v>EI o la menor cumpla seis meses de edad.</x:v>
      </x:c>
      <x:c r="R420" s="18" t="str">
        <x:v>S09</x:v>
      </x:c>
      <x:c r="S420" s="18" t="n">
        <x:v>9</x:v>
      </x:c>
      <x:c r="T420" s="18" t="str">
        <x:v>Temario específico Seguridad Social</x:v>
      </x:c>
      <x:c r="U420" s="18" t="str">
        <x:v>Nacimiento y cuidado de menor. Ejercicio corresponsable del cuidado del lactante. Prestación por riesgo durante el embarazo. Prestación por riesgo durante la lactancia natural. Asignación económica por hijo o menor acogido a cargo. Prestación económica por nacimiento o adopción de hijo en supuestos de familias numerosas o monoparentales y en los casos de madres o padres con discapacidad. Prestación por parto o adopción Subsidio por cuidado de menores afectados por cáncer u otra enfermedad grave.</x:v>
      </x:c>
      <x:c r="V420" s="18" t="str">
        <x:v>S09</x:v>
      </x:c>
      <x:c r="W420" s="18" t="str">
        <x:v>texto refundido de la Ley General de la Seguridad Social</x:v>
      </x:c>
      <x:c r="X420" s="18" t="str">
        <x:v>185</x:v>
      </x:c>
      <x:c r="Y420" s="18" t="str">
        <x:v>Prestaciones familiares</x:v>
      </x:c>
      <x:c r="Z420" s="18" t="str">
        <x:v>Media</x:v>
      </x:c>
      <x:c r="AA420" s="18" t="str">
        <x:v>S09</x:v>
      </x:c>
      <x:c r="AB420" s="18" t="str"/>
      <x:c r="AC420" s="18" t="str"/>
      <x:c r="AD420" s="18" t="str">
        <x:v>No</x:v>
      </x:c>
      <x:c r="AE420" s="18" t="str">
        <x:v>Teórico</x:v>
      </x:c>
      <x:c r="AF420" s="18" t="str">
        <x:v>B</x:v>
      </x:c>
      <x:c r="AG420" s="18" t="str">
        <x:v>B</x:v>
      </x:c>
      <x:c r="AH420" s="18" t="str">
        <x:v>Válida</x:v>
      </x:c>
      <x:c r="AI420" s="18" t="str">
        <x:v>01. Información oficial de la oposición\Exámenes oficiales anteriores\2026 Convocatoria 2025 - Acceso libre Rojo A.pdf</x:v>
      </x:c>
      <x:c r="AJ420" s="18" t="str">
        <x:v>https://www.seg-social.es/wps/portal/wss/internet/InformacionUtil/9950/88beb45d-ca83-4bab-8162-f94ef2894562/e0c83707-3358-47a9-94d7-508221dad233</x:v>
      </x:c>
      <x:c r="AK420" s="18" t="str">
        <x:v>OCR Windows es-ES sobre PDF oficial</x:v>
      </x:c>
      <x:c r="AL420" s="18" t="n">
        <x:v>100</x:v>
      </x:c>
      <x:c r="AM420" s="18" t="str">
        <x:v>Alta</x:v>
      </x:c>
      <x:c r="AN420" s="18" t="str">
        <x:v>Regla jurídica determinista</x:v>
      </x:c>
      <x:c r="AO420" s="18" t="str">
        <x:v>2026_conv2025_rojo_A-T55</x:v>
      </x:c>
      <x:c r="AP420" s="18" t="n">
        <x:v>1</x:v>
      </x:c>
    </x:row>
    <x:row r="421">
      <x:c r="A421" s="18" t="str">
        <x:v>2026_conv2025_rojo_A-T56</x:v>
      </x:c>
      <x:c r="B421" s="18" t="n">
        <x:v>2026</x:v>
      </x:c>
      <x:c r="C421" s="18" t="n">
        <x:v>2025</x:v>
      </x:c>
      <x:c r="D421" s="28" t="n">
        <x:v>46201</x:v>
      </x:c>
      <x:c r="E421" s="18" t="str">
        <x:v>Acceso libre</x:v>
      </x:c>
      <x:c r="F421" s="18" t="str">
        <x:v>Primera parte</x:v>
      </x:c>
      <x:c r="G421" s="18" t="str">
        <x:v>Rojo A</x:v>
      </x:c>
      <x:c r="H421" s="18" t="str">
        <x:v>Rojo/Verde A/B</x:v>
      </x:c>
      <x:c r="I421" s="18" t="str">
        <x:v>Sí</x:v>
      </x:c>
      <x:c r="J421" s="18" t="str">
        <x:v>Los colores y modelos reproducen el mismo conjunto de preguntas con orden y/o opciones permutados; Rojo A es la variante canónica para frecuencias y Verde A se conserva como control de cobertura.</x:v>
      </x:c>
      <x:c r="K421" s="18" t="n">
        <x:v>56</x:v>
      </x:c>
      <x:c r="L421" s="18" t="str">
        <x:v>No</x:v>
      </x:c>
      <x:c r="M421" s="18" t="str">
        <x:v>Conforme indica el artículo 189 del texto refundido de la Ley General de la Seguridad Social, la prestación económica por riesgo durante la lactancia natural se extinguirá en el momento en que el hijo cumpla:</x:v>
      </x:c>
      <x:c r="N421" s="18" t="str">
        <x:v>Doce meses, salvo que la beneficiaria se haya reincorporado con anterioridad a su puesto de trabajo anterior o a otro compatible con su situación, en cuyo caso se extinguirá eI día anterior al de dicha reincorporación.</x:v>
      </x:c>
      <x:c r="O421" s="18" t="str">
        <x:v>Tres meses, salvo que la beneficiaria se haya reincorporado con anterioridad a su puesto de trabajo anterior o a otro compatible con su situación, en cuyo caso se extinguirá eI día anterior al de dicha reincorporación.</x:v>
      </x:c>
      <x:c r="P421" s="18" t="str">
        <x:v>Nueve meses, salvo que la beneficiaria se haya reincorporado con anterioridad a su puesto de trabajo anterior o a otro compatible con su situación, en cuyo caso se extinguirá el día anterior al de dicha reincorporación.</x:v>
      </x:c>
      <x:c r="Q421" s="18" t="str">
        <x:v>Seis meses, salvo que la beneficiaria se haya reincorporado con anterioridad a su puesto de trabajo anterior o a otro compatible con su situación, en cuyo caso se extinguirá el día anterior al de dicha reincorporación.</x:v>
      </x:c>
      <x:c r="R421" s="18" t="str">
        <x:v>S09</x:v>
      </x:c>
      <x:c r="S421" s="18" t="n">
        <x:v>9</x:v>
      </x:c>
      <x:c r="T421" s="18" t="str">
        <x:v>Temario específico Seguridad Social</x:v>
      </x:c>
      <x:c r="U421" s="18" t="str">
        <x:v>Nacimiento y cuidado de menor. Ejercicio corresponsable del cuidado del lactante. Prestación por riesgo durante el embarazo. Prestación por riesgo durante la lactancia natural. Asignación económica por hijo o menor acogido a cargo. Prestación económica por nacimiento o adopción de hijo en supuestos de familias numerosas o monoparentales y en los casos de madres o padres con discapacidad. Prestación por parto o adopción Subsidio por cuidado de menores afectados por cáncer u otra enfermedad grave.</x:v>
      </x:c>
      <x:c r="V421" s="18" t="str">
        <x:v>S09</x:v>
      </x:c>
      <x:c r="W421" s="18" t="str">
        <x:v>texto refundido de la Ley General de la Seguridad Social</x:v>
      </x:c>
      <x:c r="X421" s="18" t="str">
        <x:v>189</x:v>
      </x:c>
      <x:c r="Y421" s="18" t="str">
        <x:v>Prestaciones familiares</x:v>
      </x:c>
      <x:c r="Z421" s="18" t="str">
        <x:v>Media</x:v>
      </x:c>
      <x:c r="AA421" s="18" t="str">
        <x:v>S09</x:v>
      </x:c>
      <x:c r="AB421" s="18" t="str"/>
      <x:c r="AC421" s="18" t="str"/>
      <x:c r="AD421" s="18" t="str">
        <x:v>No</x:v>
      </x:c>
      <x:c r="AE421" s="18" t="str">
        <x:v>Teórico</x:v>
      </x:c>
      <x:c r="AF421" s="18" t="str">
        <x:v>C</x:v>
      </x:c>
      <x:c r="AG421" s="18" t="str">
        <x:v>C</x:v>
      </x:c>
      <x:c r="AH421" s="18" t="str">
        <x:v>Válida</x:v>
      </x:c>
      <x:c r="AI421" s="18" t="str">
        <x:v>01. Información oficial de la oposición\Exámenes oficiales anteriores\2026 Convocatoria 2025 - Acceso libre Rojo A.pdf</x:v>
      </x:c>
      <x:c r="AJ421" s="18" t="str">
        <x:v>https://www.seg-social.es/wps/portal/wss/internet/InformacionUtil/9950/88beb45d-ca83-4bab-8162-f94ef2894562/e0c83707-3358-47a9-94d7-508221dad233</x:v>
      </x:c>
      <x:c r="AK421" s="18" t="str">
        <x:v>OCR Windows es-ES sobre PDF oficial</x:v>
      </x:c>
      <x:c r="AL421" s="18" t="n">
        <x:v>100</x:v>
      </x:c>
      <x:c r="AM421" s="18" t="str">
        <x:v>Alta</x:v>
      </x:c>
      <x:c r="AN421" s="18" t="str">
        <x:v>Regla jurídica determinista</x:v>
      </x:c>
      <x:c r="AO421" s="18" t="str">
        <x:v>2026_conv2025_rojo_A-T56</x:v>
      </x:c>
      <x:c r="AP421" s="18" t="n">
        <x:v>1</x:v>
      </x:c>
    </x:row>
    <x:row r="422">
      <x:c r="A422" s="18" t="str">
        <x:v>2026_conv2025_rojo_A-T57</x:v>
      </x:c>
      <x:c r="B422" s="18" t="n">
        <x:v>2026</x:v>
      </x:c>
      <x:c r="C422" s="18" t="n">
        <x:v>2025</x:v>
      </x:c>
      <x:c r="D422" s="28" t="n">
        <x:v>46201</x:v>
      </x:c>
      <x:c r="E422" s="18" t="str">
        <x:v>Acceso libre</x:v>
      </x:c>
      <x:c r="F422" s="18" t="str">
        <x:v>Primera parte</x:v>
      </x:c>
      <x:c r="G422" s="18" t="str">
        <x:v>Rojo A</x:v>
      </x:c>
      <x:c r="H422" s="18" t="str">
        <x:v>Rojo/Verde A/B</x:v>
      </x:c>
      <x:c r="I422" s="18" t="str">
        <x:v>Sí</x:v>
      </x:c>
      <x:c r="J422" s="18" t="str">
        <x:v>Los colores y modelos reproducen el mismo conjunto de preguntas con orden y/o opciones permutados; Rojo A es la variante canónica para frecuencias y Verde A se conserva como control de cobertura.</x:v>
      </x:c>
      <x:c r="K422" s="18" t="n">
        <x:v>57</x:v>
      </x:c>
      <x:c r="L422" s="18" t="str">
        <x:v>No</x:v>
      </x:c>
      <x:c r="M422" s="18" t="str">
        <x:v>De acuerdo con el artículo 190 del texto refundido de la Ley General de la Seguridad Social, la prestación económica por cuidado de menores afectados por cáncer u otra enfermedad grave se mantendrá hasta los 26 años:</x:v>
      </x:c>
      <x:c r="N422" s="18" t="str">
        <x:v>Si el causante antes de alcanzar los 23 años acreditara, además, un grado de discapacidad igual o superior al 65 por ciento.</x:v>
      </x:c>
      <x:c r="O422" s="18" t="str">
        <x:v>Si el causante antes de alcanzar los 18 años acreditara, además, un grado de discapacidad igual o superior al 65 por ciento.</x:v>
      </x:c>
      <x:c r="P422" s="18" t="str">
        <x:v>Si el causante antes de alcanzar los 23 años acreditara, además, un grado de discapacidad igual superior al 33 por ciento.</x:v>
      </x:c>
      <x:c r="Q422" s="18" t="str">
        <x:v>Si eI causante antes de alcanzar los 21 años acreditara, además, un grado de discapacidad igual o superior al 33 por ciento.</x:v>
      </x:c>
      <x:c r="R422" s="18" t="str">
        <x:v>S09</x:v>
      </x:c>
      <x:c r="S422" s="18" t="n">
        <x:v>9</x:v>
      </x:c>
      <x:c r="T422" s="18" t="str">
        <x:v>Temario específico Seguridad Social</x:v>
      </x:c>
      <x:c r="U422" s="18" t="str">
        <x:v>Nacimiento y cuidado de menor. Ejercicio corresponsable del cuidado del lactante. Prestación por riesgo durante el embarazo. Prestación por riesgo durante la lactancia natural. Asignación económica por hijo o menor acogido a cargo. Prestación económica por nacimiento o adopción de hijo en supuestos de familias numerosas o monoparentales y en los casos de madres o padres con discapacidad. Prestación por parto o adopción Subsidio por cuidado de menores afectados por cáncer u otra enfermedad grave.</x:v>
      </x:c>
      <x:c r="V422" s="18" t="str">
        <x:v>S09</x:v>
      </x:c>
      <x:c r="W422" s="18" t="str">
        <x:v>texto refundido de la Ley General de la Seguridad Social</x:v>
      </x:c>
      <x:c r="X422" s="18" t="str">
        <x:v>190</x:v>
      </x:c>
      <x:c r="Y422" s="18" t="str">
        <x:v>Prestaciones familiares</x:v>
      </x:c>
      <x:c r="Z422" s="18" t="str">
        <x:v>Media</x:v>
      </x:c>
      <x:c r="AA422" s="18" t="str">
        <x:v>S09</x:v>
      </x:c>
      <x:c r="AB422" s="18" t="str"/>
      <x:c r="AC422" s="18" t="str">
        <x:v>26 años</x:v>
      </x:c>
      <x:c r="AD422" s="18" t="str">
        <x:v>No</x:v>
      </x:c>
      <x:c r="AE422" s="18" t="str">
        <x:v>Teórico</x:v>
      </x:c>
      <x:c r="AF422" s="18" t="str">
        <x:v>A</x:v>
      </x:c>
      <x:c r="AG422" s="18" t="str">
        <x:v>A</x:v>
      </x:c>
      <x:c r="AH422" s="18" t="str">
        <x:v>Válida</x:v>
      </x:c>
      <x:c r="AI422" s="18" t="str">
        <x:v>01. Información oficial de la oposición\Exámenes oficiales anteriores\2026 Convocatoria 2025 - Acceso libre Rojo A.pdf</x:v>
      </x:c>
      <x:c r="AJ422" s="18" t="str">
        <x:v>https://www.seg-social.es/wps/portal/wss/internet/InformacionUtil/9950/88beb45d-ca83-4bab-8162-f94ef2894562/e0c83707-3358-47a9-94d7-508221dad233</x:v>
      </x:c>
      <x:c r="AK422" s="18" t="str">
        <x:v>OCR Windows es-ES sobre PDF oficial</x:v>
      </x:c>
      <x:c r="AL422" s="18" t="n">
        <x:v>100</x:v>
      </x:c>
      <x:c r="AM422" s="18" t="str">
        <x:v>Alta</x:v>
      </x:c>
      <x:c r="AN422" s="18" t="str">
        <x:v>Regla jurídica determinista</x:v>
      </x:c>
      <x:c r="AO422" s="18" t="str">
        <x:v>2026_conv2025_rojo_A-T57</x:v>
      </x:c>
      <x:c r="AP422" s="18" t="n">
        <x:v>1</x:v>
      </x:c>
    </x:row>
    <x:row r="423">
      <x:c r="A423" s="18" t="str">
        <x:v>2026_conv2025_rojo_A-T58</x:v>
      </x:c>
      <x:c r="B423" s="18" t="n">
        <x:v>2026</x:v>
      </x:c>
      <x:c r="C423" s="18" t="n">
        <x:v>2025</x:v>
      </x:c>
      <x:c r="D423" s="28" t="n">
        <x:v>46201</x:v>
      </x:c>
      <x:c r="E423" s="18" t="str">
        <x:v>Acceso libre</x:v>
      </x:c>
      <x:c r="F423" s="18" t="str">
        <x:v>Primera parte</x:v>
      </x:c>
      <x:c r="G423" s="18" t="str">
        <x:v>Rojo A</x:v>
      </x:c>
      <x:c r="H423" s="18" t="str">
        <x:v>Rojo/Verde A/B</x:v>
      </x:c>
      <x:c r="I423" s="18" t="str">
        <x:v>Sí</x:v>
      </x:c>
      <x:c r="J423" s="18" t="str">
        <x:v>Los colores y modelos reproducen el mismo conjunto de preguntas con orden y/o opciones permutados; Rojo A es la variante canónica para frecuencias y Verde A se conserva como control de cobertura.</x:v>
      </x:c>
      <x:c r="K423" s="18" t="n">
        <x:v>58</x:v>
      </x:c>
      <x:c r="L423" s="18" t="str">
        <x:v>No</x:v>
      </x:c>
      <x:c r="M423" s="18" t="str">
        <x:v>Según 10 establecido en el artículo 48 del Estatuto de Trabajadores, eI nacimiento, en los casos de parto prematuro con falta de peso y en aquellos otros en que el neonato precise, por alguna condición clínica, hospitalización a continuación del parto, por un periodo superior a siete días, eI periodo de suspensión se ampliará en tantos días como eI nacido se encuentre hospitalizado, con un máximo de:</x:v>
      </x:c>
      <x:c r="N423" s="18" t="str">
        <x:v>Diez semanas adicionales.</x:v>
      </x:c>
      <x:c r="O423" s="18" t="str">
        <x:v>Dieciséis semanas adicionales.</x:v>
      </x:c>
      <x:c r="P423" s="18" t="str">
        <x:v>Siete semanas adicionales.</x:v>
      </x:c>
      <x:c r="Q423" s="18" t="str">
        <x:v>Trece semanas adicionales.</x:v>
      </x:c>
      <x:c r="R423" s="18" t="str">
        <x:v>S09</x:v>
      </x:c>
      <x:c r="S423" s="18" t="n">
        <x:v>9</x:v>
      </x:c>
      <x:c r="T423" s="18" t="str">
        <x:v>Temario específico Seguridad Social</x:v>
      </x:c>
      <x:c r="U423" s="18" t="str">
        <x:v>Nacimiento y cuidado de menor. Ejercicio corresponsable del cuidado del lactante. Prestación por riesgo durante el embarazo. Prestación por riesgo durante la lactancia natural. Asignación económica por hijo o menor acogido a cargo. Prestación económica por nacimiento o adopción de hijo en supuestos de familias numerosas o monoparentales y en los casos de madres o padres con discapacidad. Prestación por parto o adopción Subsidio por cuidado de menores afectados por cáncer u otra enfermedad grave.</x:v>
      </x:c>
      <x:c r="V423" s="18" t="str">
        <x:v>S09</x:v>
      </x:c>
      <x:c r="W423" s="18" t="str"/>
      <x:c r="X423" s="18" t="str">
        <x:v>48</x:v>
      </x:c>
      <x:c r="Y423" s="18" t="str">
        <x:v>Plazos</x:v>
      </x:c>
      <x:c r="Z423" s="18" t="str">
        <x:v>Alta</x:v>
      </x:c>
      <x:c r="AA423" s="18" t="str">
        <x:v>S09</x:v>
      </x:c>
      <x:c r="AB423" s="18" t="str"/>
      <x:c r="AC423" s="18" t="str"/>
      <x:c r="AD423" s="18" t="str">
        <x:v>No</x:v>
      </x:c>
      <x:c r="AE423" s="18" t="str">
        <x:v>Teórico</x:v>
      </x:c>
      <x:c r="AF423" s="18" t="str">
        <x:v>D</x:v>
      </x:c>
      <x:c r="AG423" s="18" t="str">
        <x:v>D</x:v>
      </x:c>
      <x:c r="AH423" s="18" t="str">
        <x:v>Válida</x:v>
      </x:c>
      <x:c r="AI423" s="18" t="str">
        <x:v>01. Información oficial de la oposición\Exámenes oficiales anteriores\2026 Convocatoria 2025 - Acceso libre Rojo A.pdf</x:v>
      </x:c>
      <x:c r="AJ423" s="18" t="str">
        <x:v>https://www.seg-social.es/wps/portal/wss/internet/InformacionUtil/9950/88beb45d-ca83-4bab-8162-f94ef2894562/e0c83707-3358-47a9-94d7-508221dad233</x:v>
      </x:c>
      <x:c r="AK423" s="18" t="str">
        <x:v>OCR Windows es-ES sobre PDF oficial</x:v>
      </x:c>
      <x:c r="AL423" s="18" t="n">
        <x:v>100</x:v>
      </x:c>
      <x:c r="AM423" s="18" t="str">
        <x:v>Alta</x:v>
      </x:c>
      <x:c r="AN423" s="18" t="str">
        <x:v>Revisión jurídica individual</x:v>
      </x:c>
      <x:c r="AO423" s="18" t="str">
        <x:v>2026_conv2025_rojo_A-T58</x:v>
      </x:c>
      <x:c r="AP423" s="18" t="n">
        <x:v>1</x:v>
      </x:c>
    </x:row>
    <x:row r="424">
      <x:c r="A424" s="18" t="str">
        <x:v>2026_conv2025_rojo_A-T59</x:v>
      </x:c>
      <x:c r="B424" s="18" t="n">
        <x:v>2026</x:v>
      </x:c>
      <x:c r="C424" s="18" t="n">
        <x:v>2025</x:v>
      </x:c>
      <x:c r="D424" s="28" t="n">
        <x:v>46201</x:v>
      </x:c>
      <x:c r="E424" s="18" t="str">
        <x:v>Acceso libre</x:v>
      </x:c>
      <x:c r="F424" s="18" t="str">
        <x:v>Primera parte</x:v>
      </x:c>
      <x:c r="G424" s="18" t="str">
        <x:v>Rojo A</x:v>
      </x:c>
      <x:c r="H424" s="18" t="str">
        <x:v>Rojo/Verde A/B</x:v>
      </x:c>
      <x:c r="I424" s="18" t="str">
        <x:v>Sí</x:v>
      </x:c>
      <x:c r="J424" s="18" t="str">
        <x:v>Los colores y modelos reproducen el mismo conjunto de preguntas con orden y/o opciones permutados; Rojo A es la variante canónica para frecuencias y Verde A se conserva como control de cobertura.</x:v>
      </x:c>
      <x:c r="K424" s="18" t="n">
        <x:v>59</x:v>
      </x:c>
      <x:c r="L424" s="18" t="str">
        <x:v>No</x:v>
      </x:c>
      <x:c r="M424" s="18" t="str">
        <x:v>Según los artículos 206 y 206 bis del texto refundido de la Ley General de la Seguridad Social, la edad mínima de acceso a la pensión de jubilación podrá ser reducida:</x:v>
      </x:c>
      <x:c r="N424" s="18" t="str">
        <x:v>En el caso de personas con discapacidad en grado igual o superior al 60%.</x:v>
      </x:c>
      <x:c r="O424" s="18" t="str">
        <x:v>En eI caso de personas con discapacidad en un grado igual o superior al 45%, siempre que se traten de discapacidades reglamentariamente determinadas.</x:v>
      </x:c>
      <x:c r="P424" s="18" t="str">
        <x:v>Por razón de la actividad en aquellos grupos o actividades profesionales cuyos trabajos sean de naturaleza penosa, tóxica, peligrosa o insalubre y siempre que sea posible la modificación de las condiciones de trabajo.</x:v>
      </x:c>
      <x:c r="Q424" s="18" t="str">
        <x:v>La aplicación de los coeficientes reductores en ningún caso dará lugar al acceso a la jubilación con una edad inferior a los 54 años.</x:v>
      </x:c>
      <x:c r="R424" s="18" t="str">
        <x:v>S10</x:v>
      </x:c>
      <x:c r="S424" s="18" t="n">
        <x:v>10</x:v>
      </x:c>
      <x:c r="T424" s="18" t="str">
        <x:v>Temario específico Seguridad Social</x:v>
      </x:c>
      <x:c r="U424" s="18" t="str">
        <x:v>Jubilación en la modalidad contributiva: concepto. Jubilación ordinaria: requisitos: especial referencia a la edad de jubilación. Determinación de la cuantía de la prestación: base reguladora y porcentaje. Jubilación anticipada, jubilación parcial y jubilación flexible. Compatibilidad de la pensión de jubilación y el trabajo. Suspensión y extinción de la prestación. Especial referencia a la aplicación de la normativa anterior a la Ley 27/2011.</x:v>
      </x:c>
      <x:c r="V424" s="18" t="str">
        <x:v>jubilación</x:v>
      </x:c>
      <x:c r="W424" s="18" t="str">
        <x:v>texto refundido de la Ley General de la Seguridad Social</x:v>
      </x:c>
      <x:c r="X424" s="18" t="str">
        <x:v>206 y 206</x:v>
      </x:c>
      <x:c r="Y424" s="18" t="str">
        <x:v>Jubilación</x:v>
      </x:c>
      <x:c r="Z424" s="18" t="str">
        <x:v>Media</x:v>
      </x:c>
      <x:c r="AA424" s="18" t="str">
        <x:v>jubilación</x:v>
      </x:c>
      <x:c r="AB424" s="18" t="str"/>
      <x:c r="AC424" s="18" t="str"/>
      <x:c r="AD424" s="18" t="str">
        <x:v>No</x:v>
      </x:c>
      <x:c r="AE424" s="18" t="str">
        <x:v>Teórico</x:v>
      </x:c>
      <x:c r="AF424" s="18" t="str">
        <x:v>B</x:v>
      </x:c>
      <x:c r="AG424" s="18" t="str">
        <x:v>B</x:v>
      </x:c>
      <x:c r="AH424" s="18" t="str">
        <x:v>Válida</x:v>
      </x:c>
      <x:c r="AI424" s="18" t="str">
        <x:v>01. Información oficial de la oposición\Exámenes oficiales anteriores\2026 Convocatoria 2025 - Acceso libre Rojo A.pdf</x:v>
      </x:c>
      <x:c r="AJ424" s="18" t="str">
        <x:v>https://www.seg-social.es/wps/portal/wss/internet/InformacionUtil/9950/88beb45d-ca83-4bab-8162-f94ef2894562/e0c83707-3358-47a9-94d7-508221dad233</x:v>
      </x:c>
      <x:c r="AK424" s="18" t="str">
        <x:v>OCR Windows es-ES sobre PDF oficial</x:v>
      </x:c>
      <x:c r="AL424" s="18" t="n">
        <x:v>100</x:v>
      </x:c>
      <x:c r="AM424" s="18" t="str">
        <x:v>Alta</x:v>
      </x:c>
      <x:c r="AN424" s="18" t="str">
        <x:v>Regla jurídica determinista</x:v>
      </x:c>
      <x:c r="AO424" s="18" t="str">
        <x:v>2026_conv2025_rojo_A-T59</x:v>
      </x:c>
      <x:c r="AP424" s="18" t="n">
        <x:v>1</x:v>
      </x:c>
    </x:row>
    <x:row r="425">
      <x:c r="A425" s="18" t="str">
        <x:v>2026_conv2025_rojo_A-T60</x:v>
      </x:c>
      <x:c r="B425" s="18" t="n">
        <x:v>2026</x:v>
      </x:c>
      <x:c r="C425" s="18" t="n">
        <x:v>2025</x:v>
      </x:c>
      <x:c r="D425" s="28" t="n">
        <x:v>46201</x:v>
      </x:c>
      <x:c r="E425" s="18" t="str">
        <x:v>Acceso libre</x:v>
      </x:c>
      <x:c r="F425" s="18" t="str">
        <x:v>Primera parte</x:v>
      </x:c>
      <x:c r="G425" s="18" t="str">
        <x:v>Rojo A</x:v>
      </x:c>
      <x:c r="H425" s="18" t="str">
        <x:v>Rojo/Verde A/B</x:v>
      </x:c>
      <x:c r="I425" s="18" t="str">
        <x:v>Sí</x:v>
      </x:c>
      <x:c r="J425" s="18" t="str">
        <x:v>Los colores y modelos reproducen el mismo conjunto de preguntas con orden y/o opciones permutados; Rojo A es la variante canónica para frecuencias y Verde A se conserva como control de cobertura.</x:v>
      </x:c>
      <x:c r="K425" s="18" t="n">
        <x:v>60</x:v>
      </x:c>
      <x:c r="L425" s="18" t="str">
        <x:v>No</x:v>
      </x:c>
      <x:c r="M425" s="18" t="str">
        <x:v>Conforme al artículo 3 de la Orden de 13 de febrero de 1967 por la que se establecen normas para la aplicación y desarrollo de las prestaciones de muerte y supervivencia del Régimen General de la Seguridad Social, ¿cuál es la fecha en que se entenderá causada la pensión de orfandad en eI caso de que el beneficiario sea un hijo póstumo?</x:v>
      </x:c>
      <x:c r="N425" s="18" t="str">
        <x:v>La fecha de fallecimiento del sujeto causante.</x:v>
      </x:c>
      <x:c r="O425" s="18" t="str">
        <x:v>La fecha de apertura de la herencia.</x:v>
      </x:c>
      <x:c r="P425" s="18" t="str">
        <x:v>La fecha de nacimiento del hijo póstumo.</x:v>
      </x:c>
      <x:c r="Q425" s="18" t="str">
        <x:v>La fecha en que se resuelve el reconocimiento de la pensión.</x:v>
      </x:c>
      <x:c r="R425" s="18" t="str">
        <x:v>S11</x:v>
      </x:c>
      <x:c r="S425" s="18" t="n">
        <x:v>11</x:v>
      </x:c>
      <x:c r="T425" s="18" t="str">
        <x:v>Temario específico Seguridad Social</x:v>
      </x:c>
      <x:c r="U425" s="18" t="str">
        <x:v>La protección por muerte y supervivencia. Hecho causante. Requisitos para las prestaciones de viudedad, orfandad y en favor de familiares. Cuantía de las prestaciones. Compatibilidad. Suspensión y Extinción. Normas específicas en caso de muerte derivada de accidente de trabajo o enfermedad profesional. Efectividad económica de las prestaciones. El auxilio por defunción.</x:v>
      </x:c>
      <x:c r="V425" s="18" t="str">
        <x:v>orfandad</x:v>
      </x:c>
      <x:c r="W425" s="18" t="str"/>
      <x:c r="X425" s="18" t="str">
        <x:v>3</x:v>
      </x:c>
      <x:c r="Y425" s="18" t="str">
        <x:v>Personas beneficiarias</x:v>
      </x:c>
      <x:c r="Z425" s="18" t="str">
        <x:v>Alta</x:v>
      </x:c>
      <x:c r="AA425" s="18" t="str">
        <x:v>orfandad</x:v>
      </x:c>
      <x:c r="AB425" s="18" t="str"/>
      <x:c r="AC425" s="18" t="str"/>
      <x:c r="AD425" s="18" t="str">
        <x:v>No</x:v>
      </x:c>
      <x:c r="AE425" s="18" t="str">
        <x:v>Teórico</x:v>
      </x:c>
      <x:c r="AF425" s="18" t="str">
        <x:v>C</x:v>
      </x:c>
      <x:c r="AG425" s="18" t="str">
        <x:v>C</x:v>
      </x:c>
      <x:c r="AH425" s="18" t="str">
        <x:v>Válida</x:v>
      </x:c>
      <x:c r="AI425" s="18" t="str">
        <x:v>01. Información oficial de la oposición\Exámenes oficiales anteriores\2026 Convocatoria 2025 - Acceso libre Rojo A.pdf</x:v>
      </x:c>
      <x:c r="AJ425" s="18" t="str">
        <x:v>https://www.seg-social.es/wps/portal/wss/internet/InformacionUtil/9950/88beb45d-ca83-4bab-8162-f94ef2894562/e0c83707-3358-47a9-94d7-508221dad233</x:v>
      </x:c>
      <x:c r="AK425" s="18" t="str">
        <x:v>OCR Windows es-ES sobre PDF oficial</x:v>
      </x:c>
      <x:c r="AL425" s="18" t="n">
        <x:v>100</x:v>
      </x:c>
      <x:c r="AM425" s="18" t="str">
        <x:v>Alta</x:v>
      </x:c>
      <x:c r="AN425" s="18" t="str">
        <x:v>Regla jurídica determinista</x:v>
      </x:c>
      <x:c r="AO425" s="18" t="str">
        <x:v>2026_conv2025_rojo_A-T60</x:v>
      </x:c>
      <x:c r="AP425" s="18" t="n">
        <x:v>1</x:v>
      </x:c>
    </x:row>
    <x:row r="426">
      <x:c r="A426" s="18" t="str">
        <x:v>2026_conv2025_rojo_A-T61</x:v>
      </x:c>
      <x:c r="B426" s="18" t="n">
        <x:v>2026</x:v>
      </x:c>
      <x:c r="C426" s="18" t="n">
        <x:v>2025</x:v>
      </x:c>
      <x:c r="D426" s="28" t="n">
        <x:v>46201</x:v>
      </x:c>
      <x:c r="E426" s="18" t="str">
        <x:v>Acceso libre</x:v>
      </x:c>
      <x:c r="F426" s="18" t="str">
        <x:v>Primera parte</x:v>
      </x:c>
      <x:c r="G426" s="18" t="str">
        <x:v>Rojo A</x:v>
      </x:c>
      <x:c r="H426" s="18" t="str">
        <x:v>Rojo/Verde A/B</x:v>
      </x:c>
      <x:c r="I426" s="18" t="str">
        <x:v>Sí</x:v>
      </x:c>
      <x:c r="J426" s="18" t="str">
        <x:v>Los colores y modelos reproducen el mismo conjunto de preguntas con orden y/o opciones permutados; Rojo A es la variante canónica para frecuencias y Verde A se conserva como control de cobertura.</x:v>
      </x:c>
      <x:c r="K426" s="18" t="n">
        <x:v>61</x:v>
      </x:c>
      <x:c r="L426" s="18" t="str">
        <x:v>No</x:v>
      </x:c>
      <x:c r="M426" s="18" t="str">
        <x:v>Según 10 prescrito en eI artículo 220 del texto refundido de la Ley General de la Seguridad Social, en caso de concurrencia de beneficiarios con derecho a pensión de viudedad:</x:v>
      </x:c>
      <x:c r="N426" s="18" t="str">
        <x:v>Esta se reconocerá únicamente en favor del cónyuge superviviente.</x:v>
      </x:c>
      <x:c r="O426" s="18" t="str">
        <x:v>Se reconocerá en cuantia proporcional al tiempo vivido por cada uno de ellos con el causante, garantizándose, en todo caso, el 40 por ciento a favor del cónyuge superviviente.</x:v>
      </x:c>
      <x:c r="P426" s="18" t="str">
        <x:v>Se reconocerá en cuantía proporcional al tiempo vivido por cada uno de ellos con eI causante, garantizándose, en todo caso, el 60 por ciento a favor del cónyuge superviviente.</x:v>
      </x:c>
      <x:c r="Q426" s="18" t="str">
        <x:v>Se reconocerá dividiendo eI importe correspondiente en cuantías iguales a favor de cada uno de los beneficiarios, con independencia del tiempo de convivencia con el causante.</x:v>
      </x:c>
      <x:c r="R426" s="18" t="str">
        <x:v>S11</x:v>
      </x:c>
      <x:c r="S426" s="18" t="n">
        <x:v>11</x:v>
      </x:c>
      <x:c r="T426" s="18" t="str">
        <x:v>Temario específico Seguridad Social</x:v>
      </x:c>
      <x:c r="U426" s="18" t="str">
        <x:v>La protección por muerte y supervivencia. Hecho causante. Requisitos para las prestaciones de viudedad, orfandad y en favor de familiares. Cuantía de las prestaciones. Compatibilidad. Suspensión y Extinción. Normas específicas en caso de muerte derivada de accidente de trabajo o enfermedad profesional. Efectividad económica de las prestaciones. El auxilio por defunción.</x:v>
      </x:c>
      <x:c r="V426" s="18" t="str">
        <x:v>viudedad</x:v>
      </x:c>
      <x:c r="W426" s="18" t="str">
        <x:v>texto refundido de la Ley General de la Seguridad Social</x:v>
      </x:c>
      <x:c r="X426" s="18" t="str">
        <x:v>220</x:v>
      </x:c>
      <x:c r="Y426" s="18" t="str">
        <x:v>Personas beneficiarias</x:v>
      </x:c>
      <x:c r="Z426" s="18" t="str">
        <x:v>Media</x:v>
      </x:c>
      <x:c r="AA426" s="18" t="str">
        <x:v>viudedad</x:v>
      </x:c>
      <x:c r="AB426" s="18" t="str"/>
      <x:c r="AC426" s="18" t="str"/>
      <x:c r="AD426" s="18" t="str">
        <x:v>No</x:v>
      </x:c>
      <x:c r="AE426" s="18" t="str">
        <x:v>Teórico</x:v>
      </x:c>
      <x:c r="AF426" s="18" t="str">
        <x:v>B</x:v>
      </x:c>
      <x:c r="AG426" s="18" t="str">
        <x:v>B</x:v>
      </x:c>
      <x:c r="AH426" s="18" t="str">
        <x:v>Válida</x:v>
      </x:c>
      <x:c r="AI426" s="18" t="str">
        <x:v>01. Información oficial de la oposición\Exámenes oficiales anteriores\2026 Convocatoria 2025 - Acceso libre Rojo A.pdf</x:v>
      </x:c>
      <x:c r="AJ426" s="18" t="str">
        <x:v>https://www.seg-social.es/wps/portal/wss/internet/InformacionUtil/9950/88beb45d-ca83-4bab-8162-f94ef2894562/e0c83707-3358-47a9-94d7-508221dad233</x:v>
      </x:c>
      <x:c r="AK426" s="18" t="str">
        <x:v>OCR Windows es-ES sobre PDF oficial</x:v>
      </x:c>
      <x:c r="AL426" s="18" t="n">
        <x:v>100</x:v>
      </x:c>
      <x:c r="AM426" s="18" t="str">
        <x:v>Alta</x:v>
      </x:c>
      <x:c r="AN426" s="18" t="str">
        <x:v>Regla jurídica determinista</x:v>
      </x:c>
      <x:c r="AO426" s="18" t="str">
        <x:v>2026_conv2025_rojo_A-T61</x:v>
      </x:c>
      <x:c r="AP426" s="18" t="n">
        <x:v>1</x:v>
      </x:c>
    </x:row>
    <x:row r="427">
      <x:c r="A427" s="18" t="str">
        <x:v>2026_conv2025_rojo_A-T62</x:v>
      </x:c>
      <x:c r="B427" s="18" t="n">
        <x:v>2026</x:v>
      </x:c>
      <x:c r="C427" s="18" t="n">
        <x:v>2025</x:v>
      </x:c>
      <x:c r="D427" s="28" t="n">
        <x:v>46201</x:v>
      </x:c>
      <x:c r="E427" s="18" t="str">
        <x:v>Acceso libre</x:v>
      </x:c>
      <x:c r="F427" s="18" t="str">
        <x:v>Primera parte</x:v>
      </x:c>
      <x:c r="G427" s="18" t="str">
        <x:v>Rojo A</x:v>
      </x:c>
      <x:c r="H427" s="18" t="str">
        <x:v>Rojo/Verde A/B</x:v>
      </x:c>
      <x:c r="I427" s="18" t="str">
        <x:v>Sí</x:v>
      </x:c>
      <x:c r="J427" s="18" t="str">
        <x:v>Los colores y modelos reproducen el mismo conjunto de preguntas con orden y/o opciones permutados; Rojo A es la variante canónica para frecuencias y Verde A se conserva como control de cobertura.</x:v>
      </x:c>
      <x:c r="K427" s="18" t="n">
        <x:v>62</x:v>
      </x:c>
      <x:c r="L427" s="18" t="str">
        <x:v>No</x:v>
      </x:c>
      <x:c r="M427" s="18" t="str">
        <x:v>¿Cuál es el porcentaje general que se aplicará a la base reguladora para calcular la cuantía de las pensiones de viudedad, de acuerdo con el artículo 31 del Decreto 315811966, de 23 de diciembre, por el que se aprueba el Reglamento General que determina la cuantía de las prestaciones económicas del Régimen General de la Seguridad Social y condiciones para eI derecho a las mismas?</x:v>
      </x:c>
      <x:c r="N427" s="18" t="str">
        <x:v>52%.</x:v>
      </x:c>
      <x:c r="O427" s="18" t="str">
        <x:v>40%.</x:v>
      </x:c>
      <x:c r="P427" s="18" t="str">
        <x:v>50%.</x:v>
      </x:c>
      <x:c r="Q427" s="18" t="str">
        <x:v>55%.</x:v>
      </x:c>
      <x:c r="R427" s="18" t="str">
        <x:v>S11</x:v>
      </x:c>
      <x:c r="S427" s="18" t="n">
        <x:v>11</x:v>
      </x:c>
      <x:c r="T427" s="18" t="str">
        <x:v>Temario específico Seguridad Social</x:v>
      </x:c>
      <x:c r="U427" s="18" t="str">
        <x:v>La protección por muerte y supervivencia. Hecho causante. Requisitos para las prestaciones de viudedad, orfandad y en favor de familiares. Cuantía de las prestaciones. Compatibilidad. Suspensión y Extinción. Normas específicas en caso de muerte derivada de accidente de trabajo o enfermedad profesional. Efectividad económica de las prestaciones. El auxilio por defunción.</x:v>
      </x:c>
      <x:c r="V427" s="18" t="str">
        <x:v>viudedad</x:v>
      </x:c>
      <x:c r="W427" s="18" t="str"/>
      <x:c r="X427" s="18" t="str">
        <x:v>31</x:v>
      </x:c>
      <x:c r="Y427" s="18" t="str">
        <x:v>Cálculos</x:v>
      </x:c>
      <x:c r="Z427" s="18" t="str">
        <x:v>Alta</x:v>
      </x:c>
      <x:c r="AA427" s="18" t="str">
        <x:v>viudedad</x:v>
      </x:c>
      <x:c r="AB427" s="18" t="str">
        <x:v>ISM</x:v>
      </x:c>
      <x:c r="AC427" s="18" t="str"/>
      <x:c r="AD427" s="18" t="str">
        <x:v>No</x:v>
      </x:c>
      <x:c r="AE427" s="18" t="str">
        <x:v>Teórico</x:v>
      </x:c>
      <x:c r="AF427" s="18" t="str">
        <x:v>A</x:v>
      </x:c>
      <x:c r="AG427" s="18" t="str">
        <x:v>A</x:v>
      </x:c>
      <x:c r="AH427" s="18" t="str">
        <x:v>Válida</x:v>
      </x:c>
      <x:c r="AI427" s="18" t="str">
        <x:v>01. Información oficial de la oposición\Exámenes oficiales anteriores\2026 Convocatoria 2025 - Acceso libre Rojo A.pdf</x:v>
      </x:c>
      <x:c r="AJ427" s="18" t="str">
        <x:v>https://www.seg-social.es/wps/portal/wss/internet/InformacionUtil/9950/88beb45d-ca83-4bab-8162-f94ef2894562/e0c83707-3358-47a9-94d7-508221dad233</x:v>
      </x:c>
      <x:c r="AK427" s="18" t="str">
        <x:v>OCR Windows es-ES sobre PDF oficial</x:v>
      </x:c>
      <x:c r="AL427" s="18" t="n">
        <x:v>100</x:v>
      </x:c>
      <x:c r="AM427" s="18" t="str">
        <x:v>Alta</x:v>
      </x:c>
      <x:c r="AN427" s="18" t="str">
        <x:v>Regla jurídica determinista</x:v>
      </x:c>
      <x:c r="AO427" s="18" t="str">
        <x:v>2026_conv2025_rojo_A-T62</x:v>
      </x:c>
      <x:c r="AP427" s="18" t="n">
        <x:v>1</x:v>
      </x:c>
    </x:row>
    <x:row r="428">
      <x:c r="A428" s="18" t="str">
        <x:v>2026_conv2025_rojo_A-T63</x:v>
      </x:c>
      <x:c r="B428" s="18" t="n">
        <x:v>2026</x:v>
      </x:c>
      <x:c r="C428" s="18" t="n">
        <x:v>2025</x:v>
      </x:c>
      <x:c r="D428" s="28" t="n">
        <x:v>46201</x:v>
      </x:c>
      <x:c r="E428" s="18" t="str">
        <x:v>Acceso libre</x:v>
      </x:c>
      <x:c r="F428" s="18" t="str">
        <x:v>Primera parte</x:v>
      </x:c>
      <x:c r="G428" s="18" t="str">
        <x:v>Rojo A</x:v>
      </x:c>
      <x:c r="H428" s="18" t="str">
        <x:v>Rojo/Verde A/B</x:v>
      </x:c>
      <x:c r="I428" s="18" t="str">
        <x:v>Sí</x:v>
      </x:c>
      <x:c r="J428" s="18" t="str">
        <x:v>Los colores y modelos reproducen el mismo conjunto de preguntas con orden y/o opciones permutados; Rojo A es la variante canónica para frecuencias y Verde A se conserva como control de cobertura.</x:v>
      </x:c>
      <x:c r="K428" s="18" t="n">
        <x:v>63</x:v>
      </x:c>
      <x:c r="L428" s="18" t="str">
        <x:v>No</x:v>
      </x:c>
      <x:c r="M428" s="18" t="str">
        <x:v>Según el artículo 15 de la ley 19/2021, por la que se establece el ingreso mínimo vital, todas las personas beneficiarias, integradas o no en una unidad de convivencia, estarán obligadas a poner en conocimiento de la entidad gestora competente aquellas circunstancias que afecten al cumplimiento de los requisitos o de las obligaciones establecidos en esta ley, en el plazo máximo de:</x:v>
      </x:c>
      <x:c r="N428" s="18" t="str">
        <x:v>Treinta días hábiles.</x:v>
      </x:c>
      <x:c r="O428" s="18" t="str">
        <x:v>Quince días naturales.</x:v>
      </x:c>
      <x:c r="P428" s="18" t="str">
        <x:v>Treinta días naturales.</x:v>
      </x:c>
      <x:c r="Q428" s="18" t="str">
        <x:v>Quince días hábiles.</x:v>
      </x:c>
      <x:c r="R428" s="18" t="str">
        <x:v>S12</x:v>
      </x:c>
      <x:c r="S428" s="18" t="n">
        <x:v>12</x:v>
      </x:c>
      <x:c r="T428" s="18" t="str">
        <x:v>Temario específico Seguridad Social</x:v>
      </x:c>
      <x:c r="U428" s="18" t="str">
        <x:v>Prestaciones no contributivas y asistenciales. El ingreso mínimo vital: beneficiarios, requisitos y duración. Obligaciones de las personas beneficiarias. Cuantía, pago, reintegro de prestaciones indebidas. Prestaciones familiares múltiples. Prestaciones familiares en la modalidad contributiva. Las pensiones no contributivas: Invalidez no contributiva: Jubilación no contributiva.</x:v>
      </x:c>
      <x:c r="V428" s="18" t="str">
        <x:v>ingreso mínimo vital</x:v>
      </x:c>
      <x:c r="W428" s="18" t="str">
        <x:v>ley 19/2021</x:v>
      </x:c>
      <x:c r="X428" s="18" t="str">
        <x:v>15</x:v>
      </x:c>
      <x:c r="Y428" s="18" t="str">
        <x:v>Plazos</x:v>
      </x:c>
      <x:c r="Z428" s="18" t="str">
        <x:v>Alta</x:v>
      </x:c>
      <x:c r="AA428" s="18" t="str">
        <x:v>ingreso mínimo vital</x:v>
      </x:c>
      <x:c r="AB428" s="18" t="str"/>
      <x:c r="AC428" s="18" t="str"/>
      <x:c r="AD428" s="18" t="str">
        <x:v>No</x:v>
      </x:c>
      <x:c r="AE428" s="18" t="str">
        <x:v>Teórico</x:v>
      </x:c>
      <x:c r="AF428" s="18" t="str">
        <x:v>C</x:v>
      </x:c>
      <x:c r="AG428" s="18" t="str">
        <x:v>C</x:v>
      </x:c>
      <x:c r="AH428" s="18" t="str">
        <x:v>Válida</x:v>
      </x:c>
      <x:c r="AI428" s="18" t="str">
        <x:v>01. Información oficial de la oposición\Exámenes oficiales anteriores\2026 Convocatoria 2025 - Acceso libre Rojo A.pdf</x:v>
      </x:c>
      <x:c r="AJ428" s="18" t="str">
        <x:v>https://www.seg-social.es/wps/portal/wss/internet/InformacionUtil/9950/88beb45d-ca83-4bab-8162-f94ef2894562/e0c83707-3358-47a9-94d7-508221dad233</x:v>
      </x:c>
      <x:c r="AK428" s="18" t="str">
        <x:v>OCR Windows es-ES sobre PDF oficial</x:v>
      </x:c>
      <x:c r="AL428" s="18" t="n">
        <x:v>100</x:v>
      </x:c>
      <x:c r="AM428" s="18" t="str">
        <x:v>Alta</x:v>
      </x:c>
      <x:c r="AN428" s="18" t="str">
        <x:v>Regla jurídica determinista</x:v>
      </x:c>
      <x:c r="AO428" s="18" t="str">
        <x:v>2026_conv2025_rojo_A-T63</x:v>
      </x:c>
      <x:c r="AP428" s="18" t="n">
        <x:v>1</x:v>
      </x:c>
    </x:row>
    <x:row r="429">
      <x:c r="A429" s="18" t="str">
        <x:v>2026_conv2025_rojo_A-T64</x:v>
      </x:c>
      <x:c r="B429" s="18" t="n">
        <x:v>2026</x:v>
      </x:c>
      <x:c r="C429" s="18" t="n">
        <x:v>2025</x:v>
      </x:c>
      <x:c r="D429" s="28" t="n">
        <x:v>46201</x:v>
      </x:c>
      <x:c r="E429" s="18" t="str">
        <x:v>Acceso libre</x:v>
      </x:c>
      <x:c r="F429" s="18" t="str">
        <x:v>Primera parte</x:v>
      </x:c>
      <x:c r="G429" s="18" t="str">
        <x:v>Rojo A</x:v>
      </x:c>
      <x:c r="H429" s="18" t="str">
        <x:v>Rojo/Verde A/B</x:v>
      </x:c>
      <x:c r="I429" s="18" t="str">
        <x:v>Sí</x:v>
      </x:c>
      <x:c r="J429" s="18" t="str">
        <x:v>Los colores y modelos reproducen el mismo conjunto de preguntas con orden y/o opciones permutados; Rojo A es la variante canónica para frecuencias y Verde A se conserva como control de cobertura.</x:v>
      </x:c>
      <x:c r="K429" s="18" t="n">
        <x:v>64</x:v>
      </x:c>
      <x:c r="L429" s="18" t="str">
        <x:v>No</x:v>
      </x:c>
      <x:c r="M429" s="18" t="str">
        <x:v>Atendiendo al artículo 4 de la ley 19/2021, por la que se establece el ingreso mínimo vital, señale la respuesta correcta:</x:v>
      </x:c>
      <x:c r="N429" s="18" t="str">
        <x:v>Podrán ser beneficiarias las personas de al menos veintitrés años que no se integren en una unidad de convivencia y que no estén unidas a otra por vínculo matrimonial o pareja de hecho.</x:v>
      </x:c>
      <x:c r="O429" s="18" t="str">
        <x:v>No se exigirá eI requisito de edad a aquellas personas que provengan de un centro penitenciario por haber sido liberados de prisión, siempre que la privación de libertad haya sido por tiempo superior a tres meses.</x:v>
      </x:c>
      <x:c r="P429" s="18" t="str">
        <x:v>No podrán ser beneficiarias de la prestación del ingreso mínimo vital las personas que temporalmente sean usuarias de una prestación de servicio residencial, de carácter social, sanitario o socio-sanitario.</x:v>
      </x:c>
      <x:c r="Q429" s="18" t="str">
        <x:v>Podrán ser beneficiarias las personas de al menos veintitrés años que no se integren en una unidad de convivencia, aunque estén unidas a otra por vínculo matrimonial o pareja de hecho y no hayan iniciado los trámites de separación o divorcio.</x:v>
      </x:c>
      <x:c r="R429" s="18" t="str">
        <x:v>S12</x:v>
      </x:c>
      <x:c r="S429" s="18" t="n">
        <x:v>12</x:v>
      </x:c>
      <x:c r="T429" s="18" t="str">
        <x:v>Temario específico Seguridad Social</x:v>
      </x:c>
      <x:c r="U429" s="18" t="str">
        <x:v>Prestaciones no contributivas y asistenciales. El ingreso mínimo vital: beneficiarios, requisitos y duración. Obligaciones de las personas beneficiarias. Cuantía, pago, reintegro de prestaciones indebidas. Prestaciones familiares múltiples. Prestaciones familiares en la modalidad contributiva. Las pensiones no contributivas: Invalidez no contributiva: Jubilación no contributiva.</x:v>
      </x:c>
      <x:c r="V429" s="18" t="str">
        <x:v>ingreso mínimo vital</x:v>
      </x:c>
      <x:c r="W429" s="18" t="str">
        <x:v>ley 19/2021</x:v>
      </x:c>
      <x:c r="X429" s="18" t="str">
        <x:v>4</x:v>
      </x:c>
      <x:c r="Y429" s="18" t="str">
        <x:v>Prestaciones no contributivas</x:v>
      </x:c>
      <x:c r="Z429" s="18" t="str">
        <x:v>Media</x:v>
      </x:c>
      <x:c r="AA429" s="18" t="str">
        <x:v>ingreso mínimo vital</x:v>
      </x:c>
      <x:c r="AB429" s="18" t="str"/>
      <x:c r="AC429" s="18" t="str"/>
      <x:c r="AD429" s="18" t="str">
        <x:v>No</x:v>
      </x:c>
      <x:c r="AE429" s="18" t="str">
        <x:v>Teórico</x:v>
      </x:c>
      <x:c r="AF429" s="18" t="str">
        <x:v>A</x:v>
      </x:c>
      <x:c r="AG429" s="18" t="str">
        <x:v>A</x:v>
      </x:c>
      <x:c r="AH429" s="18" t="str">
        <x:v>Válida</x:v>
      </x:c>
      <x:c r="AI429" s="18" t="str">
        <x:v>01. Información oficial de la oposición\Exámenes oficiales anteriores\2026 Convocatoria 2025 - Acceso libre Rojo A.pdf</x:v>
      </x:c>
      <x:c r="AJ429" s="18" t="str">
        <x:v>https://www.seg-social.es/wps/portal/wss/internet/InformacionUtil/9950/88beb45d-ca83-4bab-8162-f94ef2894562/e0c83707-3358-47a9-94d7-508221dad233</x:v>
      </x:c>
      <x:c r="AK429" s="18" t="str">
        <x:v>OCR Windows es-ES sobre PDF oficial</x:v>
      </x:c>
      <x:c r="AL429" s="18" t="n">
        <x:v>100</x:v>
      </x:c>
      <x:c r="AM429" s="18" t="str">
        <x:v>Alta</x:v>
      </x:c>
      <x:c r="AN429" s="18" t="str">
        <x:v>Regla jurídica determinista</x:v>
      </x:c>
      <x:c r="AO429" s="18" t="str">
        <x:v>2026_conv2025_rojo_A-T64</x:v>
      </x:c>
      <x:c r="AP429" s="18" t="n">
        <x:v>1</x:v>
      </x:c>
    </x:row>
    <x:row r="430">
      <x:c r="A430" s="18" t="str">
        <x:v>2026_conv2025_rojo_A-T65</x:v>
      </x:c>
      <x:c r="B430" s="18" t="n">
        <x:v>2026</x:v>
      </x:c>
      <x:c r="C430" s="18" t="n">
        <x:v>2025</x:v>
      </x:c>
      <x:c r="D430" s="28" t="n">
        <x:v>46201</x:v>
      </x:c>
      <x:c r="E430" s="18" t="str">
        <x:v>Acceso libre</x:v>
      </x:c>
      <x:c r="F430" s="18" t="str">
        <x:v>Primera parte</x:v>
      </x:c>
      <x:c r="G430" s="18" t="str">
        <x:v>Rojo A</x:v>
      </x:c>
      <x:c r="H430" s="18" t="str">
        <x:v>Rojo/Verde A/B</x:v>
      </x:c>
      <x:c r="I430" s="18" t="str">
        <x:v>Sí</x:v>
      </x:c>
      <x:c r="J430" s="18" t="str">
        <x:v>Los colores y modelos reproducen el mismo conjunto de preguntas con orden y/o opciones permutados; Rojo A es la variante canónica para frecuencias y Verde A se conserva como control de cobertura.</x:v>
      </x:c>
      <x:c r="K430" s="18" t="n">
        <x:v>65</x:v>
      </x:c>
      <x:c r="L430" s="18" t="str">
        <x:v>No</x:v>
      </x:c>
      <x:c r="M430" s="18" t="str">
        <x:v>De acuerdo con eI artículo 7 del Real Decreto 1335/2005, por eI que se regulan las prestaciones familiares de la seguridad social, la base de cotización estará constituida por eI promedio de las bases de cotización del beneficiario correspondiente a:</x:v>
      </x:c>
      <x:c r="N430" s="18" t="str">
        <x:v>Los nueve meses inmediatamente anteriores al inicio del periodo de excedencia laboral para eI cuidado del hijo, del menor acogido o de otros familiares.</x:v>
      </x:c>
      <x:c r="O430" s="18" t="str">
        <x:v>Los seis meses inmediatamente anteriores al inicio del periodo de excedencia laboral para el cuidado del hijo, del menor acogido o de otros familiares.</x:v>
      </x:c>
      <x:c r="P430" s="18" t="str">
        <x:v>Los tres meses inmediatamente anteriores al inicio del periodo de excedencia laboral para el cuidado del hijo, del menor acogido o de otros familiares.</x:v>
      </x:c>
      <x:c r="Q430" s="18" t="str">
        <x:v>Los doce meses inmediatamente anteriores al inicio del periodo de excedencia laboral para eI cuidado del hijo, del menor acogido o de otros familiares.</x:v>
      </x:c>
      <x:c r="R430" s="18" t="str">
        <x:v>S12</x:v>
      </x:c>
      <x:c r="S430" s="18" t="n">
        <x:v>12</x:v>
      </x:c>
      <x:c r="T430" s="18" t="str">
        <x:v>Temario específico Seguridad Social</x:v>
      </x:c>
      <x:c r="U430" s="18" t="str">
        <x:v>Prestaciones no contributivas y asistenciales. El ingreso mínimo vital: beneficiarios, requisitos y duración. Obligaciones de las personas beneficiarias. Cuantía, pago, reintegro de prestaciones indebidas. Prestaciones familiares múltiples. Prestaciones familiares en la modalidad contributiva. Las pensiones no contributivas: Invalidez no contributiva: Jubilación no contributiva.</x:v>
      </x:c>
      <x:c r="V430" s="18" t="str">
        <x:v>base de cotización</x:v>
      </x:c>
      <x:c r="W430" s="18" t="str">
        <x:v>Real Decreto 1335/2005</x:v>
      </x:c>
      <x:c r="X430" s="18" t="str">
        <x:v>7</x:v>
      </x:c>
      <x:c r="Y430" s="18" t="str">
        <x:v>Personas beneficiarias</x:v>
      </x:c>
      <x:c r="Z430" s="18" t="str">
        <x:v>Media</x:v>
      </x:c>
      <x:c r="AA430" s="18" t="str">
        <x:v>base de cotización</x:v>
      </x:c>
      <x:c r="AB430" s="18" t="str"/>
      <x:c r="AC430" s="18" t="str"/>
      <x:c r="AD430" s="18" t="str">
        <x:v>No</x:v>
      </x:c>
      <x:c r="AE430" s="18" t="str">
        <x:v>Teórico</x:v>
      </x:c>
      <x:c r="AF430" s="18" t="str">
        <x:v>B</x:v>
      </x:c>
      <x:c r="AG430" s="18" t="str">
        <x:v>B</x:v>
      </x:c>
      <x:c r="AH430" s="18" t="str">
        <x:v>Válida</x:v>
      </x:c>
      <x:c r="AI430" s="18" t="str">
        <x:v>01. Información oficial de la oposición\Exámenes oficiales anteriores\2026 Convocatoria 2025 - Acceso libre Rojo A.pdf</x:v>
      </x:c>
      <x:c r="AJ430" s="18" t="str">
        <x:v>https://www.seg-social.es/wps/portal/wss/internet/InformacionUtil/9950/88beb45d-ca83-4bab-8162-f94ef2894562/e0c83707-3358-47a9-94d7-508221dad233</x:v>
      </x:c>
      <x:c r="AK430" s="18" t="str">
        <x:v>OCR Windows es-ES sobre PDF oficial</x:v>
      </x:c>
      <x:c r="AL430" s="18" t="n">
        <x:v>100</x:v>
      </x:c>
      <x:c r="AM430" s="18" t="str">
        <x:v>Alta</x:v>
      </x:c>
      <x:c r="AN430" s="18" t="str">
        <x:v>Revisión jurídica individual</x:v>
      </x:c>
      <x:c r="AO430" s="18" t="str">
        <x:v>2026_conv2025_rojo_A-T65</x:v>
      </x:c>
      <x:c r="AP430" s="18" t="n">
        <x:v>1</x:v>
      </x:c>
    </x:row>
    <x:row r="431">
      <x:c r="A431" s="18" t="str">
        <x:v>2026_conv2025_rojo_A-T66</x:v>
      </x:c>
      <x:c r="B431" s="18" t="n">
        <x:v>2026</x:v>
      </x:c>
      <x:c r="C431" s="18" t="n">
        <x:v>2025</x:v>
      </x:c>
      <x:c r="D431" s="28" t="n">
        <x:v>46201</x:v>
      </x:c>
      <x:c r="E431" s="18" t="str">
        <x:v>Acceso libre</x:v>
      </x:c>
      <x:c r="F431" s="18" t="str">
        <x:v>Primera parte</x:v>
      </x:c>
      <x:c r="G431" s="18" t="str">
        <x:v>Rojo A</x:v>
      </x:c>
      <x:c r="H431" s="18" t="str">
        <x:v>Rojo/Verde A/B</x:v>
      </x:c>
      <x:c r="I431" s="18" t="str">
        <x:v>Sí</x:v>
      </x:c>
      <x:c r="J431" s="18" t="str">
        <x:v>Los colores y modelos reproducen el mismo conjunto de preguntas con orden y/o opciones permutados; Rojo A es la variante canónica para frecuencias y Verde A se conserva como control de cobertura.</x:v>
      </x:c>
      <x:c r="K431" s="18" t="n">
        <x:v>66</x:v>
      </x:c>
      <x:c r="L431" s="18" t="str">
        <x:v>No</x:v>
      </x:c>
      <x:c r="M431" s="18" t="str">
        <x:v>EI Estatuto de los Trabajadores contempla en su artículo 37 que quien por razones de guarda legal tenga a su cuidado directo algún menor de doce años o una persona con discapacidad que no desempeñe una actividad retribuida tendrá derecho a:</x:v>
      </x:c>
      <x:c r="N431" s="18" t="str">
        <x:v>Una reducción de la jornada de trabajo diaria, con la disminución proporcional del salario entre, al menos, un cuarto y un máximo de la mitad de la duración de aquella.</x:v>
      </x:c>
      <x:c r="O431" s="18" t="str">
        <x:v>Una reducción de la jornada de trabajo diaria, con la disminución proporcional del salario entre, al menos, un sexto y un máximo de la mitad de la duración de aquella.</x:v>
      </x:c>
      <x:c r="P431" s="18" t="str">
        <x:v>Una reducción de la jornada de trabajo diaria, con la disminución proporcional del salario entre, al menos, un octavo y un máximo de la mitad de la duración de aquella.</x:v>
      </x:c>
      <x:c r="Q431" s="18" t="str">
        <x:v>Una reducción de la jornada de trabajo diaria, con la disminución proporcional del salario entre, al menos, un quinto y un máximo de la mitad de la duración de aquella.</x:v>
      </x:c>
      <x:c r="R431" s="18" t="str">
        <x:v>G21</x:v>
      </x:c>
      <x:c r="S431" s="18" t="n">
        <x:v>21</x:v>
      </x:c>
      <x:c r="T431" s="18" t="str">
        <x:v>Temario general</x:v>
      </x:c>
      <x:c r="U431" s="18" t="str">
        <x:v>Políticas de igualdad y contra la violencia de género. Discapacidad y dependencia: régimen jurídico. La Ley 4/2023, de 28 de febrero, para la igualdad real y efectiva de las personas trans y para la garantía de los derechos de las personas LGTBI.</x:v>
      </x:c>
      <x:c r="V431" s="18" t="str">
        <x:v>G21</x:v>
      </x:c>
      <x:c r="W431" s="18" t="str"/>
      <x:c r="X431" s="18" t="str">
        <x:v>37</x:v>
      </x:c>
      <x:c r="Y431" s="18" t="str">
        <x:v>Artículos literales</x:v>
      </x:c>
      <x:c r="Z431" s="18" t="str">
        <x:v>Media</x:v>
      </x:c>
      <x:c r="AA431" s="18" t="str">
        <x:v>G21</x:v>
      </x:c>
      <x:c r="AB431" s="18" t="str"/>
      <x:c r="AC431" s="18" t="str"/>
      <x:c r="AD431" s="18" t="str">
        <x:v>No</x:v>
      </x:c>
      <x:c r="AE431" s="18" t="str">
        <x:v>Teórico</x:v>
      </x:c>
      <x:c r="AF431" s="18" t="str">
        <x:v>C</x:v>
      </x:c>
      <x:c r="AG431" s="18" t="str">
        <x:v>C</x:v>
      </x:c>
      <x:c r="AH431" s="18" t="str">
        <x:v>Válida</x:v>
      </x:c>
      <x:c r="AI431" s="18" t="str">
        <x:v>01. Información oficial de la oposición\Exámenes oficiales anteriores\2026 Convocatoria 2025 - Acceso libre Rojo A.pdf</x:v>
      </x:c>
      <x:c r="AJ431" s="18" t="str">
        <x:v>https://www.seg-social.es/wps/portal/wss/internet/InformacionUtil/9950/88beb45d-ca83-4bab-8162-f94ef2894562/e0c83707-3358-47a9-94d7-508221dad233</x:v>
      </x:c>
      <x:c r="AK431" s="18" t="str">
        <x:v>OCR Windows es-ES sobre PDF oficial</x:v>
      </x:c>
      <x:c r="AL431" s="18" t="n">
        <x:v>9</x:v>
      </x:c>
      <x:c r="AM431" s="18" t="str">
        <x:v>Media</x:v>
      </x:c>
      <x:c r="AN431" s="18" t="str">
        <x:v>Ponderación de palabras clave</x:v>
      </x:c>
      <x:c r="AO431" s="18" t="str">
        <x:v>2026_conv2025_rojo_A-T66</x:v>
      </x:c>
      <x:c r="AP431" s="18" t="n">
        <x:v>1</x:v>
      </x:c>
    </x:row>
    <x:row r="432">
      <x:c r="A432" s="18" t="str">
        <x:v>2026_conv2025_rojo_A-T67</x:v>
      </x:c>
      <x:c r="B432" s="18" t="n">
        <x:v>2026</x:v>
      </x:c>
      <x:c r="C432" s="18" t="n">
        <x:v>2025</x:v>
      </x:c>
      <x:c r="D432" s="28" t="n">
        <x:v>46201</x:v>
      </x:c>
      <x:c r="E432" s="18" t="str">
        <x:v>Acceso libre</x:v>
      </x:c>
      <x:c r="F432" s="18" t="str">
        <x:v>Primera parte</x:v>
      </x:c>
      <x:c r="G432" s="18" t="str">
        <x:v>Rojo A</x:v>
      </x:c>
      <x:c r="H432" s="18" t="str">
        <x:v>Rojo/Verde A/B</x:v>
      </x:c>
      <x:c r="I432" s="18" t="str">
        <x:v>Sí</x:v>
      </x:c>
      <x:c r="J432" s="18" t="str">
        <x:v>Los colores y modelos reproducen el mismo conjunto de preguntas con orden y/o opciones permutados; Rojo A es la variante canónica para frecuencias y Verde A se conserva como control de cobertura.</x:v>
      </x:c>
      <x:c r="K432" s="18" t="n">
        <x:v>67</x:v>
      </x:c>
      <x:c r="L432" s="18" t="str">
        <x:v>No</x:v>
      </x:c>
      <x:c r="M432" s="18" t="str">
        <x:v>Conforme al artículo 103 del texto refundido de la Ley General de la Seguridad Social, el patrimonio de la Seguridad Social:</x:v>
      </x:c>
      <x:c r="N432" s="18" t="str">
        <x:v>Forma parte del patrimonio del Estado.</x:v>
      </x:c>
      <x:c r="O432" s="18" t="str">
        <x:v>Es un patrimonio único, afecto a sus fines y distinto del patrimonio del Estado.</x:v>
      </x:c>
      <x:c r="P432" s="18" t="str">
        <x:v>Tiene carácter embargable.</x:v>
      </x:c>
      <x:c r="Q432" s="18" t="str">
        <x:v>Pertenece a las entidades gestoras.</x:v>
      </x:c>
      <x:c r="R432" s="18" t="str">
        <x:v>S13</x:v>
      </x:c>
      <x:c r="S432" s="18" t="n">
        <x:v>13</x:v>
      </x:c>
      <x:c r="T432" s="18" t="str">
        <x:v>Temario específico Seguridad Social</x:v>
      </x:c>
      <x:c r="U432" s="18" t="str">
        <x:v>Recursos generales del sistema de la Seguridad Social. El patrimonio único de la seguridad social: titularidad, adscripción, administración y custodia. Los negocios jurídicos patrimoniales: adquisición, enajenación, arrendamiento y cesión. El Fondo de Reserva de la Seguridad Social: constitución, dotación y disposición. Gestión de los recursos financieros: atribución de funciones. Pago de prestaciones de la Seguridad Social.</x:v>
      </x:c>
      <x:c r="V432" s="18" t="str">
        <x:v>S13</x:v>
      </x:c>
      <x:c r="W432" s="18" t="str">
        <x:v>texto refundido de la Ley General de la Seguridad Social</x:v>
      </x:c>
      <x:c r="X432" s="18" t="str">
        <x:v>103</x:v>
      </x:c>
      <x:c r="Y432" s="18" t="str">
        <x:v>Artículos literales</x:v>
      </x:c>
      <x:c r="Z432" s="18" t="str">
        <x:v>Media</x:v>
      </x:c>
      <x:c r="AA432" s="18" t="str">
        <x:v>S13</x:v>
      </x:c>
      <x:c r="AB432" s="18" t="str"/>
      <x:c r="AC432" s="18" t="str"/>
      <x:c r="AD432" s="18" t="str">
        <x:v>No</x:v>
      </x:c>
      <x:c r="AE432" s="18" t="str">
        <x:v>Teórico</x:v>
      </x:c>
      <x:c r="AF432" s="18" t="str">
        <x:v>B</x:v>
      </x:c>
      <x:c r="AG432" s="18" t="str">
        <x:v>B</x:v>
      </x:c>
      <x:c r="AH432" s="18" t="str">
        <x:v>Válida</x:v>
      </x:c>
      <x:c r="AI432" s="18" t="str">
        <x:v>01. Información oficial de la oposición\Exámenes oficiales anteriores\2026 Convocatoria 2025 - Acceso libre Rojo A.pdf</x:v>
      </x:c>
      <x:c r="AJ432" s="18" t="str">
        <x:v>https://www.seg-social.es/wps/portal/wss/internet/InformacionUtil/9950/88beb45d-ca83-4bab-8162-f94ef2894562/e0c83707-3358-47a9-94d7-508221dad233</x:v>
      </x:c>
      <x:c r="AK432" s="18" t="str">
        <x:v>OCR Windows es-ES sobre PDF oficial</x:v>
      </x:c>
      <x:c r="AL432" s="18" t="n">
        <x:v>100</x:v>
      </x:c>
      <x:c r="AM432" s="18" t="str">
        <x:v>Alta</x:v>
      </x:c>
      <x:c r="AN432" s="18" t="str">
        <x:v>Regla jurídica determinista</x:v>
      </x:c>
      <x:c r="AO432" s="18" t="str">
        <x:v>2026_conv2025_rojo_A-T67</x:v>
      </x:c>
      <x:c r="AP432" s="18" t="n">
        <x:v>1</x:v>
      </x:c>
    </x:row>
    <x:row r="433">
      <x:c r="A433" s="18" t="str">
        <x:v>2026_conv2025_rojo_A-T68</x:v>
      </x:c>
      <x:c r="B433" s="18" t="n">
        <x:v>2026</x:v>
      </x:c>
      <x:c r="C433" s="18" t="n">
        <x:v>2025</x:v>
      </x:c>
      <x:c r="D433" s="28" t="n">
        <x:v>46201</x:v>
      </x:c>
      <x:c r="E433" s="18" t="str">
        <x:v>Acceso libre</x:v>
      </x:c>
      <x:c r="F433" s="18" t="str">
        <x:v>Primera parte</x:v>
      </x:c>
      <x:c r="G433" s="18" t="str">
        <x:v>Rojo A</x:v>
      </x:c>
      <x:c r="H433" s="18" t="str">
        <x:v>Rojo/Verde A/B</x:v>
      </x:c>
      <x:c r="I433" s="18" t="str">
        <x:v>Sí</x:v>
      </x:c>
      <x:c r="J433" s="18" t="str">
        <x:v>Los colores y modelos reproducen el mismo conjunto de preguntas con orden y/o opciones permutados; Rojo A es la variante canónica para frecuencias y Verde A se conserva como control de cobertura.</x:v>
      </x:c>
      <x:c r="K433" s="18" t="n">
        <x:v>68</x:v>
      </x:c>
      <x:c r="L433" s="18" t="str">
        <x:v>No</x:v>
      </x:c>
      <x:c r="M433" s="18" t="str">
        <x:v>Según eI artículo 9 del Real Decreto 1221/1992, sobre eI patrimonio de la Seguridad Social, con carácter general, la adquisición a título oneroso de bienes inmuebles por la Tesorería General de la Seguridad Social se realizará mediante:</x:v>
      </x:c>
      <x:c r="N433" s="18" t="str">
        <x:v>Subasta pública.</x:v>
      </x:c>
      <x:c r="O433" s="18" t="str">
        <x:v>Adjudicación directa siempre.</x:v>
      </x:c>
      <x:c r="P433" s="18" t="str">
        <x:v>Concurso público cualquiera que sea su valor.</x:v>
      </x:c>
      <x:c r="Q433" s="18" t="str">
        <x:v>Contrato menor.</x:v>
      </x:c>
      <x:c r="R433" s="18" t="str">
        <x:v>S13</x:v>
      </x:c>
      <x:c r="S433" s="18" t="n">
        <x:v>13</x:v>
      </x:c>
      <x:c r="T433" s="18" t="str">
        <x:v>Temario específico Seguridad Social</x:v>
      </x:c>
      <x:c r="U433" s="18" t="str">
        <x:v>Recursos generales del sistema de la Seguridad Social. El patrimonio único de la seguridad social: titularidad, adscripción, administración y custodia. Los negocios jurídicos patrimoniales: adquisición, enajenación, arrendamiento y cesión. El Fondo de Reserva de la Seguridad Social: constitución, dotación y disposición. Gestión de los recursos financieros: atribución de funciones. Pago de prestaciones de la Seguridad Social.</x:v>
      </x:c>
      <x:c r="V433" s="18" t="str">
        <x:v>S13</x:v>
      </x:c>
      <x:c r="W433" s="18" t="str">
        <x:v>Real Decreto 1221/1992</x:v>
      </x:c>
      <x:c r="X433" s="18" t="str">
        <x:v>9</x:v>
      </x:c>
      <x:c r="Y433" s="18" t="str">
        <x:v>Artículos literales</x:v>
      </x:c>
      <x:c r="Z433" s="18" t="str">
        <x:v>Media</x:v>
      </x:c>
      <x:c r="AA433" s="18" t="str">
        <x:v>S13</x:v>
      </x:c>
      <x:c r="AB433" s="18" t="str">
        <x:v>Tesorería General de la Seguridad Social</x:v>
      </x:c>
      <x:c r="AC433" s="18" t="str"/>
      <x:c r="AD433" s="18" t="str">
        <x:v>No</x:v>
      </x:c>
      <x:c r="AE433" s="18" t="str">
        <x:v>Teórico</x:v>
      </x:c>
      <x:c r="AF433" s="18" t="str">
        <x:v>C</x:v>
      </x:c>
      <x:c r="AG433" s="18" t="str">
        <x:v>C</x:v>
      </x:c>
      <x:c r="AH433" s="18" t="str">
        <x:v>Válida</x:v>
      </x:c>
      <x:c r="AI433" s="18" t="str">
        <x:v>01. Información oficial de la oposición\Exámenes oficiales anteriores\2026 Convocatoria 2025 - Acceso libre Rojo A.pdf</x:v>
      </x:c>
      <x:c r="AJ433" s="18" t="str">
        <x:v>https://www.seg-social.es/wps/portal/wss/internet/InformacionUtil/9950/88beb45d-ca83-4bab-8162-f94ef2894562/e0c83707-3358-47a9-94d7-508221dad233</x:v>
      </x:c>
      <x:c r="AK433" s="18" t="str">
        <x:v>OCR Windows es-ES sobre PDF oficial</x:v>
      </x:c>
      <x:c r="AL433" s="18" t="n">
        <x:v>17</x:v>
      </x:c>
      <x:c r="AM433" s="18" t="str">
        <x:v>Alta</x:v>
      </x:c>
      <x:c r="AN433" s="18" t="str">
        <x:v>Ponderación de palabras clave</x:v>
      </x:c>
      <x:c r="AO433" s="18" t="str">
        <x:v>2026_conv2025_rojo_A-T68</x:v>
      </x:c>
      <x:c r="AP433" s="18" t="n">
        <x:v>1</x:v>
      </x:c>
    </x:row>
    <x:row r="434">
      <x:c r="A434" s="18" t="str">
        <x:v>2026_conv2025_rojo_A-T69</x:v>
      </x:c>
      <x:c r="B434" s="18" t="n">
        <x:v>2026</x:v>
      </x:c>
      <x:c r="C434" s="18" t="n">
        <x:v>2025</x:v>
      </x:c>
      <x:c r="D434" s="28" t="n">
        <x:v>46201</x:v>
      </x:c>
      <x:c r="E434" s="18" t="str">
        <x:v>Acceso libre</x:v>
      </x:c>
      <x:c r="F434" s="18" t="str">
        <x:v>Primera parte</x:v>
      </x:c>
      <x:c r="G434" s="18" t="str">
        <x:v>Rojo A</x:v>
      </x:c>
      <x:c r="H434" s="18" t="str">
        <x:v>Rojo/Verde A/B</x:v>
      </x:c>
      <x:c r="I434" s="18" t="str">
        <x:v>Sí</x:v>
      </x:c>
      <x:c r="J434" s="18" t="str">
        <x:v>Los colores y modelos reproducen el mismo conjunto de preguntas con orden y/o opciones permutados; Rojo A es la variante canónica para frecuencias y Verde A se conserva como control de cobertura.</x:v>
      </x:c>
      <x:c r="K434" s="18" t="n">
        <x:v>69</x:v>
      </x:c>
      <x:c r="L434" s="18" t="str">
        <x:v>No</x:v>
      </x:c>
      <x:c r="M434" s="18" t="str">
        <x:v>De conformidad con el artículo 12 del Real Decreto 1221/1992, sobre el patrimonio de la Seguridad Social, las mejoras realizadas en un inmueble del patrimonio de la Seguridad Social durante eI periodo de adscripción:</x:v>
      </x:c>
      <x:c r="N434" s="18" t="str">
        <x:v>Generan derecho a indemnización.</x:v>
      </x:c>
      <x:c r="O434" s="18" t="str">
        <x:v>Se integrarán en el patrimonio de la Tesorería General de la Seguridad Social sin indemnización.</x:v>
      </x:c>
      <x:c r="P434" s="18" t="str">
        <x:v>Se compensan económicamente al finalizar la adscripción.</x:v>
      </x:c>
      <x:c r="Q434" s="18" t="str">
        <x:v>Permanecen en favor de la entidad adscrita.</x:v>
      </x:c>
      <x:c r="R434" s="18" t="str">
        <x:v>S13</x:v>
      </x:c>
      <x:c r="S434" s="18" t="n">
        <x:v>13</x:v>
      </x:c>
      <x:c r="T434" s="18" t="str">
        <x:v>Temario específico Seguridad Social</x:v>
      </x:c>
      <x:c r="U434" s="18" t="str">
        <x:v>Recursos generales del sistema de la Seguridad Social. El patrimonio único de la seguridad social: titularidad, adscripción, administración y custodia. Los negocios jurídicos patrimoniales: adquisición, enajenación, arrendamiento y cesión. El Fondo de Reserva de la Seguridad Social: constitución, dotación y disposición. Gestión de los recursos financieros: atribución de funciones. Pago de prestaciones de la Seguridad Social.</x:v>
      </x:c>
      <x:c r="V434" s="18" t="str">
        <x:v>S13</x:v>
      </x:c>
      <x:c r="W434" s="18" t="str">
        <x:v>Real Decreto 1221/1992</x:v>
      </x:c>
      <x:c r="X434" s="18" t="str">
        <x:v>12</x:v>
      </x:c>
      <x:c r="Y434" s="18" t="str">
        <x:v>Artículos literales</x:v>
      </x:c>
      <x:c r="Z434" s="18" t="str">
        <x:v>Media</x:v>
      </x:c>
      <x:c r="AA434" s="18" t="str">
        <x:v>S13</x:v>
      </x:c>
      <x:c r="AB434" s="18" t="str"/>
      <x:c r="AC434" s="18" t="str"/>
      <x:c r="AD434" s="18" t="str">
        <x:v>No</x:v>
      </x:c>
      <x:c r="AE434" s="18" t="str">
        <x:v>Teórico</x:v>
      </x:c>
      <x:c r="AF434" s="18" t="str">
        <x:v>B</x:v>
      </x:c>
      <x:c r="AG434" s="18" t="str">
        <x:v>B</x:v>
      </x:c>
      <x:c r="AH434" s="18" t="str">
        <x:v>Válida</x:v>
      </x:c>
      <x:c r="AI434" s="18" t="str">
        <x:v>01. Información oficial de la oposición\Exámenes oficiales anteriores\2026 Convocatoria 2025 - Acceso libre Rojo A.pdf</x:v>
      </x:c>
      <x:c r="AJ434" s="18" t="str">
        <x:v>https://www.seg-social.es/wps/portal/wss/internet/InformacionUtil/9950/88beb45d-ca83-4bab-8162-f94ef2894562/e0c83707-3358-47a9-94d7-508221dad233</x:v>
      </x:c>
      <x:c r="AK434" s="18" t="str">
        <x:v>OCR Windows es-ES sobre PDF oficial</x:v>
      </x:c>
      <x:c r="AL434" s="18" t="n">
        <x:v>12</x:v>
      </x:c>
      <x:c r="AM434" s="18" t="str">
        <x:v>Alta</x:v>
      </x:c>
      <x:c r="AN434" s="18" t="str">
        <x:v>Ponderación de palabras clave</x:v>
      </x:c>
      <x:c r="AO434" s="18" t="str">
        <x:v>2026_conv2025_rojo_A-T69</x:v>
      </x:c>
      <x:c r="AP434" s="18" t="n">
        <x:v>1</x:v>
      </x:c>
    </x:row>
    <x:row r="435">
      <x:c r="A435" s="18" t="str">
        <x:v>2026_conv2025_rojo_A-T70</x:v>
      </x:c>
      <x:c r="B435" s="18" t="n">
        <x:v>2026</x:v>
      </x:c>
      <x:c r="C435" s="18" t="n">
        <x:v>2025</x:v>
      </x:c>
      <x:c r="D435" s="28" t="n">
        <x:v>46201</x:v>
      </x:c>
      <x:c r="E435" s="18" t="str">
        <x:v>Acceso libre</x:v>
      </x:c>
      <x:c r="F435" s="18" t="str">
        <x:v>Primera parte</x:v>
      </x:c>
      <x:c r="G435" s="18" t="str">
        <x:v>Rojo A</x:v>
      </x:c>
      <x:c r="H435" s="18" t="str">
        <x:v>Rojo/Verde A/B</x:v>
      </x:c>
      <x:c r="I435" s="18" t="str">
        <x:v>Sí</x:v>
      </x:c>
      <x:c r="J435" s="18" t="str">
        <x:v>Los colores y modelos reproducen el mismo conjunto de preguntas con orden y/o opciones permutados; Rojo A es la variante canónica para frecuencias y Verde A se conserva como control de cobertura.</x:v>
      </x:c>
      <x:c r="K435" s="18" t="n">
        <x:v>70</x:v>
      </x:c>
      <x:c r="L435" s="18" t="str">
        <x:v>No</x:v>
      </x:c>
      <x:c r="M435" s="18" t="str">
        <x:v>Según el artículo 127 del texto refundido de la Ley General de la Seguridad Social, ¿cuál de las siguientes afirmaciones sobre el Mecanismo de Equidad Intergeneracional es correcta?</x:v>
      </x:c>
      <x:c r="N435" s="18" t="str">
        <x:v>Es una cotización computable a efectos del cálculo de las prestaciones contributivas de jubilación.</x:v>
      </x:c>
      <x:c r="O435" s="18" t="str">
        <x:v>Es una cotización aplicable exclusivamente al Régimen General de la Seguridad Social.</x:v>
      </x:c>
      <x:c r="P435" s="18" t="str">
        <x:v>Es una cotización finalista, aplicable en todos los regímenes y en todos los supuestos en los que se cotice por la contingencia de jubilación, sin efectos sobre las prestaciones.</x:v>
      </x:c>
      <x:c r="Q435" s="18" t="str">
        <x:v>Es una cotización susceptible de bonificación o reducción en función de la modalidad contractual o del colectivo protegido.</x:v>
      </x:c>
      <x:c r="R435" s="18" t="str">
        <x:v>S13</x:v>
      </x:c>
      <x:c r="S435" s="18" t="n">
        <x:v>13</x:v>
      </x:c>
      <x:c r="T435" s="18" t="str">
        <x:v>Temario específico Seguridad Social</x:v>
      </x:c>
      <x:c r="U435" s="18" t="str">
        <x:v>Recursos generales del sistema de la Seguridad Social. El patrimonio único de la seguridad social: titularidad, adscripción, administración y custodia. Los negocios jurídicos patrimoniales: adquisición, enajenación, arrendamiento y cesión. El Fondo de Reserva de la Seguridad Social: constitución, dotación y disposición. Gestión de los recursos financieros: atribución de funciones. Pago de prestaciones de la Seguridad Social.</x:v>
      </x:c>
      <x:c r="V435" s="18" t="str">
        <x:v>S13</x:v>
      </x:c>
      <x:c r="W435" s="18" t="str">
        <x:v>texto refundido de la Ley General de la Seguridad Social</x:v>
      </x:c>
      <x:c r="X435" s="18" t="str">
        <x:v>127</x:v>
      </x:c>
      <x:c r="Y435" s="18" t="str">
        <x:v>Artículos literales</x:v>
      </x:c>
      <x:c r="Z435" s="18" t="str">
        <x:v>Media</x:v>
      </x:c>
      <x:c r="AA435" s="18" t="str">
        <x:v>S13</x:v>
      </x:c>
      <x:c r="AB435" s="18" t="str">
        <x:v>ISM</x:v>
      </x:c>
      <x:c r="AC435" s="18" t="str"/>
      <x:c r="AD435" s="18" t="str">
        <x:v>No</x:v>
      </x:c>
      <x:c r="AE435" s="18" t="str">
        <x:v>Teórico</x:v>
      </x:c>
      <x:c r="AF435" s="18" t="str">
        <x:v>C</x:v>
      </x:c>
      <x:c r="AG435" s="18" t="str">
        <x:v>C</x:v>
      </x:c>
      <x:c r="AH435" s="18" t="str">
        <x:v>Válida</x:v>
      </x:c>
      <x:c r="AI435" s="18" t="str">
        <x:v>01. Información oficial de la oposición\Exámenes oficiales anteriores\2026 Convocatoria 2025 - Acceso libre Rojo A.pdf</x:v>
      </x:c>
      <x:c r="AJ435" s="18" t="str">
        <x:v>https://www.seg-social.es/wps/portal/wss/internet/InformacionUtil/9950/88beb45d-ca83-4bab-8162-f94ef2894562/e0c83707-3358-47a9-94d7-508221dad233</x:v>
      </x:c>
      <x:c r="AK435" s="18" t="str">
        <x:v>OCR Windows es-ES sobre PDF oficial</x:v>
      </x:c>
      <x:c r="AL435" s="18" t="n">
        <x:v>100</x:v>
      </x:c>
      <x:c r="AM435" s="18" t="str">
        <x:v>Alta</x:v>
      </x:c>
      <x:c r="AN435" s="18" t="str">
        <x:v>Regla jurídica determinista</x:v>
      </x:c>
      <x:c r="AO435" s="18" t="str">
        <x:v>2026_conv2025_rojo_A-T70</x:v>
      </x:c>
      <x:c r="AP435" s="18" t="n">
        <x:v>1</x:v>
      </x:c>
    </x:row>
    <x:row r="436">
      <x:c r="A436" s="18" t="str">
        <x:v>2026_conv2025_rojo_A-T71</x:v>
      </x:c>
      <x:c r="B436" s="18" t="n">
        <x:v>2026</x:v>
      </x:c>
      <x:c r="C436" s="18" t="n">
        <x:v>2025</x:v>
      </x:c>
      <x:c r="D436" s="28" t="n">
        <x:v>46201</x:v>
      </x:c>
      <x:c r="E436" s="18" t="str">
        <x:v>Acceso libre</x:v>
      </x:c>
      <x:c r="F436" s="18" t="str">
        <x:v>Primera parte</x:v>
      </x:c>
      <x:c r="G436" s="18" t="str">
        <x:v>Rojo A</x:v>
      </x:c>
      <x:c r="H436" s="18" t="str">
        <x:v>Rojo/Verde A/B</x:v>
      </x:c>
      <x:c r="I436" s="18" t="str">
        <x:v>Sí</x:v>
      </x:c>
      <x:c r="J436" s="18" t="str">
        <x:v>Los colores y modelos reproducen el mismo conjunto de preguntas con orden y/o opciones permutados; Rojo A es la variante canónica para frecuencias y Verde A se conserva como control de cobertura.</x:v>
      </x:c>
      <x:c r="K436" s="18" t="n">
        <x:v>71</x:v>
      </x:c>
      <x:c r="L436" s="18" t="str">
        <x:v>Sí</x:v>
      </x:c>
      <x:c r="M436" s="18" t="str">
        <x:v>Según el artículo 15 del Real Decreto 1415/2004, de 11 de junio, por eI que se aprueba el Reglamento General de Recaudación de la Seguridad Social, los herederos del responsable del pago de la deuda a la Seguridad Social que acepten la herencia a beneficio de inventario:</x:v>
      </x:c>
      <x:c r="N436" s="18" t="str">
        <x:v>Responderán solidariamente entre sí de su pago con los bienes de la herencia.</x:v>
      </x:c>
      <x:c r="O436" s="18" t="str">
        <x:v>Responderán solidariamente entre sí de su pago con los bienes de la herencia y con su propio patrimonio.</x:v>
      </x:c>
      <x:c r="P436" s="18" t="str">
        <x:v>Solo responderán con los bienes de la herencia que les hayan sido adjudicados.</x:v>
      </x:c>
      <x:c r="Q436" s="18" t="str">
        <x:v>Solo responderán con los bienes de la herencia que les hayan sido adjudicados y con su propio patrimonio.</x:v>
      </x:c>
      <x:c r="R436" s="18" t="str">
        <x:v>S05</x:v>
      </x:c>
      <x:c r="S436" s="18" t="n">
        <x:v>5</x:v>
      </x:c>
      <x:c r="T436" s="18" t="str">
        <x:v>Temario específico Seguridad Social</x:v>
      </x:c>
      <x:c r="U436" s="18" t="str">
        <x:v>La gestión recaudatoria: concepto, competencia y objeto. Responsables del pago. Requisitos para el pago. Medios de pago. Control de recaudación. Revisión de los actos de gestión recaudatoria. La recaudación en periodo voluntario. Efectos de la falta de cotización en período reglamentario. Recaudación de otros recursos. Aplazamientos. Devolución de ingresos indebidos. Capital coste de pensiones.</x:v>
      </x:c>
      <x:c r="V436" s="18" t="str">
        <x:v>S05</x:v>
      </x:c>
      <x:c r="W436" s="18" t="str">
        <x:v>Real Decreto 1415/2004</x:v>
      </x:c>
      <x:c r="X436" s="18" t="str">
        <x:v>15</x:v>
      </x:c>
      <x:c r="Y436" s="18" t="str">
        <x:v>Recaudación</x:v>
      </x:c>
      <x:c r="Z436" s="18" t="str">
        <x:v>Media</x:v>
      </x:c>
      <x:c r="AA436" s="18" t="str">
        <x:v>S05</x:v>
      </x:c>
      <x:c r="AB436" s="18" t="str"/>
      <x:c r="AC436" s="18" t="str"/>
      <x:c r="AD436" s="18" t="str">
        <x:v>No</x:v>
      </x:c>
      <x:c r="AE436" s="18" t="str">
        <x:v>Teórico</x:v>
      </x:c>
      <x:c r="AF436" s="18" t="str">
        <x:v>C</x:v>
      </x:c>
      <x:c r="AG436" s="18" t="str">
        <x:v>C</x:v>
      </x:c>
      <x:c r="AH436" s="18" t="str">
        <x:v>Válida</x:v>
      </x:c>
      <x:c r="AI436" s="18" t="str">
        <x:v>01. Información oficial de la oposición\Exámenes oficiales anteriores\2026 Convocatoria 2025 - Acceso libre Rojo A.pdf</x:v>
      </x:c>
      <x:c r="AJ436" s="18" t="str">
        <x:v>https://www.seg-social.es/wps/portal/wss/internet/InformacionUtil/9950/88beb45d-ca83-4bab-8162-f94ef2894562/e0c83707-3358-47a9-94d7-508221dad233</x:v>
      </x:c>
      <x:c r="AK436" s="18" t="str">
        <x:v>OCR Windows es-ES sobre PDF oficial</x:v>
      </x:c>
      <x:c r="AL436" s="18" t="n">
        <x:v>100</x:v>
      </x:c>
      <x:c r="AM436" s="18" t="str">
        <x:v>Alta</x:v>
      </x:c>
      <x:c r="AN436" s="18" t="str">
        <x:v>Regla jurídica determinista</x:v>
      </x:c>
      <x:c r="AO436" s="18" t="str">
        <x:v>2026_conv2025_rojo_A-T71</x:v>
      </x:c>
      <x:c r="AP436" s="18" t="n">
        <x:v>1</x:v>
      </x:c>
    </x:row>
    <x:row r="437">
      <x:c r="A437" s="18" t="str">
        <x:v>2026_conv2025_rojo_A-T72</x:v>
      </x:c>
      <x:c r="B437" s="18" t="n">
        <x:v>2026</x:v>
      </x:c>
      <x:c r="C437" s="18" t="n">
        <x:v>2025</x:v>
      </x:c>
      <x:c r="D437" s="28" t="n">
        <x:v>46201</x:v>
      </x:c>
      <x:c r="E437" s="18" t="str">
        <x:v>Acceso libre</x:v>
      </x:c>
      <x:c r="F437" s="18" t="str">
        <x:v>Primera parte</x:v>
      </x:c>
      <x:c r="G437" s="18" t="str">
        <x:v>Rojo A</x:v>
      </x:c>
      <x:c r="H437" s="18" t="str">
        <x:v>Rojo/Verde A/B</x:v>
      </x:c>
      <x:c r="I437" s="18" t="str">
        <x:v>Sí</x:v>
      </x:c>
      <x:c r="J437" s="18" t="str">
        <x:v>Los colores y modelos reproducen el mismo conjunto de preguntas con orden y/o opciones permutados; Rojo A es la variante canónica para frecuencias y Verde A se conserva como control de cobertura.</x:v>
      </x:c>
      <x:c r="K437" s="18" t="n">
        <x:v>72</x:v>
      </x:c>
      <x:c r="L437" s="18" t="str">
        <x:v>Sí</x:v>
      </x:c>
      <x:c r="M437" s="18" t="str">
        <x:v>EI artículo 118 del Real Decreto 1415/2004, de II de junio, por el que se aprueba el Reglamento General de Recaudación de la Seguridad Social, establece que el licitador que presente oferta en una subasta deberá constituir depósito por importe del:</x:v>
      </x:c>
      <x:c r="N437" s="18" t="str">
        <x:v>10 por ciento del tipo establecido para la enajenación del bien de que se trate.</x:v>
      </x:c>
      <x:c r="O437" s="18" t="str">
        <x:v>15 por ciento del tipo establecido para la enajenación del bien de que se trate.</x:v>
      </x:c>
      <x:c r="P437" s="18" t="str">
        <x:v>20 por ciento del tipo establecido para la enajenación del bien de que se trate.</x:v>
      </x:c>
      <x:c r="Q437" s="18" t="str">
        <x:v>25 por ciento del tipo establecido para la enajenación del bien de que se trate.</x:v>
      </x:c>
      <x:c r="R437" s="18" t="str">
        <x:v>S06</x:v>
      </x:c>
      <x:c r="S437" s="18" t="n">
        <x:v>6</x:v>
      </x:c>
      <x:c r="T437" s="18" t="str">
        <x:v>Temario específico Seguridad Social</x:v>
      </x:c>
      <x:c r="U437" s="18" t="str">
        <x:v>La recaudación en vía ejecutiva. Normas generales. Iniciación y título ejecutivo. La providencia de apremio. Oposición y efectos. El embargo de bienes. Enajenación de bienes: modalidades. Créditos incobrables. Tercerías.</x:v>
      </x:c>
      <x:c r="V437" s="18" t="str">
        <x:v>S06</x:v>
      </x:c>
      <x:c r="W437" s="18" t="str">
        <x:v>Real Decreto 1415/2004</x:v>
      </x:c>
      <x:c r="X437" s="18" t="str">
        <x:v>118</x:v>
      </x:c>
      <x:c r="Y437" s="18" t="str">
        <x:v>Cálculos</x:v>
      </x:c>
      <x:c r="Z437" s="18" t="str">
        <x:v>Media</x:v>
      </x:c>
      <x:c r="AA437" s="18" t="str">
        <x:v>S06</x:v>
      </x:c>
      <x:c r="AB437" s="18" t="str"/>
      <x:c r="AC437" s="18" t="str"/>
      <x:c r="AD437" s="18" t="str">
        <x:v>No</x:v>
      </x:c>
      <x:c r="AE437" s="18" t="str">
        <x:v>Teórico</x:v>
      </x:c>
      <x:c r="AF437" s="18" t="str">
        <x:v>D</x:v>
      </x:c>
      <x:c r="AG437" s="18" t="str">
        <x:v>D</x:v>
      </x:c>
      <x:c r="AH437" s="18" t="str">
        <x:v>Válida</x:v>
      </x:c>
      <x:c r="AI437" s="18" t="str">
        <x:v>01. Información oficial de la oposición\Exámenes oficiales anteriores\2026 Convocatoria 2025 - Acceso libre Rojo A.pdf</x:v>
      </x:c>
      <x:c r="AJ437" s="18" t="str">
        <x:v>https://www.seg-social.es/wps/portal/wss/internet/InformacionUtil/9950/88beb45d-ca83-4bab-8162-f94ef2894562/e0c83707-3358-47a9-94d7-508221dad233</x:v>
      </x:c>
      <x:c r="AK437" s="18" t="str">
        <x:v>OCR Windows es-ES sobre PDF oficial</x:v>
      </x:c>
      <x:c r="AL437" s="18" t="n">
        <x:v>100</x:v>
      </x:c>
      <x:c r="AM437" s="18" t="str">
        <x:v>Alta</x:v>
      </x:c>
      <x:c r="AN437" s="18" t="str">
        <x:v>Regla jurídica determinista</x:v>
      </x:c>
      <x:c r="AO437" s="18" t="str">
        <x:v>2026_conv2025_rojo_A-T72</x:v>
      </x:c>
      <x:c r="AP437" s="18" t="n">
        <x:v>1</x:v>
      </x:c>
    </x:row>
    <x:row r="438">
      <x:c r="A438" s="18" t="str">
        <x:v>2026_conv2025_rojo_A-T73</x:v>
      </x:c>
      <x:c r="B438" s="18" t="n">
        <x:v>2026</x:v>
      </x:c>
      <x:c r="C438" s="18" t="n">
        <x:v>2025</x:v>
      </x:c>
      <x:c r="D438" s="28" t="n">
        <x:v>46201</x:v>
      </x:c>
      <x:c r="E438" s="18" t="str">
        <x:v>Acceso libre</x:v>
      </x:c>
      <x:c r="F438" s="18" t="str">
        <x:v>Primera parte</x:v>
      </x:c>
      <x:c r="G438" s="18" t="str">
        <x:v>Rojo A</x:v>
      </x:c>
      <x:c r="H438" s="18" t="str">
        <x:v>Rojo/Verde A/B</x:v>
      </x:c>
      <x:c r="I438" s="18" t="str">
        <x:v>Sí</x:v>
      </x:c>
      <x:c r="J438" s="18" t="str">
        <x:v>Los colores y modelos reproducen el mismo conjunto de preguntas con orden y/o opciones permutados; Rojo A es la variante canónica para frecuencias y Verde A se conserva como control de cobertura.</x:v>
      </x:c>
      <x:c r="K438" s="18" t="n">
        <x:v>73</x:v>
      </x:c>
      <x:c r="L438" s="18" t="str">
        <x:v>Sí</x:v>
      </x:c>
      <x:c r="M438" s="18" t="str">
        <x:v>De acuerdo con eI artículo 290 del Tratado de Funcionamiento de la Unión Europea, en relación con los actos delegados:</x:v>
      </x:c>
      <x:c r="N438" s="18" t="str">
        <x:v>EI acto delegado podrá entrar en vigor aunque el Parlamento Europeo o el Consejo hayan formulado objeciones en el plazo fijado.</x:v>
      </x:c>
      <x:c r="O438" s="18" t="str">
        <x:v>No es obligatorio que en el titulo de los actos delegados figure el adjetivo «delegado» o «delegada»</x:v>
      </x:c>
      <x:c r="P438" s="18" t="str">
        <x:v>Los actos legislativos delimitarán de forma expresa los objetivos, el contenido, el alcance y la duración de la delegación de poderes.</x:v>
      </x:c>
      <x:c r="Q438" s="18" t="str">
        <x:v>La Comisión Europea podrá decidir revocar la delegación.</x:v>
      </x:c>
      <x:c r="R438" s="18" t="str">
        <x:v>G11</x:v>
      </x:c>
      <x:c r="S438" s="18" t="n">
        <x:v>11</x:v>
      </x:c>
      <x:c r="T438" s="18" t="str">
        <x:v>Temario general</x:v>
      </x:c>
      <x:c r="U438" s="18" t="str">
        <x:v>Las fuentes del derecho de la Unión Europea. Derecho originario. Derecho derivado: Reglamentos, directivas y decisiones. Otras fuentes. Las relaciones entre el Derecho de la Unión Europea y el ordenamiento jurídico de los Estados miembros.</x:v>
      </x:c>
      <x:c r="V438" s="18" t="str">
        <x:v>G11</x:v>
      </x:c>
      <x:c r="W438" s="18" t="str">
        <x:v>Tratado de Funcionamiento de la Unión Europea</x:v>
      </x:c>
      <x:c r="X438" s="18" t="str">
        <x:v>290</x:v>
      </x:c>
      <x:c r="Y438" s="18" t="str">
        <x:v>Artículos literales</x:v>
      </x:c>
      <x:c r="Z438" s="18" t="str">
        <x:v>Media</x:v>
      </x:c>
      <x:c r="AA438" s="18" t="str">
        <x:v>G11</x:v>
      </x:c>
      <x:c r="AB438" s="18" t="str"/>
      <x:c r="AC438" s="18" t="str"/>
      <x:c r="AD438" s="18" t="str">
        <x:v>No</x:v>
      </x:c>
      <x:c r="AE438" s="18" t="str">
        <x:v>Teórico</x:v>
      </x:c>
      <x:c r="AF438" s="18" t="str">
        <x:v>C</x:v>
      </x:c>
      <x:c r="AG438" s="18" t="str">
        <x:v>C</x:v>
      </x:c>
      <x:c r="AH438" s="18" t="str">
        <x:v>Válida</x:v>
      </x:c>
      <x:c r="AI438" s="18" t="str">
        <x:v>01. Información oficial de la oposición\Exámenes oficiales anteriores\2026 Convocatoria 2025 - Acceso libre Rojo A.pdf</x:v>
      </x:c>
      <x:c r="AJ438" s="18" t="str">
        <x:v>https://www.seg-social.es/wps/portal/wss/internet/InformacionUtil/9950/88beb45d-ca83-4bab-8162-f94ef2894562/e0c83707-3358-47a9-94d7-508221dad233</x:v>
      </x:c>
      <x:c r="AK438" s="18" t="str">
        <x:v>OCR Windows es-ES sobre PDF oficial</x:v>
      </x:c>
      <x:c r="AL438" s="18" t="n">
        <x:v>100</x:v>
      </x:c>
      <x:c r="AM438" s="18" t="str">
        <x:v>Alta</x:v>
      </x:c>
      <x:c r="AN438" s="18" t="str">
        <x:v>Regla jurídica determinista</x:v>
      </x:c>
      <x:c r="AO438" s="18" t="str">
        <x:v>2026_conv2025_rojo_A-T73</x:v>
      </x:c>
      <x:c r="AP438" s="18" t="n">
        <x:v>1</x:v>
      </x:c>
    </x:row>
    <x:row r="439">
      <x:c r="A439" s="18" t="str">
        <x:v>2026_conv2025_rojo_A-P01</x:v>
      </x:c>
      <x:c r="B439" s="18" t="n">
        <x:v>2026</x:v>
      </x:c>
      <x:c r="C439" s="18" t="n">
        <x:v>2025</x:v>
      </x:c>
      <x:c r="D439" s="28" t="n">
        <x:v>46201</x:v>
      </x:c>
      <x:c r="E439" s="18" t="str">
        <x:v>Acceso libre</x:v>
      </x:c>
      <x:c r="F439" s="18" t="str">
        <x:v>Segunda parte</x:v>
      </x:c>
      <x:c r="G439" s="18" t="str">
        <x:v>Rojo A</x:v>
      </x:c>
      <x:c r="H439" s="18" t="str">
        <x:v>Rojo/Verde A/B</x:v>
      </x:c>
      <x:c r="I439" s="18" t="str">
        <x:v>Sí</x:v>
      </x:c>
      <x:c r="J439" s="18" t="str">
        <x:v>Los colores y modelos reproducen el mismo conjunto de preguntas con orden y/o opciones permutados; Rojo A es la variante canónica para frecuencias y Verde A se conserva como control de cobertura.</x:v>
      </x:c>
      <x:c r="K439" s="18" t="n">
        <x:v>1</x:v>
      </x:c>
      <x:c r="L439" s="18" t="str">
        <x:v>No</x:v>
      </x:c>
      <x:c r="M439" s="18" t="str">
        <x:v>Indique, si de acuerdo con eI artículo 29 del Reglamento General sobre inscripción de empresas y afiliación, altas, bajas y variaciones de datos de trabajadores en la Seguridad Social, aprobado por eI Real Decreto 84/1996, de 26 de enero, la empresa tiene que promover la baja de la trabajadora en el código de cuenta de cotización de la localidad de Las Navas de' Marqués y el alta en el código de cuenta de cotización de la localidad de Sanchorreja:</x:v>
      </x:c>
      <x:c r="N439" s="18" t="str">
        <x:v>No, porque eI alta es única para la empresa con independencia del lugar donde preste servicios y del código de cuenta de cotización.</x:v>
      </x:c>
      <x:c r="O439" s="18" t="str">
        <x:v>Si, la empresa debe promover la baja y el alta de la trabajadora, porque tienen diferente código de cuenta de cotización.</x:v>
      </x:c>
      <x:c r="P439" s="18" t="str">
        <x:v>No, únicamente es necesario cuando el nuevo centro de trabajo se encuentre en otra provincia.</x:v>
      </x:c>
      <x:c r="Q439" s="18" t="str">
        <x:v>Es indiferente, depende exclusivamente de la voluntad del empresario.</x:v>
      </x:c>
      <x:c r="R439" s="18" t="str">
        <x:v>S03</x:v>
      </x:c>
      <x:c r="S439" s="18" t="n">
        <x:v>3</x:v>
      </x:c>
      <x:c r="T439" s="18" t="str">
        <x:v>Temario específico Seguridad Social</x:v>
      </x:c>
      <x:c r="U439" s="18" t="str">
        <x:v>Normas sobre afiliación. Altas y bajas en el régimen general. Procedimiento y efectos. El convenio especial y otras situaciones asimiladas a la del alta. Encuadramiento e inscripción.</x:v>
      </x:c>
      <x:c r="V439" s="18" t="str">
        <x:v>afiliación</x:v>
      </x:c>
      <x:c r="W439" s="18" t="str">
        <x:v>Real Decreto 84/1996</x:v>
      </x:c>
      <x:c r="X439" s="18" t="str">
        <x:v>29</x:v>
      </x:c>
      <x:c r="Y439" s="18" t="str">
        <x:v>Afiliación, altas y bajas</x:v>
      </x:c>
      <x:c r="Z439" s="18" t="str">
        <x:v>Alta</x:v>
      </x:c>
      <x:c r="AA439" s="18" t="str">
        <x:v>afiliación</x:v>
      </x:c>
      <x:c r="AB439" s="18" t="str"/>
      <x:c r="AC439" s="18" t="str"/>
      <x:c r="AD439" s="18" t="str">
        <x:v>No</x:v>
      </x:c>
      <x:c r="AE439" s="18" t="str">
        <x:v>Práctico</x:v>
      </x:c>
      <x:c r="AF439" s="18" t="str">
        <x:v>B</x:v>
      </x:c>
      <x:c r="AG439" s="18" t="str">
        <x:v>B</x:v>
      </x:c>
      <x:c r="AH439" s="18" t="str">
        <x:v>Válida</x:v>
      </x:c>
      <x:c r="AI439" s="18" t="str">
        <x:v>01. Información oficial de la oposición\Exámenes oficiales anteriores\2026 Convocatoria 2025 - Acceso libre Rojo A.pdf</x:v>
      </x:c>
      <x:c r="AJ439" s="18" t="str">
        <x:v>https://www.seg-social.es/wps/portal/wss/internet/InformacionUtil/9950/88beb45d-ca83-4bab-8162-f94ef2894562/e0c83707-3358-47a9-94d7-508221dad233</x:v>
      </x:c>
      <x:c r="AK439" s="18" t="str">
        <x:v>OCR Windows es-ES sobre PDF oficial</x:v>
      </x:c>
      <x:c r="AL439" s="18" t="n">
        <x:v>100</x:v>
      </x:c>
      <x:c r="AM439" s="18" t="str">
        <x:v>Alta</x:v>
      </x:c>
      <x:c r="AN439" s="18" t="str">
        <x:v>Regla jurídica determinista</x:v>
      </x:c>
      <x:c r="AO439" s="18" t="str">
        <x:v>2026_conv2025_rojo_A-P01</x:v>
      </x:c>
      <x:c r="AP439" s="18" t="n">
        <x:v>1</x:v>
      </x:c>
    </x:row>
    <x:row r="440">
      <x:c r="A440" s="18" t="str">
        <x:v>2026_conv2025_rojo_A-P02</x:v>
      </x:c>
      <x:c r="B440" s="18" t="n">
        <x:v>2026</x:v>
      </x:c>
      <x:c r="C440" s="18" t="n">
        <x:v>2025</x:v>
      </x:c>
      <x:c r="D440" s="28" t="n">
        <x:v>46201</x:v>
      </x:c>
      <x:c r="E440" s="18" t="str">
        <x:v>Acceso libre</x:v>
      </x:c>
      <x:c r="F440" s="18" t="str">
        <x:v>Segunda parte</x:v>
      </x:c>
      <x:c r="G440" s="18" t="str">
        <x:v>Rojo A</x:v>
      </x:c>
      <x:c r="H440" s="18" t="str">
        <x:v>Rojo/Verde A/B</x:v>
      </x:c>
      <x:c r="I440" s="18" t="str">
        <x:v>Sí</x:v>
      </x:c>
      <x:c r="J440" s="18" t="str">
        <x:v>Los colores y modelos reproducen el mismo conjunto de preguntas con orden y/o opciones permutados; Rojo A es la variante canónica para frecuencias y Verde A se conserva como control de cobertura.</x:v>
      </x:c>
      <x:c r="K440" s="18" t="n">
        <x:v>2</x:v>
      </x:c>
      <x:c r="L440" s="18" t="str">
        <x:v>No</x:v>
      </x:c>
      <x:c r="M440" s="18" t="str">
        <x:v>Determine si la empresa tiene que comunicar la baja en eI Régimen General de la Seguridad Social de Dña. Juliana Suárez cuando es operada de urgencia:</x:v>
      </x:c>
      <x:c r="N440" s="18" t="str">
        <x:v>Sí, la empresa tiene que comunicar la baja en el Régimen General en el plazo de los tres días naturales siguientes al cese en el trabajo.</x:v>
      </x:c>
      <x:c r="O440" s="18" t="str">
        <x:v>Sí, la empresa debe de comunicar la baja en el Régimen General en eI plazo de tres días hábiles siguientes al cese en el trabajo.</x:v>
      </x:c>
      <x:c r="P440" s="18" t="str">
        <x:v>No, la trabajadora continúa en la situación de alta en la empresa.</x:v>
      </x:c>
      <x:c r="Q440" s="18" t="str">
        <x:v>No, la baja en el Régimen General 10 debe comunicar la entidad gestora o la mutua colaboradora en el plazo de tres días naturales a la baja médica. EI trabajador Mario de la Vega de la empresa "Tesifonte Ovejero, S.L.", que presta servicios en eI centro de trabajo de la localidad Sanchorreja de la provincia de Ávila, se desplaza varias veces al mes para prestar servicios en eI centro de trabajo de la localidad de Las Navas del Marqués que se encuentra en la misma provincia. Para realizar estos desplazamientos utiliza el trasporte público disponiendo de la correspondiente factura.</x:v>
      </x:c>
      <x:c r="R440" s="18" t="str">
        <x:v>S03</x:v>
      </x:c>
      <x:c r="S440" s="18" t="n">
        <x:v>3</x:v>
      </x:c>
      <x:c r="T440" s="18" t="str">
        <x:v>Temario específico Seguridad Social</x:v>
      </x:c>
      <x:c r="U440" s="18" t="str">
        <x:v>Normas sobre afiliación. Altas y bajas en el régimen general. Procedimiento y efectos. El convenio especial y otras situaciones asimiladas a la del alta. Encuadramiento e inscripción.</x:v>
      </x:c>
      <x:c r="V440" s="18" t="str">
        <x:v>baja</x:v>
      </x:c>
      <x:c r="W440" s="18" t="str"/>
      <x:c r="X440" s="18" t="str"/>
      <x:c r="Y440" s="18" t="str">
        <x:v>Afiliación, altas y bajas</x:v>
      </x:c>
      <x:c r="Z440" s="18" t="str">
        <x:v>Media</x:v>
      </x:c>
      <x:c r="AA440" s="18" t="str">
        <x:v>baja</x:v>
      </x:c>
      <x:c r="AB440" s="18" t="str"/>
      <x:c r="AC440" s="18" t="str"/>
      <x:c r="AD440" s="18" t="str">
        <x:v>No</x:v>
      </x:c>
      <x:c r="AE440" s="18" t="str">
        <x:v>Práctico</x:v>
      </x:c>
      <x:c r="AF440" s="18" t="str">
        <x:v>C</x:v>
      </x:c>
      <x:c r="AG440" s="18" t="str">
        <x:v>C</x:v>
      </x:c>
      <x:c r="AH440" s="18" t="str">
        <x:v>Válida</x:v>
      </x:c>
      <x:c r="AI440" s="18" t="str">
        <x:v>01. Información oficial de la oposición\Exámenes oficiales anteriores\2026 Convocatoria 2025 - Acceso libre Rojo A.pdf</x:v>
      </x:c>
      <x:c r="AJ440" s="18" t="str">
        <x:v>https://www.seg-social.es/wps/portal/wss/internet/InformacionUtil/9950/88beb45d-ca83-4bab-8162-f94ef2894562/e0c83707-3358-47a9-94d7-508221dad233</x:v>
      </x:c>
      <x:c r="AK440" s="18" t="str">
        <x:v>OCR Windows es-ES sobre PDF oficial</x:v>
      </x:c>
      <x:c r="AL440" s="18" t="n">
        <x:v>100</x:v>
      </x:c>
      <x:c r="AM440" s="18" t="str">
        <x:v>Alta</x:v>
      </x:c>
      <x:c r="AN440" s="18" t="str">
        <x:v>Revisión jurídica individual</x:v>
      </x:c>
      <x:c r="AO440" s="18" t="str">
        <x:v>2026_conv2025_rojo_A-P02</x:v>
      </x:c>
      <x:c r="AP440" s="18" t="n">
        <x:v>1</x:v>
      </x:c>
    </x:row>
    <x:row r="441">
      <x:c r="A441" s="18" t="str">
        <x:v>2026_conv2025_rojo_A-P03</x:v>
      </x:c>
      <x:c r="B441" s="18" t="n">
        <x:v>2026</x:v>
      </x:c>
      <x:c r="C441" s="18" t="n">
        <x:v>2025</x:v>
      </x:c>
      <x:c r="D441" s="28" t="n">
        <x:v>46201</x:v>
      </x:c>
      <x:c r="E441" s="18" t="str">
        <x:v>Acceso libre</x:v>
      </x:c>
      <x:c r="F441" s="18" t="str">
        <x:v>Segunda parte</x:v>
      </x:c>
      <x:c r="G441" s="18" t="str">
        <x:v>Rojo A</x:v>
      </x:c>
      <x:c r="H441" s="18" t="str">
        <x:v>Rojo/Verde A/B</x:v>
      </x:c>
      <x:c r="I441" s="18" t="str">
        <x:v>Sí</x:v>
      </x:c>
      <x:c r="J441" s="18" t="str">
        <x:v>Los colores y modelos reproducen el mismo conjunto de preguntas con orden y/o opciones permutados; Rojo A es la variante canónica para frecuencias y Verde A se conserva como control de cobertura.</x:v>
      </x:c>
      <x:c r="K441" s="18" t="n">
        <x:v>3</x:v>
      </x:c>
      <x:c r="L441" s="18" t="str">
        <x:v>No</x:v>
      </x:c>
      <x:c r="M441" s="18" t="str">
        <x:v>Señale si los importes abonados por la empresa al trabajador Mario de la Vega para resarcirle por estos desplazamientos, previa presentación de la factura, se tienen que integrar en la base de cotización:</x:v>
      </x:c>
      <x:c r="N441" s="18" t="str">
        <x:v>Forman parte de la base de cotización, porque se incluyen todas las percepciones abonadas por la empresa.</x:v>
      </x:c>
      <x:c r="O441" s="18" t="str">
        <x:v>No forman parte de la base de cotización, por ser desplazamientos en transporte público y con factura.</x:v>
      </x:c>
      <x:c r="P441" s="18" t="str">
        <x:v>No forman parte de la base de cotización, porque todas las indemnizaciones por transporte están excluidas.</x:v>
      </x:c>
      <x:c r="Q441" s="18" t="str">
        <x:v>Forman parte de la base de cotización, por ser desplazamientos en transporte público y con factura. La empresa "Tesifonte Ovejero, S.L.", el día 23 de mayo de 2026 ha solicitado a la Tesorería General de la Seguridad Social eI cálculo de la liquidación de cuotas correspondientes al mes anterior, pero la liquidación no puede practicarse porque los datos son insuficientes.</x:v>
      </x:c>
      <x:c r="R441" s="18" t="str">
        <x:v>S04</x:v>
      </x:c>
      <x:c r="S441" s="18" t="n">
        <x:v>4</x:v>
      </x:c>
      <x:c r="T441" s="18" t="str">
        <x:v>Temario específico Seguridad Social</x:v>
      </x:c>
      <x:c r="U441" s="18" t="str">
        <x:v>La cotización a la Seguridad Social: normas comunes del sistema. La liquidación de cuotas. El régimen general de la Seguridad Social. Supuestos especiales. Bases y tipos de cotización. Liquidación de otras deudas.</x:v>
      </x:c>
      <x:c r="V441" s="18" t="str">
        <x:v>base de cotización</x:v>
      </x:c>
      <x:c r="W441" s="18" t="str"/>
      <x:c r="X441" s="18" t="str"/>
      <x:c r="Y441" s="18" t="str">
        <x:v>Cálculos</x:v>
      </x:c>
      <x:c r="Z441" s="18" t="str">
        <x:v>Media</x:v>
      </x:c>
      <x:c r="AA441" s="18" t="str">
        <x:v>base de cotización</x:v>
      </x:c>
      <x:c r="AB441" s="18" t="str"/>
      <x:c r="AC441" s="18" t="str"/>
      <x:c r="AD441" s="18" t="str">
        <x:v>No</x:v>
      </x:c>
      <x:c r="AE441" s="18" t="str">
        <x:v>Práctico</x:v>
      </x:c>
      <x:c r="AF441" s="18" t="str">
        <x:v>B</x:v>
      </x:c>
      <x:c r="AG441" s="18" t="str">
        <x:v>B</x:v>
      </x:c>
      <x:c r="AH441" s="18" t="str">
        <x:v>Válida</x:v>
      </x:c>
      <x:c r="AI441" s="18" t="str">
        <x:v>01. Información oficial de la oposición\Exámenes oficiales anteriores\2026 Convocatoria 2025 - Acceso libre Rojo A.pdf</x:v>
      </x:c>
      <x:c r="AJ441" s="18" t="str">
        <x:v>https://www.seg-social.es/wps/portal/wss/internet/InformacionUtil/9950/88beb45d-ca83-4bab-8162-f94ef2894562/e0c83707-3358-47a9-94d7-508221dad233</x:v>
      </x:c>
      <x:c r="AK441" s="18" t="str">
        <x:v>OCR Windows es-ES sobre PDF oficial</x:v>
      </x:c>
      <x:c r="AL441" s="18" t="n">
        <x:v>100</x:v>
      </x:c>
      <x:c r="AM441" s="18" t="str">
        <x:v>Alta</x:v>
      </x:c>
      <x:c r="AN441" s="18" t="str">
        <x:v>Regla jurídica determinista</x:v>
      </x:c>
      <x:c r="AO441" s="18" t="str">
        <x:v>2026_conv2025_rojo_A-P03</x:v>
      </x:c>
      <x:c r="AP441" s="18" t="n">
        <x:v>1</x:v>
      </x:c>
    </x:row>
    <x:row r="442">
      <x:c r="A442" s="18" t="str">
        <x:v>2026_conv2025_rojo_A-P04</x:v>
      </x:c>
      <x:c r="B442" s="18" t="n">
        <x:v>2026</x:v>
      </x:c>
      <x:c r="C442" s="18" t="n">
        <x:v>2025</x:v>
      </x:c>
      <x:c r="D442" s="28" t="n">
        <x:v>46201</x:v>
      </x:c>
      <x:c r="E442" s="18" t="str">
        <x:v>Acceso libre</x:v>
      </x:c>
      <x:c r="F442" s="18" t="str">
        <x:v>Segunda parte</x:v>
      </x:c>
      <x:c r="G442" s="18" t="str">
        <x:v>Rojo A</x:v>
      </x:c>
      <x:c r="H442" s="18" t="str">
        <x:v>Rojo/Verde A/B</x:v>
      </x:c>
      <x:c r="I442" s="18" t="str">
        <x:v>Sí</x:v>
      </x:c>
      <x:c r="J442" s="18" t="str">
        <x:v>Los colores y modelos reproducen el mismo conjunto de preguntas con orden y/o opciones permutados; Rojo A es la variante canónica para frecuencias y Verde A se conserva como control de cobertura.</x:v>
      </x:c>
      <x:c r="K442" s="18" t="n">
        <x:v>4</x:v>
      </x:c>
      <x:c r="L442" s="18" t="str">
        <x:v>No</x:v>
      </x:c>
      <x:c r="M442" s="18" t="str">
        <x:v>Determine el plazo máximo que tiene la Tesorería General de la Seguridad Social para informar a la empresa "Tesifonte Ovejero, S.L." de la causa que impide el cálculo, tal y como establece eI artículo 18 del Reglamento General sobre cotización y liquidación de otros derechos de la Seguridad Social, aprobado por Real Decreto 2064/1995, de 22 de diciembre:</x:v>
      </x:c>
      <x:c r="N442" s="18" t="str">
        <x:v>Dispone de 48 horas a contar desde la aportación.</x:v>
      </x:c>
      <x:c r="O442" s="18" t="str">
        <x:v>La Tesorería General de la Seguridad Social tiene dos días hábiles a contar desde la aportación.</x:v>
      </x:c>
      <x:c r="P442" s="18" t="str">
        <x:v>La Tesorería General de la Seguridad Social tiene dos días naturales a contar desde la aportación.</x:v>
      </x:c>
      <x:c r="Q442" s="18" t="str">
        <x:v>Dispone de 72 horas a contar desde la aportación.</x:v>
      </x:c>
      <x:c r="R442" s="18" t="str">
        <x:v>S04</x:v>
      </x:c>
      <x:c r="S442" s="18" t="n">
        <x:v>4</x:v>
      </x:c>
      <x:c r="T442" s="18" t="str">
        <x:v>Temario específico Seguridad Social</x:v>
      </x:c>
      <x:c r="U442" s="18" t="str">
        <x:v>La cotización a la Seguridad Social: normas comunes del sistema. La liquidación de cuotas. El régimen general de la Seguridad Social. Supuestos especiales. Bases y tipos de cotización. Liquidación de otras deudas.</x:v>
      </x:c>
      <x:c r="V442" s="18" t="str">
        <x:v>S04</x:v>
      </x:c>
      <x:c r="W442" s="18" t="str">
        <x:v>Real Decreto 2064/1995</x:v>
      </x:c>
      <x:c r="X442" s="18" t="str">
        <x:v>18</x:v>
      </x:c>
      <x:c r="Y442" s="18" t="str">
        <x:v>Plazos</x:v>
      </x:c>
      <x:c r="Z442" s="18" t="str">
        <x:v>Alta</x:v>
      </x:c>
      <x:c r="AA442" s="18" t="str">
        <x:v>S04</x:v>
      </x:c>
      <x:c r="AB442" s="18" t="str">
        <x:v>Tesorería General de la Seguridad Social</x:v>
      </x:c>
      <x:c r="AC442" s="18" t="str"/>
      <x:c r="AD442" s="18" t="str">
        <x:v>No</x:v>
      </x:c>
      <x:c r="AE442" s="18" t="str">
        <x:v>Práctico</x:v>
      </x:c>
      <x:c r="AF442" s="18" t="str">
        <x:v>A</x:v>
      </x:c>
      <x:c r="AG442" s="18" t="str">
        <x:v>A</x:v>
      </x:c>
      <x:c r="AH442" s="18" t="str">
        <x:v>Válida</x:v>
      </x:c>
      <x:c r="AI442" s="18" t="str">
        <x:v>01. Información oficial de la oposición\Exámenes oficiales anteriores\2026 Convocatoria 2025 - Acceso libre Rojo A.pdf</x:v>
      </x:c>
      <x:c r="AJ442" s="18" t="str">
        <x:v>https://www.seg-social.es/wps/portal/wss/internet/InformacionUtil/9950/88beb45d-ca83-4bab-8162-f94ef2894562/e0c83707-3358-47a9-94d7-508221dad233</x:v>
      </x:c>
      <x:c r="AK442" s="18" t="str">
        <x:v>OCR Windows es-ES sobre PDF oficial</x:v>
      </x:c>
      <x:c r="AL442" s="18" t="n">
        <x:v>100</x:v>
      </x:c>
      <x:c r="AM442" s="18" t="str">
        <x:v>Alta</x:v>
      </x:c>
      <x:c r="AN442" s="18" t="str">
        <x:v>Regla jurídica determinista</x:v>
      </x:c>
      <x:c r="AO442" s="18" t="str">
        <x:v>2026_conv2025_rojo_A-P04</x:v>
      </x:c>
      <x:c r="AP442" s="18" t="n">
        <x:v>1</x:v>
      </x:c>
    </x:row>
    <x:row r="443">
      <x:c r="A443" s="18" t="str">
        <x:v>2026_conv2025_rojo_A-P05</x:v>
      </x:c>
      <x:c r="B443" s="18" t="n">
        <x:v>2026</x:v>
      </x:c>
      <x:c r="C443" s="18" t="n">
        <x:v>2025</x:v>
      </x:c>
      <x:c r="D443" s="28" t="n">
        <x:v>46201</x:v>
      </x:c>
      <x:c r="E443" s="18" t="str">
        <x:v>Acceso libre</x:v>
      </x:c>
      <x:c r="F443" s="18" t="str">
        <x:v>Segunda parte</x:v>
      </x:c>
      <x:c r="G443" s="18" t="str">
        <x:v>Rojo A</x:v>
      </x:c>
      <x:c r="H443" s="18" t="str">
        <x:v>Rojo/Verde A/B</x:v>
      </x:c>
      <x:c r="I443" s="18" t="str">
        <x:v>Sí</x:v>
      </x:c>
      <x:c r="J443" s="18" t="str">
        <x:v>Los colores y modelos reproducen el mismo conjunto de preguntas con orden y/o opciones permutados; Rojo A es la variante canónica para frecuencias y Verde A se conserva como control de cobertura.</x:v>
      </x:c>
      <x:c r="K443" s="18" t="n">
        <x:v>5</x:v>
      </x:c>
      <x:c r="L443" s="18" t="str">
        <x:v>No</x:v>
      </x:c>
      <x:c r="M443" s="18" t="str">
        <x:v>Teniendo en cuenta que el día 31 de mayo de 2026 fue domingo, indique hasta qué dia puede la empresa "Tesifonte Ovejero, S.L." solicitar la práctica de la liquidación de las cuotas de la Seguridad Social del ines de abril de 2026 correspondiente a aquellos trabajadores cuyos datos permiten el cálculo:</x:v>
      </x:c>
      <x:c r="N443" s="18" t="str">
        <x:v>Hasta el día 29 de mayo.</x:v>
      </x:c>
      <x:c r="O443" s="18" t="str">
        <x:v>Hasta el día 31 de mayo.</x:v>
      </x:c>
      <x:c r="P443" s="18" t="str">
        <x:v>Hasta eI día I de junio.</x:v>
      </x:c>
      <x:c r="Q443" s="18" t="str">
        <x:v>Hasta eI día 30 de mayo. EI trabajador Ventura Aguado de la empresa "Tesifonte Ovejero, S.L." sufrió el día 5 de marzo de 2025 un accidente, por el cual perdió varios dedos de la mano izquierda. Como consecuencia de esta pérdida fue declarado en una situación de incapacidad permanente parcial, percibiendo una prestación de 24.000 euros. Mediante resolución de la Dirección Provincial del Instituto Nacional de la Seguridad Social de 17 de noviembre de 2025, se declaró a la empresa responsable de un recargo del 50% sobre las prestaciones, al amparo de 10 establecido en eI artículo 164 del texto refundido de la Ley General de la Seguridad Social, aprobado por Real Decreto Legislativo 8/2015, de 30 de octubre. La resolución firme fue remitida a la Tesorería General de la Seguridad Social el día 11 de febrero de 2026, que emitió la correspondiente reclamación al día siguiente y fue recibida por la empresa eI día 16 de febrero.</x:v>
      </x:c>
      <x:c r="R443" s="18" t="str">
        <x:v>S04</x:v>
      </x:c>
      <x:c r="S443" s="18" t="n">
        <x:v>4</x:v>
      </x:c>
      <x:c r="T443" s="18" t="str">
        <x:v>Temario específico Seguridad Social</x:v>
      </x:c>
      <x:c r="U443" s="18" t="str">
        <x:v>La cotización a la Seguridad Social: normas comunes del sistema. La liquidación de cuotas. El régimen general de la Seguridad Social. Supuestos especiales. Bases y tipos de cotización. Liquidación de otras deudas.</x:v>
      </x:c>
      <x:c r="V443" s="18" t="str">
        <x:v>S04</x:v>
      </x:c>
      <x:c r="W443" s="18" t="str"/>
      <x:c r="X443" s="18" t="str"/>
      <x:c r="Y443" s="18" t="str">
        <x:v>Plazos</x:v>
      </x:c>
      <x:c r="Z443" s="18" t="str">
        <x:v>Alta</x:v>
      </x:c>
      <x:c r="AA443" s="18" t="str">
        <x:v>S04</x:v>
      </x:c>
      <x:c r="AB443" s="18" t="str"/>
      <x:c r="AC443" s="18" t="str"/>
      <x:c r="AD443" s="18" t="str">
        <x:v>No</x:v>
      </x:c>
      <x:c r="AE443" s="18" t="str">
        <x:v>Práctico</x:v>
      </x:c>
      <x:c r="AF443" s="18" t="str">
        <x:v>D</x:v>
      </x:c>
      <x:c r="AG443" s="18" t="str">
        <x:v>D</x:v>
      </x:c>
      <x:c r="AH443" s="18" t="str">
        <x:v>Válida</x:v>
      </x:c>
      <x:c r="AI443" s="18" t="str">
        <x:v>01. Información oficial de la oposición\Exámenes oficiales anteriores\2026 Convocatoria 2025 - Acceso libre Rojo A.pdf</x:v>
      </x:c>
      <x:c r="AJ443" s="18" t="str">
        <x:v>https://www.seg-social.es/wps/portal/wss/internet/InformacionUtil/9950/88beb45d-ca83-4bab-8162-f94ef2894562/e0c83707-3358-47a9-94d7-508221dad233</x:v>
      </x:c>
      <x:c r="AK443" s="18" t="str">
        <x:v>OCR Windows es-ES sobre PDF oficial</x:v>
      </x:c>
      <x:c r="AL443" s="18" t="n">
        <x:v>100</x:v>
      </x:c>
      <x:c r="AM443" s="18" t="str">
        <x:v>Alta</x:v>
      </x:c>
      <x:c r="AN443" s="18" t="str">
        <x:v>Revisión jurídica individual</x:v>
      </x:c>
      <x:c r="AO443" s="18" t="str">
        <x:v>2026_conv2025_rojo_A-P05</x:v>
      </x:c>
      <x:c r="AP443" s="18" t="n">
        <x:v>1</x:v>
      </x:c>
    </x:row>
    <x:row r="444">
      <x:c r="A444" s="18" t="str">
        <x:v>2026_conv2025_rojo_A-P06</x:v>
      </x:c>
      <x:c r="B444" s="18" t="n">
        <x:v>2026</x:v>
      </x:c>
      <x:c r="C444" s="18" t="n">
        <x:v>2025</x:v>
      </x:c>
      <x:c r="D444" s="28" t="n">
        <x:v>46201</x:v>
      </x:c>
      <x:c r="E444" s="18" t="str">
        <x:v>Acceso libre</x:v>
      </x:c>
      <x:c r="F444" s="18" t="str">
        <x:v>Segunda parte</x:v>
      </x:c>
      <x:c r="G444" s="18" t="str">
        <x:v>Rojo A</x:v>
      </x:c>
      <x:c r="H444" s="18" t="str">
        <x:v>Rojo/Verde A/B</x:v>
      </x:c>
      <x:c r="I444" s="18" t="str">
        <x:v>Sí</x:v>
      </x:c>
      <x:c r="J444" s="18" t="str">
        <x:v>Los colores y modelos reproducen el mismo conjunto de preguntas con orden y/o opciones permutados; Rojo A es la variante canónica para frecuencias y Verde A se conserva como control de cobertura.</x:v>
      </x:c>
      <x:c r="K444" s="18" t="n">
        <x:v>6</x:v>
      </x:c>
      <x:c r="L444" s="18" t="str">
        <x:v>No</x:v>
      </x:c>
      <x:c r="M444" s="18" t="str">
        <x:v>Remitida la resolución firme de la entidad gestora a la Tesorería General de la Seguridad Social, determine el importe a reclamar a la empresa por la Tesorería General de la Seguridad Social al amparo del artículo 75 del Reglamento General de Recaudación de la Seguridad Social, aprobado por Real Decreto 1415/2004, de II de junio:</x:v>
      </x:c>
      <x:c r="N444" s="18" t="str">
        <x:v>24.000 euros.</x:v>
      </x:c>
      <x:c r="O444" s="18" t="str">
        <x:v>12.000 euros.</x:v>
      </x:c>
      <x:c r="P444" s="18" t="str">
        <x:v>36.000 euros.</x:v>
      </x:c>
      <x:c r="Q444" s="18" t="str">
        <x:v>30.000 euros.</x:v>
      </x:c>
      <x:c r="R444" s="18" t="str">
        <x:v>S05</x:v>
      </x:c>
      <x:c r="S444" s="18" t="n">
        <x:v>5</x:v>
      </x:c>
      <x:c r="T444" s="18" t="str">
        <x:v>Temario específico Seguridad Social</x:v>
      </x:c>
      <x:c r="U444" s="18" t="str">
        <x:v>La gestión recaudatoria: concepto, competencia y objeto. Responsables del pago. Requisitos para el pago. Medios de pago. Control de recaudación. Revisión de los actos de gestión recaudatoria. La recaudación en periodo voluntario. Efectos de la falta de cotización en período reglamentario. Recaudación de otros recursos. Aplazamientos. Devolución de ingresos indebidos. Capital coste de pensiones.</x:v>
      </x:c>
      <x:c r="V444" s="18" t="str">
        <x:v>S05</x:v>
      </x:c>
      <x:c r="W444" s="18" t="str">
        <x:v>Real Decreto 1415/2004</x:v>
      </x:c>
      <x:c r="X444" s="18" t="str">
        <x:v>75</x:v>
      </x:c>
      <x:c r="Y444" s="18" t="str">
        <x:v>Cálculos</x:v>
      </x:c>
      <x:c r="Z444" s="18" t="str">
        <x:v>Alta</x:v>
      </x:c>
      <x:c r="AA444" s="18" t="str">
        <x:v>S05</x:v>
      </x:c>
      <x:c r="AB444" s="18" t="str">
        <x:v>Tesorería General de la Seguridad Social</x:v>
      </x:c>
      <x:c r="AC444" s="18" t="str"/>
      <x:c r="AD444" s="18" t="str">
        <x:v>No</x:v>
      </x:c>
      <x:c r="AE444" s="18" t="str">
        <x:v>Práctico</x:v>
      </x:c>
      <x:c r="AF444" s="18" t="str">
        <x:v>B</x:v>
      </x:c>
      <x:c r="AG444" s="18" t="str">
        <x:v>B</x:v>
      </x:c>
      <x:c r="AH444" s="18" t="str">
        <x:v>Válida</x:v>
      </x:c>
      <x:c r="AI444" s="18" t="str">
        <x:v>01. Información oficial de la oposición\Exámenes oficiales anteriores\2026 Convocatoria 2025 - Acceso libre Rojo A.pdf</x:v>
      </x:c>
      <x:c r="AJ444" s="18" t="str">
        <x:v>https://www.seg-social.es/wps/portal/wss/internet/InformacionUtil/9950/88beb45d-ca83-4bab-8162-f94ef2894562/e0c83707-3358-47a9-94d7-508221dad233</x:v>
      </x:c>
      <x:c r="AK444" s="18" t="str">
        <x:v>OCR Windows es-ES sobre PDF oficial</x:v>
      </x:c>
      <x:c r="AL444" s="18" t="n">
        <x:v>100</x:v>
      </x:c>
      <x:c r="AM444" s="18" t="str">
        <x:v>Alta</x:v>
      </x:c>
      <x:c r="AN444" s="18" t="str">
        <x:v>Regla jurídica determinista</x:v>
      </x:c>
      <x:c r="AO444" s="18" t="str">
        <x:v>2026_conv2025_rojo_A-P06</x:v>
      </x:c>
      <x:c r="AP444" s="18" t="n">
        <x:v>1</x:v>
      </x:c>
    </x:row>
    <x:row r="445">
      <x:c r="A445" s="18" t="str">
        <x:v>2026_conv2025_rojo_A-P07</x:v>
      </x:c>
      <x:c r="B445" s="18" t="n">
        <x:v>2026</x:v>
      </x:c>
      <x:c r="C445" s="18" t="n">
        <x:v>2025</x:v>
      </x:c>
      <x:c r="D445" s="28" t="n">
        <x:v>46201</x:v>
      </x:c>
      <x:c r="E445" s="18" t="str">
        <x:v>Acceso libre</x:v>
      </x:c>
      <x:c r="F445" s="18" t="str">
        <x:v>Segunda parte</x:v>
      </x:c>
      <x:c r="G445" s="18" t="str">
        <x:v>Rojo A</x:v>
      </x:c>
      <x:c r="H445" s="18" t="str">
        <x:v>Rojo/Verde A/B</x:v>
      </x:c>
      <x:c r="I445" s="18" t="str">
        <x:v>Sí</x:v>
      </x:c>
      <x:c r="J445" s="18" t="str">
        <x:v>Los colores y modelos reproducen el mismo conjunto de preguntas con orden y/o opciones permutados; Rojo A es la variante canónica para frecuencias y Verde A se conserva como control de cobertura.</x:v>
      </x:c>
      <x:c r="K445" s="18" t="n">
        <x:v>7</x:v>
      </x:c>
      <x:c r="L445" s="18" t="str">
        <x:v>No</x:v>
      </x:c>
      <x:c r="M445" s="18" t="str">
        <x:v>Indique cuándo finaliza eI plazo reglamentario de ingreso de la reclamación de deuda emitida a la empresa "Tesifonte Ovejero, S.L." para recaudar eI recargo sobre la prestación determinado por la resolución de la Dirección Provincial del Instituto Nacional de la Seguridad Social de 17 de noviembre de 2025:</x:v>
      </x:c>
      <x:c r="N445" s="18" t="str">
        <x:v>EI día 31 de marzo de 2026.</x:v>
      </x:c>
      <x:c r="O445" s="18" t="str">
        <x:v>EI día 31 de enero de 2026.</x:v>
      </x:c>
      <x:c r="P445" s="18" t="str">
        <x:v>EI día 20 de marzo de 2026.</x:v>
      </x:c>
      <x:c r="Q445" s="18" t="str">
        <x:v>EI día 5 de abril de 2026. Ante la falta de pago en el plazo reglamentario de ingreso de la reclamación de deuda emitida para reclamar eI recargo sobre la prestación impuesta por la resolución de la Dirección Provincial del Instituto Nacional de la Seguridad Social de 1 7 de noviembre de 2025, se emite la correspondiente providencia de apremio, que es recibida por la empresa el día 24 de abril de 2026. La empresa "Tesifonte Ovejero, S.L." para abonar la deuda solicita un aplazamiento.</x:v>
      </x:c>
      <x:c r="R445" s="18" t="str">
        <x:v>S05</x:v>
      </x:c>
      <x:c r="S445" s="18" t="n">
        <x:v>5</x:v>
      </x:c>
      <x:c r="T445" s="18" t="str">
        <x:v>Temario específico Seguridad Social</x:v>
      </x:c>
      <x:c r="U445" s="18" t="str">
        <x:v>La gestión recaudatoria: concepto, competencia y objeto. Responsables del pago. Requisitos para el pago. Medios de pago. Control de recaudación. Revisión de los actos de gestión recaudatoria. La recaudación en periodo voluntario. Efectos de la falta de cotización en período reglamentario. Recaudación de otros recursos. Aplazamientos. Devolución de ingresos indebidos. Capital coste de pensiones.</x:v>
      </x:c>
      <x:c r="V445" s="18" t="str">
        <x:v>S05</x:v>
      </x:c>
      <x:c r="W445" s="18" t="str"/>
      <x:c r="X445" s="18" t="str"/>
      <x:c r="Y445" s="18" t="str">
        <x:v>Plazos</x:v>
      </x:c>
      <x:c r="Z445" s="18" t="str">
        <x:v>Alta</x:v>
      </x:c>
      <x:c r="AA445" s="18" t="str">
        <x:v>S05</x:v>
      </x:c>
      <x:c r="AB445" s="18" t="str">
        <x:v>Instituto Nacional de la Seguridad Social</x:v>
      </x:c>
      <x:c r="AC445" s="18" t="str"/>
      <x:c r="AD445" s="18" t="str">
        <x:v>No</x:v>
      </x:c>
      <x:c r="AE445" s="18" t="str">
        <x:v>Práctico</x:v>
      </x:c>
      <x:c r="AF445" s="18" t="str">
        <x:v>A</x:v>
      </x:c>
      <x:c r="AG445" s="18" t="str">
        <x:v>A</x:v>
      </x:c>
      <x:c r="AH445" s="18" t="str">
        <x:v>Válida</x:v>
      </x:c>
      <x:c r="AI445" s="18" t="str">
        <x:v>01. Información oficial de la oposición\Exámenes oficiales anteriores\2026 Convocatoria 2025 - Acceso libre Rojo A.pdf</x:v>
      </x:c>
      <x:c r="AJ445" s="18" t="str">
        <x:v>https://www.seg-social.es/wps/portal/wss/internet/InformacionUtil/9950/88beb45d-ca83-4bab-8162-f94ef2894562/e0c83707-3358-47a9-94d7-508221dad233</x:v>
      </x:c>
      <x:c r="AK445" s="18" t="str">
        <x:v>OCR Windows es-ES sobre PDF oficial</x:v>
      </x:c>
      <x:c r="AL445" s="18" t="n">
        <x:v>100</x:v>
      </x:c>
      <x:c r="AM445" s="18" t="str">
        <x:v>Alta</x:v>
      </x:c>
      <x:c r="AN445" s="18" t="str">
        <x:v>Regla jurídica determinista</x:v>
      </x:c>
      <x:c r="AO445" s="18" t="str">
        <x:v>2026_conv2025_rojo_A-P07</x:v>
      </x:c>
      <x:c r="AP445" s="18" t="n">
        <x:v>1</x:v>
      </x:c>
    </x:row>
    <x:row r="446">
      <x:c r="A446" s="18" t="str">
        <x:v>2026_conv2025_rojo_A-P08</x:v>
      </x:c>
      <x:c r="B446" s="18" t="n">
        <x:v>2026</x:v>
      </x:c>
      <x:c r="C446" s="18" t="n">
        <x:v>2025</x:v>
      </x:c>
      <x:c r="D446" s="28" t="n">
        <x:v>46201</x:v>
      </x:c>
      <x:c r="E446" s="18" t="str">
        <x:v>Acceso libre</x:v>
      </x:c>
      <x:c r="F446" s="18" t="str">
        <x:v>Segunda parte</x:v>
      </x:c>
      <x:c r="G446" s="18" t="str">
        <x:v>Rojo A</x:v>
      </x:c>
      <x:c r="H446" s="18" t="str">
        <x:v>Rojo/Verde A/B</x:v>
      </x:c>
      <x:c r="I446" s="18" t="str">
        <x:v>Sí</x:v>
      </x:c>
      <x:c r="J446" s="18" t="str">
        <x:v>Los colores y modelos reproducen el mismo conjunto de preguntas con orden y/o opciones permutados; Rojo A es la variante canónica para frecuencias y Verde A se conserva como control de cobertura.</x:v>
      </x:c>
      <x:c r="K446" s="18" t="n">
        <x:v>8</x:v>
      </x:c>
      <x:c r="L446" s="18" t="str">
        <x:v>No</x:v>
      </x:c>
      <x:c r="M446" s="18" t="str">
        <x:v>Indique si el aplazamiento sobre esta deuda necesita ser garantizado:</x:v>
      </x:c>
      <x:c r="N446" s="18" t="str">
        <x:v>Sólo puede garantizarse con hipoteca inmobiliaria.</x:v>
      </x:c>
      <x:c r="O446" s="18" t="str">
        <x:v>Se tiene que garantizar con cualquier tipo de garantía.</x:v>
      </x:c>
      <x:c r="P446" s="18" t="str">
        <x:v>Sólo puede garantizarse con aval bancario.</x:v>
      </x:c>
      <x:c r="Q446" s="18" t="str">
        <x:v>No necesita garantía. EI aplazamiento no es concedido y por tanto la Unidad de Recaudación Ejecutiva responde con el procedimiento de apremio y embarga el saldo de una cuenta bancaria, que asciende a 5.000 euros. Esta cuenta bancaria está abierta a nombre de cinco titulares, entre ellos figura la empresa "Tesifonte Ovejero, S.L.", con titularidad indistinta.</x:v>
      </x:c>
      <x:c r="R446" s="18" t="str">
        <x:v>S05</x:v>
      </x:c>
      <x:c r="S446" s="18" t="n">
        <x:v>5</x:v>
      </x:c>
      <x:c r="T446" s="18" t="str">
        <x:v>Temario específico Seguridad Social</x:v>
      </x:c>
      <x:c r="U446" s="18" t="str">
        <x:v>La gestión recaudatoria: concepto, competencia y objeto. Responsables del pago. Requisitos para el pago. Medios de pago. Control de recaudación. Revisión de los actos de gestión recaudatoria. La recaudación en periodo voluntario. Efectos de la falta de cotización en período reglamentario. Recaudación de otros recursos. Aplazamientos. Devolución de ingresos indebidos. Capital coste de pensiones.</x:v>
      </x:c>
      <x:c r="V446" s="18" t="str">
        <x:v>aplazamiento</x:v>
      </x:c>
      <x:c r="W446" s="18" t="str"/>
      <x:c r="X446" s="18" t="str"/>
      <x:c r="Y446" s="18" t="str">
        <x:v>Recaudación</x:v>
      </x:c>
      <x:c r="Z446" s="18" t="str">
        <x:v>Media</x:v>
      </x:c>
      <x:c r="AA446" s="18" t="str">
        <x:v>aplazamiento</x:v>
      </x:c>
      <x:c r="AB446" s="18" t="str"/>
      <x:c r="AC446" s="18" t="str"/>
      <x:c r="AD446" s="18" t="str">
        <x:v>No</x:v>
      </x:c>
      <x:c r="AE446" s="18" t="str">
        <x:v>Práctico</x:v>
      </x:c>
      <x:c r="AF446" s="18" t="str">
        <x:v>C</x:v>
      </x:c>
      <x:c r="AG446" s="18" t="str">
        <x:v>ANULADA</x:v>
      </x:c>
      <x:c r="AH446" s="18" t="str">
        <x:v>Anulada</x:v>
      </x:c>
      <x:c r="AI446" s="18" t="str">
        <x:v>01. Información oficial de la oposición\Exámenes oficiales anteriores\2026 Convocatoria 2025 - Acceso libre Rojo A.pdf</x:v>
      </x:c>
      <x:c r="AJ446" s="18" t="str">
        <x:v>https://www.seg-social.es/wps/portal/wss/internet/InformacionUtil/9950/88beb45d-ca83-4bab-8162-f94ef2894562/e0c83707-3358-47a9-94d7-508221dad233</x:v>
      </x:c>
      <x:c r="AK446" s="18" t="str">
        <x:v>OCR Windows es-ES sobre PDF oficial</x:v>
      </x:c>
      <x:c r="AL446" s="18" t="n">
        <x:v>100</x:v>
      </x:c>
      <x:c r="AM446" s="18" t="str">
        <x:v>Alta</x:v>
      </x:c>
      <x:c r="AN446" s="18" t="str">
        <x:v>Regla jurídica determinista</x:v>
      </x:c>
      <x:c r="AO446" s="18" t="str">
        <x:v>2026_conv2025_rojo_A-P08</x:v>
      </x:c>
      <x:c r="AP446" s="18" t="n">
        <x:v>1</x:v>
      </x:c>
    </x:row>
    <x:row r="447">
      <x:c r="A447" s="18" t="str">
        <x:v>2026_conv2025_rojo_A-P09</x:v>
      </x:c>
      <x:c r="B447" s="18" t="n">
        <x:v>2026</x:v>
      </x:c>
      <x:c r="C447" s="18" t="n">
        <x:v>2025</x:v>
      </x:c>
      <x:c r="D447" s="28" t="n">
        <x:v>46201</x:v>
      </x:c>
      <x:c r="E447" s="18" t="str">
        <x:v>Acceso libre</x:v>
      </x:c>
      <x:c r="F447" s="18" t="str">
        <x:v>Segunda parte</x:v>
      </x:c>
      <x:c r="G447" s="18" t="str">
        <x:v>Rojo A</x:v>
      </x:c>
      <x:c r="H447" s="18" t="str">
        <x:v>Rojo/Verde A/B</x:v>
      </x:c>
      <x:c r="I447" s="18" t="str">
        <x:v>Sí</x:v>
      </x:c>
      <x:c r="J447" s="18" t="str">
        <x:v>Los colores y modelos reproducen el mismo conjunto de preguntas con orden y/o opciones permutados; Rojo A es la variante canónica para frecuencias y Verde A se conserva como control de cobertura.</x:v>
      </x:c>
      <x:c r="K447" s="18" t="n">
        <x:v>9</x:v>
      </x:c>
      <x:c r="L447" s="18" t="str">
        <x:v>No</x:v>
      </x:c>
      <x:c r="M447" s="18" t="str">
        <x:v>Señale cuál sería el importe del saldo de la cuenta a embargar:</x:v>
      </x:c>
      <x:c r="N447" s="18" t="str">
        <x:v>EI importe total del saldo, 5.000 euros.</x:v>
      </x:c>
      <x:c r="O447" s="18" t="str">
        <x:v>1.000 euros, la parte del saldo correspondiente, salvo que del contrato se desprenda otra cosa.</x:v>
      </x:c>
      <x:c r="P447" s="18" t="str">
        <x:v>2.500, la mitad del saldo.</x:v>
      </x:c>
      <x:c r="Q447" s="18" t="str">
        <x:v>No puede embargarse, porque no puede establecerse eI importe del saldo correspondiente a la empresa. La trabajadora Matilde Padilla inició su vida laboral, prestando servicios para la empresa "Tesifonte Ovejero, S.L." eI día 29 de enero de 2026. Esta empresa tramitó el correspondiente alta en la Seguridad Social en tiempo y forma. La empresa "Tesifonte Ovejero, S.L." tiene cubierta la protección de incapacidad temporal derivada de contingencias comunes y la protección de accidentes de trabajo y enfermedades profesionales con la mutua colaboradora de la Seguridad Social "Consorcio". EI día 8 de junio de 2026, el médico del servicio de salud de su comunidad autónoma expide la baja de Dña. Matilde Padilla por padecer una situación de menstruación incapacitante secundaria.</x:v>
      </x:c>
      <x:c r="R447" s="18" t="str">
        <x:v>S06</x:v>
      </x:c>
      <x:c r="S447" s="18" t="n">
        <x:v>6</x:v>
      </x:c>
      <x:c r="T447" s="18" t="str">
        <x:v>Temario específico Seguridad Social</x:v>
      </x:c>
      <x:c r="U447" s="18" t="str">
        <x:v>La recaudación en vía ejecutiva. Normas generales. Iniciación y título ejecutivo. La providencia de apremio. Oposición y efectos. El embargo de bienes. Enajenación de bienes: modalidades. Créditos incobrables. Tercerías.</x:v>
      </x:c>
      <x:c r="V447" s="18" t="str">
        <x:v>S06</x:v>
      </x:c>
      <x:c r="W447" s="18" t="str"/>
      <x:c r="X447" s="18" t="str"/>
      <x:c r="Y447" s="18" t="str">
        <x:v>Cálculos</x:v>
      </x:c>
      <x:c r="Z447" s="18" t="str">
        <x:v>Media</x:v>
      </x:c>
      <x:c r="AA447" s="18" t="str">
        <x:v>S06</x:v>
      </x:c>
      <x:c r="AB447" s="18" t="str"/>
      <x:c r="AC447" s="18" t="str"/>
      <x:c r="AD447" s="18" t="str">
        <x:v>No</x:v>
      </x:c>
      <x:c r="AE447" s="18" t="str">
        <x:v>Práctico</x:v>
      </x:c>
      <x:c r="AF447" s="18" t="str">
        <x:v>B</x:v>
      </x:c>
      <x:c r="AG447" s="18" t="str">
        <x:v>B</x:v>
      </x:c>
      <x:c r="AH447" s="18" t="str">
        <x:v>Válida</x:v>
      </x:c>
      <x:c r="AI447" s="18" t="str">
        <x:v>01. Información oficial de la oposición\Exámenes oficiales anteriores\2026 Convocatoria 2025 - Acceso libre Rojo A.pdf</x:v>
      </x:c>
      <x:c r="AJ447" s="18" t="str">
        <x:v>https://www.seg-social.es/wps/portal/wss/internet/InformacionUtil/9950/88beb45d-ca83-4bab-8162-f94ef2894562/e0c83707-3358-47a9-94d7-508221dad233</x:v>
      </x:c>
      <x:c r="AK447" s="18" t="str">
        <x:v>OCR Windows es-ES sobre PDF oficial</x:v>
      </x:c>
      <x:c r="AL447" s="18" t="n">
        <x:v>100</x:v>
      </x:c>
      <x:c r="AM447" s="18" t="str">
        <x:v>Alta</x:v>
      </x:c>
      <x:c r="AN447" s="18" t="str">
        <x:v>Revisión jurídica individual</x:v>
      </x:c>
      <x:c r="AO447" s="18" t="str">
        <x:v>2026_conv2025_rojo_A-P09</x:v>
      </x:c>
      <x:c r="AP447" s="18" t="n">
        <x:v>1</x:v>
      </x:c>
    </x:row>
    <x:row r="448">
      <x:c r="A448" s="18" t="str">
        <x:v>2026_conv2025_rojo_A-P10</x:v>
      </x:c>
      <x:c r="B448" s="18" t="n">
        <x:v>2026</x:v>
      </x:c>
      <x:c r="C448" s="18" t="n">
        <x:v>2025</x:v>
      </x:c>
      <x:c r="D448" s="28" t="n">
        <x:v>46201</x:v>
      </x:c>
      <x:c r="E448" s="18" t="str">
        <x:v>Acceso libre</x:v>
      </x:c>
      <x:c r="F448" s="18" t="str">
        <x:v>Segunda parte</x:v>
      </x:c>
      <x:c r="G448" s="18" t="str">
        <x:v>Rojo A</x:v>
      </x:c>
      <x:c r="H448" s="18" t="str">
        <x:v>Rojo/Verde A/B</x:v>
      </x:c>
      <x:c r="I448" s="18" t="str">
        <x:v>Sí</x:v>
      </x:c>
      <x:c r="J448" s="18" t="str">
        <x:v>Los colores y modelos reproducen el mismo conjunto de preguntas con orden y/o opciones permutados; Rojo A es la variante canónica para frecuencias y Verde A se conserva como control de cobertura.</x:v>
      </x:c>
      <x:c r="K448" s="18" t="n">
        <x:v>10</x:v>
      </x:c>
      <x:c r="L448" s="18" t="str">
        <x:v>No</x:v>
      </x:c>
      <x:c r="M448" s="18" t="str">
        <x:v>Determine si doña Matilde Padilla, tiene derecho a la prestación de incapacidad temporal por la baja médica debida a la situación de menstruación incapacitante secundaria:</x:v>
      </x:c>
      <x:c r="N448" s="18" t="str">
        <x:v>No, porque no reúne el periodo mínimo de cotización de 180 días en los cinco años anteriores al hecho causante.</x:v>
      </x:c>
      <x:c r="O448" s="18" t="str">
        <x:v>Sí, porque la menstruación incapacitante secundaria tiene la consideración de enfermedad profesional y por ello no se exige periodo mínimo de cotización.</x:v>
      </x:c>
      <x:c r="P448" s="18" t="str">
        <x:v>Sí, porque para las situaciones de menstruación incapacitante secundaria no se exige periodo mínimo de cotización.</x:v>
      </x:c>
      <x:c r="Q448" s="18" t="str">
        <x:v>No, porque la menstruación incapacitante secundaria no es una situación determinante de la incapacidad temporal.</x:v>
      </x:c>
      <x:c r="R448" s="18" t="str">
        <x:v>S08</x:v>
      </x:c>
      <x:c r="S448" s="18" t="n">
        <x:v>8</x:v>
      </x:c>
      <x:c r="T448" s="18" t="str">
        <x:v>Temario específico Seguridad Social</x:v>
      </x:c>
      <x:c r="U448" s="18" t="str">
        <x:v>Incapacidad temporal: concepto y causas que motivan esta situación. Beneficiarios. Prestación económica: determinación y cuantía. Nacimiento, duración y extinción del derecho al subsidio. Reconocimiento y pago. Control de la incapacidad. Incapacidad permanente contributiva: concepto. Grados de incapacidad. Prestaciones. Determinación y cuantía. Beneficiarios. Nacimiento, duración y extinción del derecho. Lesiones permanentes no incapacitantes. La calificación y revisión de la incapacidad permanente.</x:v>
      </x:c>
      <x:c r="V448" s="18" t="str">
        <x:v>baja</x:v>
      </x:c>
      <x:c r="W448" s="18" t="str"/>
      <x:c r="X448" s="18" t="str"/>
      <x:c r="Y448" s="18" t="str">
        <x:v>Personas beneficiarias</x:v>
      </x:c>
      <x:c r="Z448" s="18" t="str">
        <x:v>Media</x:v>
      </x:c>
      <x:c r="AA448" s="18" t="str">
        <x:v>baja</x:v>
      </x:c>
      <x:c r="AB448" s="18" t="str"/>
      <x:c r="AC448" s="18" t="str"/>
      <x:c r="AD448" s="18" t="str">
        <x:v>No</x:v>
      </x:c>
      <x:c r="AE448" s="18" t="str">
        <x:v>Práctico</x:v>
      </x:c>
      <x:c r="AF448" s="18" t="str">
        <x:v>C</x:v>
      </x:c>
      <x:c r="AG448" s="18" t="str">
        <x:v>C</x:v>
      </x:c>
      <x:c r="AH448" s="18" t="str">
        <x:v>Válida</x:v>
      </x:c>
      <x:c r="AI448" s="18" t="str">
        <x:v>01. Información oficial de la oposición\Exámenes oficiales anteriores\2026 Convocatoria 2025 - Acceso libre Rojo A.pdf</x:v>
      </x:c>
      <x:c r="AJ448" s="18" t="str">
        <x:v>https://www.seg-social.es/wps/portal/wss/internet/InformacionUtil/9950/88beb45d-ca83-4bab-8162-f94ef2894562/e0c83707-3358-47a9-94d7-508221dad233</x:v>
      </x:c>
      <x:c r="AK448" s="18" t="str">
        <x:v>OCR Windows es-ES sobre PDF oficial</x:v>
      </x:c>
      <x:c r="AL448" s="18" t="n">
        <x:v>100</x:v>
      </x:c>
      <x:c r="AM448" s="18" t="str">
        <x:v>Alta</x:v>
      </x:c>
      <x:c r="AN448" s="18" t="str">
        <x:v>Regla jurídica determinista</x:v>
      </x:c>
      <x:c r="AO448" s="18" t="str">
        <x:v>2026_conv2025_rojo_A-P10</x:v>
      </x:c>
      <x:c r="AP448" s="18" t="n">
        <x:v>1</x:v>
      </x:c>
    </x:row>
    <x:row r="449">
      <x:c r="A449" s="18" t="str">
        <x:v>2026_conv2025_rojo_A-P11</x:v>
      </x:c>
      <x:c r="B449" s="18" t="n">
        <x:v>2026</x:v>
      </x:c>
      <x:c r="C449" s="18" t="n">
        <x:v>2025</x:v>
      </x:c>
      <x:c r="D449" s="28" t="n">
        <x:v>46201</x:v>
      </x:c>
      <x:c r="E449" s="18" t="str">
        <x:v>Acceso libre</x:v>
      </x:c>
      <x:c r="F449" s="18" t="str">
        <x:v>Segunda parte</x:v>
      </x:c>
      <x:c r="G449" s="18" t="str">
        <x:v>Rojo A</x:v>
      </x:c>
      <x:c r="H449" s="18" t="str">
        <x:v>Rojo/Verde A/B</x:v>
      </x:c>
      <x:c r="I449" s="18" t="str">
        <x:v>Sí</x:v>
      </x:c>
      <x:c r="J449" s="18" t="str">
        <x:v>Los colores y modelos reproducen el mismo conjunto de preguntas con orden y/o opciones permutados; Rojo A es la variante canónica para frecuencias y Verde A se conserva como control de cobertura.</x:v>
      </x:c>
      <x:c r="K449" s="18" t="n">
        <x:v>11</x:v>
      </x:c>
      <x:c r="L449" s="18" t="str">
        <x:v>No</x:v>
      </x:c>
      <x:c r="M449" s="18" t="str">
        <x:v>En eI supuesto de tener derecho a la prestación de incapacidad temporal y de acuerdo con el artículo 173, párrafo tercero del texto refundido de la Ley General de la Seguridad Social, por la situación determinante de la menstruación incapacitante secundaria, el abono del subsidio de la incapacidad temporal será a cargo de:</x:v>
      </x:c>
      <x:c r="N449" s="18" t="str">
        <x:v>La mutua colaboradora de la Seguridad Social "Consorcio".</x:v>
      </x:c>
      <x:c r="O449" s="18" t="str">
        <x:v>Del Instituto Nacional de la Seguridad Social.</x:v>
      </x:c>
      <x:c r="P449" s="18" t="str">
        <x:v>De la empresa.</x:v>
      </x:c>
      <x:c r="Q449" s="18" t="str">
        <x:v>Del Servicio Público de Empleo Estatal.</x:v>
      </x:c>
      <x:c r="R449" s="18" t="str">
        <x:v>S08</x:v>
      </x:c>
      <x:c r="S449" s="18" t="n">
        <x:v>8</x:v>
      </x:c>
      <x:c r="T449" s="18" t="str">
        <x:v>Temario específico Seguridad Social</x:v>
      </x:c>
      <x:c r="U449" s="18" t="str">
        <x:v>Incapacidad temporal: concepto y causas que motivan esta situación. Beneficiarios. Prestación económica: determinación y cuantía. Nacimiento, duración y extinción del derecho al subsidio. Reconocimiento y pago. Control de la incapacidad. Incapacidad permanente contributiva: concepto. Grados de incapacidad. Prestaciones. Determinación y cuantía. Beneficiarios. Nacimiento, duración y extinción del derecho. Lesiones permanentes no incapacitantes. La calificación y revisión de la incapacidad permanente.</x:v>
      </x:c>
      <x:c r="V449" s="18" t="str">
        <x:v>incapacidad temporal</x:v>
      </x:c>
      <x:c r="W449" s="18" t="str">
        <x:v>texto refundido de la Ley General de la Seguridad Social</x:v>
      </x:c>
      <x:c r="X449" s="18" t="str">
        <x:v>173</x:v>
      </x:c>
      <x:c r="Y449" s="18" t="str">
        <x:v>Personas beneficiarias</x:v>
      </x:c>
      <x:c r="Z449" s="18" t="str">
        <x:v>Alta</x:v>
      </x:c>
      <x:c r="AA449" s="18" t="str">
        <x:v>incapacidad temporal</x:v>
      </x:c>
      <x:c r="AB449" s="18" t="str"/>
      <x:c r="AC449" s="18" t="str"/>
      <x:c r="AD449" s="18" t="str">
        <x:v>No</x:v>
      </x:c>
      <x:c r="AE449" s="18" t="str">
        <x:v>Práctico</x:v>
      </x:c>
      <x:c r="AF449" s="18" t="str">
        <x:v>A</x:v>
      </x:c>
      <x:c r="AG449" s="18" t="str">
        <x:v>A</x:v>
      </x:c>
      <x:c r="AH449" s="18" t="str">
        <x:v>Válida</x:v>
      </x:c>
      <x:c r="AI449" s="18" t="str">
        <x:v>01. Información oficial de la oposición\Exámenes oficiales anteriores\2026 Convocatoria 2025 - Acceso libre Rojo A.pdf</x:v>
      </x:c>
      <x:c r="AJ449" s="18" t="str">
        <x:v>https://www.seg-social.es/wps/portal/wss/internet/InformacionUtil/9950/88beb45d-ca83-4bab-8162-f94ef2894562/e0c83707-3358-47a9-94d7-508221dad233</x:v>
      </x:c>
      <x:c r="AK449" s="18" t="str">
        <x:v>OCR Windows es-ES sobre PDF oficial</x:v>
      </x:c>
      <x:c r="AL449" s="18" t="n">
        <x:v>100</x:v>
      </x:c>
      <x:c r="AM449" s="18" t="str">
        <x:v>Alta</x:v>
      </x:c>
      <x:c r="AN449" s="18" t="str">
        <x:v>Regla jurídica determinista</x:v>
      </x:c>
      <x:c r="AO449" s="18" t="str">
        <x:v>2026_conv2025_rojo_A-P11</x:v>
      </x:c>
      <x:c r="AP449" s="18" t="n">
        <x:v>1</x:v>
      </x:c>
    </x:row>
    <x:row r="450">
      <x:c r="A450" s="18" t="str">
        <x:v>2026_conv2025_rojo_A-P12</x:v>
      </x:c>
      <x:c r="B450" s="18" t="n">
        <x:v>2026</x:v>
      </x:c>
      <x:c r="C450" s="18" t="n">
        <x:v>2025</x:v>
      </x:c>
      <x:c r="D450" s="28" t="n">
        <x:v>46201</x:v>
      </x:c>
      <x:c r="E450" s="18" t="str">
        <x:v>Acceso libre</x:v>
      </x:c>
      <x:c r="F450" s="18" t="str">
        <x:v>Segunda parte</x:v>
      </x:c>
      <x:c r="G450" s="18" t="str">
        <x:v>Rojo A</x:v>
      </x:c>
      <x:c r="H450" s="18" t="str">
        <x:v>Rojo/Verde A/B</x:v>
      </x:c>
      <x:c r="I450" s="18" t="str">
        <x:v>Sí</x:v>
      </x:c>
      <x:c r="J450" s="18" t="str">
        <x:v>Los colores y modelos reproducen el mismo conjunto de preguntas con orden y/o opciones permutados; Rojo A es la variante canónica para frecuencias y Verde A se conserva como control de cobertura.</x:v>
      </x:c>
      <x:c r="K450" s="18" t="n">
        <x:v>12</x:v>
      </x:c>
      <x:c r="L450" s="18" t="str">
        <x:v>No</x:v>
      </x:c>
      <x:c r="M450" s="18" t="str">
        <x:v>En el supuesto de tener derecho a la prestación de incapacidad temporal, determine los meses que se tendrían en cuenta para el cálculo de la base reguladora de la prestación, si tuviera un contrato a tiempo parcial:</x:v>
      </x:c>
      <x:c r="N450" s="18" t="str">
        <x:v>Los meses de marzo, abril y mayo de 2026.</x:v>
      </x:c>
      <x:c r="O450" s="18" t="str">
        <x:v>Los meses de abril, mayo y junio de 2026.</x:v>
      </x:c>
      <x:c r="P450" s="18" t="str">
        <x:v>Los meses de febrero, marzo y abril de 2026.</x:v>
      </x:c>
      <x:c r="Q450" s="18" t="str">
        <x:v>Los meses de febrero, marzo, abril y mayo de 2026. La trabajadora Nati Robles, que ha nacido el día 21 de julio de 1968, ha prestado sus servicios en los últimos años en la empresa "Tesifonte Ovejero, S.L.". Después de un proceso de incapacidad temporal debido a una enfermedad común, ha sido declarada en situación de incapacidad permanente total, el día 4 de mayo de 2026.</x:v>
      </x:c>
      <x:c r="R450" s="18" t="str">
        <x:v>S08</x:v>
      </x:c>
      <x:c r="S450" s="18" t="n">
        <x:v>8</x:v>
      </x:c>
      <x:c r="T450" s="18" t="str">
        <x:v>Temario específico Seguridad Social</x:v>
      </x:c>
      <x:c r="U450" s="18" t="str">
        <x:v>Incapacidad temporal: concepto y causas que motivan esta situación. Beneficiarios. Prestación económica: determinación y cuantía. Nacimiento, duración y extinción del derecho al subsidio. Reconocimiento y pago. Control de la incapacidad. Incapacidad permanente contributiva: concepto. Grados de incapacidad. Prestaciones. Determinación y cuantía. Beneficiarios. Nacimiento, duración y extinción del derecho. Lesiones permanentes no incapacitantes. La calificación y revisión de la incapacidad permanente.</x:v>
      </x:c>
      <x:c r="V450" s="18" t="str">
        <x:v>incapacidad temporal</x:v>
      </x:c>
      <x:c r="W450" s="18" t="str"/>
      <x:c r="X450" s="18" t="str"/>
      <x:c r="Y450" s="18" t="str">
        <x:v>Cálculos</x:v>
      </x:c>
      <x:c r="Z450" s="18" t="str">
        <x:v>Media</x:v>
      </x:c>
      <x:c r="AA450" s="18" t="str">
        <x:v>incapacidad temporal</x:v>
      </x:c>
      <x:c r="AB450" s="18" t="str"/>
      <x:c r="AC450" s="18" t="str"/>
      <x:c r="AD450" s="18" t="str">
        <x:v>No</x:v>
      </x:c>
      <x:c r="AE450" s="18" t="str">
        <x:v>Práctico</x:v>
      </x:c>
      <x:c r="AF450" s="18" t="str">
        <x:v>C</x:v>
      </x:c>
      <x:c r="AG450" s="18" t="str">
        <x:v>C</x:v>
      </x:c>
      <x:c r="AH450" s="18" t="str">
        <x:v>Válida</x:v>
      </x:c>
      <x:c r="AI450" s="18" t="str">
        <x:v>01. Información oficial de la oposición\Exámenes oficiales anteriores\2026 Convocatoria 2025 - Acceso libre Rojo A.pdf</x:v>
      </x:c>
      <x:c r="AJ450" s="18" t="str">
        <x:v>https://www.seg-social.es/wps/portal/wss/internet/InformacionUtil/9950/88beb45d-ca83-4bab-8162-f94ef2894562/e0c83707-3358-47a9-94d7-508221dad233</x:v>
      </x:c>
      <x:c r="AK450" s="18" t="str">
        <x:v>OCR Windows es-ES sobre PDF oficial</x:v>
      </x:c>
      <x:c r="AL450" s="18" t="n">
        <x:v>100</x:v>
      </x:c>
      <x:c r="AM450" s="18" t="str">
        <x:v>Alta</x:v>
      </x:c>
      <x:c r="AN450" s="18" t="str">
        <x:v>Regla jurídica determinista</x:v>
      </x:c>
      <x:c r="AO450" s="18" t="str">
        <x:v>2026_conv2025_rojo_A-P12</x:v>
      </x:c>
      <x:c r="AP450" s="18" t="n">
        <x:v>1</x:v>
      </x:c>
    </x:row>
    <x:row r="451">
      <x:c r="A451" s="18" t="str">
        <x:v>2026_conv2025_rojo_A-P13</x:v>
      </x:c>
      <x:c r="B451" s="18" t="n">
        <x:v>2026</x:v>
      </x:c>
      <x:c r="C451" s="18" t="n">
        <x:v>2025</x:v>
      </x:c>
      <x:c r="D451" s="28" t="n">
        <x:v>46201</x:v>
      </x:c>
      <x:c r="E451" s="18" t="str">
        <x:v>Acceso libre</x:v>
      </x:c>
      <x:c r="F451" s="18" t="str">
        <x:v>Segunda parte</x:v>
      </x:c>
      <x:c r="G451" s="18" t="str">
        <x:v>Rojo A</x:v>
      </x:c>
      <x:c r="H451" s="18" t="str">
        <x:v>Rojo/Verde A/B</x:v>
      </x:c>
      <x:c r="I451" s="18" t="str">
        <x:v>Sí</x:v>
      </x:c>
      <x:c r="J451" s="18" t="str">
        <x:v>Los colores y modelos reproducen el mismo conjunto de preguntas con orden y/o opciones permutados; Rojo A es la variante canónica para frecuencias y Verde A se conserva como control de cobertura.</x:v>
      </x:c>
      <x:c r="K451" s="18" t="n">
        <x:v>13</x:v>
      </x:c>
      <x:c r="L451" s="18" t="str">
        <x:v>No</x:v>
      </x:c>
      <x:c r="M451" s="18" t="str">
        <x:v>¿Puede en este año 2026, Dña. Nati Robles, sustituir excepcionalmente la pensión vitalicia por incapacidad permanente total por una indemnización a tanto alzado?</x:v>
      </x:c>
      <x:c r="N451" s="18" t="str">
        <x:v>No, porque es una excepción no prevista en el artículo 196 del texto refundido de la Ley General de la Seguridad Social.</x:v>
      </x:c>
      <x:c r="O451" s="18" t="str">
        <x:v>No, porque únicamente se permite esta opción a los menores de 55 años.</x:v>
      </x:c>
      <x:c r="P451" s="18" t="str">
        <x:v>Sí, porque el artículo 196 del texto refundido de la Ley General de la Seguridad Social no establece ningún límite de edad, si cumple el resto de los requisitos establecidos.</x:v>
      </x:c>
      <x:c r="Q451" s="18" t="str">
        <x:v>Sí, porque es menor de 60 de años, si cumple el resto de los requisitos establecidos.</x:v>
      </x:c>
      <x:c r="R451" s="18" t="str">
        <x:v>S08</x:v>
      </x:c>
      <x:c r="S451" s="18" t="n">
        <x:v>8</x:v>
      </x:c>
      <x:c r="T451" s="18" t="str">
        <x:v>Temario específico Seguridad Social</x:v>
      </x:c>
      <x:c r="U451" s="18" t="str">
        <x:v>Incapacidad temporal: concepto y causas que motivan esta situación. Beneficiarios. Prestación económica: determinación y cuantía. Nacimiento, duración y extinción del derecho al subsidio. Reconocimiento y pago. Control de la incapacidad. Incapacidad permanente contributiva: concepto. Grados de incapacidad. Prestaciones. Determinación y cuantía. Beneficiarios. Nacimiento, duración y extinción del derecho. Lesiones permanentes no incapacitantes. La calificación y revisión de la incapacidad permanente.</x:v>
      </x:c>
      <x:c r="V451" s="18" t="str">
        <x:v>incapacidad permanente</x:v>
      </x:c>
      <x:c r="W451" s="18" t="str"/>
      <x:c r="X451" s="18" t="str"/>
      <x:c r="Y451" s="18" t="str">
        <x:v>Incapacidad</x:v>
      </x:c>
      <x:c r="Z451" s="18" t="str">
        <x:v>Alta</x:v>
      </x:c>
      <x:c r="AA451" s="18" t="str">
        <x:v>incapacidad permanente</x:v>
      </x:c>
      <x:c r="AB451" s="18" t="str"/>
      <x:c r="AC451" s="18" t="str"/>
      <x:c r="AD451" s="18" t="str">
        <x:v>No</x:v>
      </x:c>
      <x:c r="AE451" s="18" t="str">
        <x:v>Práctico</x:v>
      </x:c>
      <x:c r="AF451" s="18" t="str">
        <x:v>D</x:v>
      </x:c>
      <x:c r="AG451" s="18" t="str">
        <x:v>D</x:v>
      </x:c>
      <x:c r="AH451" s="18" t="str">
        <x:v>Válida</x:v>
      </x:c>
      <x:c r="AI451" s="18" t="str">
        <x:v>01. Información oficial de la oposición\Exámenes oficiales anteriores\2026 Convocatoria 2025 - Acceso libre Rojo A.pdf</x:v>
      </x:c>
      <x:c r="AJ451" s="18" t="str">
        <x:v>https://www.seg-social.es/wps/portal/wss/internet/InformacionUtil/9950/88beb45d-ca83-4bab-8162-f94ef2894562/e0c83707-3358-47a9-94d7-508221dad233</x:v>
      </x:c>
      <x:c r="AK451" s="18" t="str">
        <x:v>OCR Windows es-ES sobre PDF oficial</x:v>
      </x:c>
      <x:c r="AL451" s="18" t="n">
        <x:v>100</x:v>
      </x:c>
      <x:c r="AM451" s="18" t="str">
        <x:v>Alta</x:v>
      </x:c>
      <x:c r="AN451" s="18" t="str">
        <x:v>Regla jurídica determinista</x:v>
      </x:c>
      <x:c r="AO451" s="18" t="str">
        <x:v>2026_conv2025_rojo_A-P13</x:v>
      </x:c>
      <x:c r="AP451" s="18" t="n">
        <x:v>1</x:v>
      </x:c>
    </x:row>
    <x:row r="452">
      <x:c r="A452" s="18" t="str">
        <x:v>2026_conv2025_rojo_A-P14</x:v>
      </x:c>
      <x:c r="B452" s="18" t="n">
        <x:v>2026</x:v>
      </x:c>
      <x:c r="C452" s="18" t="n">
        <x:v>2025</x:v>
      </x:c>
      <x:c r="D452" s="28" t="n">
        <x:v>46201</x:v>
      </x:c>
      <x:c r="E452" s="18" t="str">
        <x:v>Acceso libre</x:v>
      </x:c>
      <x:c r="F452" s="18" t="str">
        <x:v>Segunda parte</x:v>
      </x:c>
      <x:c r="G452" s="18" t="str">
        <x:v>Rojo A</x:v>
      </x:c>
      <x:c r="H452" s="18" t="str">
        <x:v>Rojo/Verde A/B</x:v>
      </x:c>
      <x:c r="I452" s="18" t="str">
        <x:v>Sí</x:v>
      </x:c>
      <x:c r="J452" s="18" t="str">
        <x:v>Los colores y modelos reproducen el mismo conjunto de preguntas con orden y/o opciones permutados; Rojo A es la variante canónica para frecuencias y Verde A se conserva como control de cobertura.</x:v>
      </x:c>
      <x:c r="K452" s="18" t="n">
        <x:v>14</x:v>
      </x:c>
      <x:c r="L452" s="18" t="str">
        <x:v>No</x:v>
      </x:c>
      <x:c r="M452" s="18" t="str">
        <x:v>Indique cuál ha sido el periodo de cotización mínimo que ha tenido que reunir Dña. Nati Robles para tener derecho a la prestación de incapacidad permanente total:</x:v>
      </x:c>
      <x:c r="N452" s="18" t="str">
        <x:v>La cuarta parte del tiempo transcurrido entre la fecha en que cumplió los veinte años y la del hecho causante de la pensión, con un mínimo, en todo caso, de cinco años; al menos la quinta parte del período de cotización exigible ha tenido que estar comprendida entre los diez años inmediatamente anteriores al hecho causante.</x:v>
      </x:c>
      <x:c r="O452" s="18" t="str">
        <x:v>La tercera parte del tiempo transcurrido entre la fecha en que cumplió los dieciséis años y la del hecho causante de la pensión.</x:v>
      </x:c>
      <x:c r="P452" s="18" t="str">
        <x:v>La tercera parte del tiempo transcurrido entre la fecha en que cumplió los veinte años y la del hecho causante de la pensión, con un mínimo, en todo caso, de cinco años; al menos la quinta parte del período de cotización exigible ha tenido que estar comprendida entre los diez años inmediatamente anteriores al hecho causante.</x:v>
      </x:c>
      <x:c r="Q452" s="18" t="str">
        <x:v>La quinta parte del tiempo transcurrido entre la fecha en que cumplió los veinte años y la del hecho causante de la pensión. La empresa "Tesifonte Ovejero, S.L.", en eI año 2025 ha tenido una disminución de ingresos por lo que reuniendo las condiciones del artículo 51 de la Ley del Estatuto de los Trabajadores, aprobado por Real Decreto Legislativo 2/2015, de 23 de octubre, ha practicado un despido colectivo. D. Leonardo Meléndez, que ha nacido en el año 1.961, se encuentra entre los afectados por el despido colectivo y desea jubilarse este año 2026. Dña. Rosa Antofagasta, que ha nacido en 1.964 y acredita 39 años cotizados, todos ellos en el Régimen General, entre la empresa "Tesifonte Ovejero, S.L." y otras empresas, también se encuentra afectada por este despido colectivo. La empresa "Tesifonte Ovejero, S.L." no Ie ha abonado la indemnización que le corresponde por eI despido.</x:v>
      </x:c>
      <x:c r="R452" s="18" t="str">
        <x:v>S08</x:v>
      </x:c>
      <x:c r="S452" s="18" t="n">
        <x:v>8</x:v>
      </x:c>
      <x:c r="T452" s="18" t="str">
        <x:v>Temario específico Seguridad Social</x:v>
      </x:c>
      <x:c r="U452" s="18" t="str">
        <x:v>Incapacidad temporal: concepto y causas que motivan esta situación. Beneficiarios. Prestación económica: determinación y cuantía. Nacimiento, duración y extinción del derecho al subsidio. Reconocimiento y pago. Control de la incapacidad. Incapacidad permanente contributiva: concepto. Grados de incapacidad. Prestaciones. Determinación y cuantía. Beneficiarios. Nacimiento, duración y extinción del derecho. Lesiones permanentes no incapacitantes. La calificación y revisión de la incapacidad permanente.</x:v>
      </x:c>
      <x:c r="V452" s="18" t="str">
        <x:v>incapacidad permanente</x:v>
      </x:c>
      <x:c r="W452" s="18" t="str"/>
      <x:c r="X452" s="18" t="str"/>
      <x:c r="Y452" s="18" t="str">
        <x:v>Personas beneficiarias</x:v>
      </x:c>
      <x:c r="Z452" s="18" t="str">
        <x:v>Media</x:v>
      </x:c>
      <x:c r="AA452" s="18" t="str">
        <x:v>incapacidad permanente</x:v>
      </x:c>
      <x:c r="AB452" s="18" t="str"/>
      <x:c r="AC452" s="18" t="str"/>
      <x:c r="AD452" s="18" t="str">
        <x:v>No</x:v>
      </x:c>
      <x:c r="AE452" s="18" t="str">
        <x:v>Práctico</x:v>
      </x:c>
      <x:c r="AF452" s="18" t="str">
        <x:v>A</x:v>
      </x:c>
      <x:c r="AG452" s="18" t="str">
        <x:v>A</x:v>
      </x:c>
      <x:c r="AH452" s="18" t="str">
        <x:v>Válida</x:v>
      </x:c>
      <x:c r="AI452" s="18" t="str">
        <x:v>01. Información oficial de la oposición\Exámenes oficiales anteriores\2026 Convocatoria 2025 - Acceso libre Rojo A.pdf</x:v>
      </x:c>
      <x:c r="AJ452" s="18" t="str">
        <x:v>https://www.seg-social.es/wps/portal/wss/internet/InformacionUtil/9950/88beb45d-ca83-4bab-8162-f94ef2894562/e0c83707-3358-47a9-94d7-508221dad233</x:v>
      </x:c>
      <x:c r="AK452" s="18" t="str">
        <x:v>OCR Windows es-ES sobre PDF oficial</x:v>
      </x:c>
      <x:c r="AL452" s="18" t="n">
        <x:v>100</x:v>
      </x:c>
      <x:c r="AM452" s="18" t="str">
        <x:v>Alta</x:v>
      </x:c>
      <x:c r="AN452" s="18" t="str">
        <x:v>Regla jurídica determinista</x:v>
      </x:c>
      <x:c r="AO452" s="18" t="str">
        <x:v>2026_conv2025_rojo_A-P14</x:v>
      </x:c>
      <x:c r="AP452" s="18" t="n">
        <x:v>1</x:v>
      </x:c>
    </x:row>
    <x:row r="453">
      <x:c r="A453" s="18" t="str">
        <x:v>2026_conv2025_rojo_A-P15</x:v>
      </x:c>
      <x:c r="B453" s="18" t="n">
        <x:v>2026</x:v>
      </x:c>
      <x:c r="C453" s="18" t="n">
        <x:v>2025</x:v>
      </x:c>
      <x:c r="D453" s="28" t="n">
        <x:v>46201</x:v>
      </x:c>
      <x:c r="E453" s="18" t="str">
        <x:v>Acceso libre</x:v>
      </x:c>
      <x:c r="F453" s="18" t="str">
        <x:v>Segunda parte</x:v>
      </x:c>
      <x:c r="G453" s="18" t="str">
        <x:v>Rojo A</x:v>
      </x:c>
      <x:c r="H453" s="18" t="str">
        <x:v>Rojo/Verde A/B</x:v>
      </x:c>
      <x:c r="I453" s="18" t="str">
        <x:v>Sí</x:v>
      </x:c>
      <x:c r="J453" s="18" t="str">
        <x:v>Los colores y modelos reproducen el mismo conjunto de preguntas con orden y/o opciones permutados; Rojo A es la variante canónica para frecuencias y Verde A se conserva como control de cobertura.</x:v>
      </x:c>
      <x:c r="K453" s="18" t="n">
        <x:v>15</x:v>
      </x:c>
      <x:c r="L453" s="18" t="str">
        <x:v>No</x:v>
      </x:c>
      <x:c r="M453" s="18" t="str">
        <x:v>¿La falta de ingreso de la indemnización por el despido colectivo Ie puede impedir a Dña. Rosa Antofagasta acceder a la posibilidad de jubilarse anticipadamente por causa no imputable al trabajador?:</x:v>
      </x:c>
      <x:c r="N453" s="18" t="str">
        <x:v>No, siempre que acredite haber interpuesto demanda judicial en reclamación de dicha indemnización.</x:v>
      </x:c>
      <x:c r="O453" s="18" t="str">
        <x:v>Sí, porque exclusivamente se puede acreditar eI cumplimiento de este requisito aportando la justificación de la transferencia bancaria de la indemnización.</x:v>
      </x:c>
      <x:c r="P453" s="18" t="str">
        <x:v>No, porque no es un requisito para acceder a esta modalidad de jubilación.</x:v>
      </x:c>
      <x:c r="Q453" s="18" t="str">
        <x:v>No, siempre que conste la declaración verbal del trabajador.</x:v>
      </x:c>
      <x:c r="R453" s="18" t="str">
        <x:v>S10</x:v>
      </x:c>
      <x:c r="S453" s="18" t="n">
        <x:v>10</x:v>
      </x:c>
      <x:c r="T453" s="18" t="str">
        <x:v>Temario específico Seguridad Social</x:v>
      </x:c>
      <x:c r="U453" s="18" t="str">
        <x:v>Jubilación en la modalidad contributiva: concepto. Jubilación ordinaria: requisitos: especial referencia a la edad de jubilación. Determinación de la cuantía de la prestación: base reguladora y porcentaje. Jubilación anticipada, jubilación parcial y jubilación flexible. Compatibilidad de la pensión de jubilación y el trabajo. Suspensión y extinción de la prestación. Especial referencia a la aplicación de la normativa anterior a la Ley 27/2011.</x:v>
      </x:c>
      <x:c r="V453" s="18" t="str">
        <x:v>S10</x:v>
      </x:c>
      <x:c r="W453" s="18" t="str"/>
      <x:c r="X453" s="18" t="str"/>
      <x:c r="Y453" s="18" t="str">
        <x:v>Jubilación</x:v>
      </x:c>
      <x:c r="Z453" s="18" t="str">
        <x:v>Media</x:v>
      </x:c>
      <x:c r="AA453" s="18" t="str">
        <x:v>S10</x:v>
      </x:c>
      <x:c r="AB453" s="18" t="str"/>
      <x:c r="AC453" s="18" t="str"/>
      <x:c r="AD453" s="18" t="str">
        <x:v>No</x:v>
      </x:c>
      <x:c r="AE453" s="18" t="str">
        <x:v>Práctico</x:v>
      </x:c>
      <x:c r="AF453" s="18" t="str">
        <x:v>A</x:v>
      </x:c>
      <x:c r="AG453" s="18" t="str">
        <x:v>A</x:v>
      </x:c>
      <x:c r="AH453" s="18" t="str">
        <x:v>Válida</x:v>
      </x:c>
      <x:c r="AI453" s="18" t="str">
        <x:v>01. Información oficial de la oposición\Exámenes oficiales anteriores\2026 Convocatoria 2025 - Acceso libre Rojo A.pdf</x:v>
      </x:c>
      <x:c r="AJ453" s="18" t="str">
        <x:v>https://www.seg-social.es/wps/portal/wss/internet/InformacionUtil/9950/88beb45d-ca83-4bab-8162-f94ef2894562/e0c83707-3358-47a9-94d7-508221dad233</x:v>
      </x:c>
      <x:c r="AK453" s="18" t="str">
        <x:v>OCR Windows es-ES sobre PDF oficial</x:v>
      </x:c>
      <x:c r="AL453" s="18" t="n">
        <x:v>100</x:v>
      </x:c>
      <x:c r="AM453" s="18" t="str">
        <x:v>Alta</x:v>
      </x:c>
      <x:c r="AN453" s="18" t="str">
        <x:v>Regla jurídica determinista</x:v>
      </x:c>
      <x:c r="AO453" s="18" t="str">
        <x:v>2026_conv2025_rojo_A-P15</x:v>
      </x:c>
      <x:c r="AP453" s="18" t="n">
        <x:v>1</x:v>
      </x:c>
    </x:row>
    <x:row r="454">
      <x:c r="A454" s="18" t="str">
        <x:v>2026_conv2025_rojo_A-P16</x:v>
      </x:c>
      <x:c r="B454" s="18" t="n">
        <x:v>2026</x:v>
      </x:c>
      <x:c r="C454" s="18" t="n">
        <x:v>2025</x:v>
      </x:c>
      <x:c r="D454" s="28" t="n">
        <x:v>46201</x:v>
      </x:c>
      <x:c r="E454" s="18" t="str">
        <x:v>Acceso libre</x:v>
      </x:c>
      <x:c r="F454" s="18" t="str">
        <x:v>Segunda parte</x:v>
      </x:c>
      <x:c r="G454" s="18" t="str">
        <x:v>Rojo A</x:v>
      </x:c>
      <x:c r="H454" s="18" t="str">
        <x:v>Rojo/Verde A/B</x:v>
      </x:c>
      <x:c r="I454" s="18" t="str">
        <x:v>Sí</x:v>
      </x:c>
      <x:c r="J454" s="18" t="str">
        <x:v>Los colores y modelos reproducen el mismo conjunto de preguntas con orden y/o opciones permutados; Rojo A es la variante canónica para frecuencias y Verde A se conserva como control de cobertura.</x:v>
      </x:c>
      <x:c r="K454" s="18" t="n">
        <x:v>16</x:v>
      </x:c>
      <x:c r="L454" s="18" t="str">
        <x:v>Sí</x:v>
      </x:c>
      <x:c r="M454" s="18" t="str">
        <x:v>¿Reúne Dña. Rosa Antofagasta el requisito de edad que establece el artículo 207 del texto refundido de la Ley General de la Seguridad Social para poderse jubilar anticipadamente por causa no imputable a la trabajadora?</x:v>
      </x:c>
      <x:c r="N454" s="18" t="str">
        <x:v>No, porque tiene una edad superior a los 60 años.</x:v>
      </x:c>
      <x:c r="O454" s="18" t="str">
        <x:v>Sí, porque esta disposición no establece límite de edad.</x:v>
      </x:c>
      <x:c r="P454" s="18" t="str">
        <x:v>No, por tener una edad inferior en 63 años.</x:v>
      </x:c>
      <x:c r="Q454" s="18" t="str">
        <x:v>Sí, porque tiene una edad inferior en cuatro años como máximo de la edad establecida en el artículo 205 del texto refundido de la Ley General de la Seguridad Social.</x:v>
      </x:c>
      <x:c r="R454" s="18" t="str">
        <x:v>S10</x:v>
      </x:c>
      <x:c r="S454" s="18" t="n">
        <x:v>10</x:v>
      </x:c>
      <x:c r="T454" s="18" t="str">
        <x:v>Temario específico Seguridad Social</x:v>
      </x:c>
      <x:c r="U454" s="18" t="str">
        <x:v>Jubilación en la modalidad contributiva: concepto. Jubilación ordinaria: requisitos: especial referencia a la edad de jubilación. Determinación de la cuantía de la prestación: base reguladora y porcentaje. Jubilación anticipada, jubilación parcial y jubilación flexible. Compatibilidad de la pensión de jubilación y el trabajo. Suspensión y extinción de la prestación. Especial referencia a la aplicación de la normativa anterior a la Ley 27/2011.</x:v>
      </x:c>
      <x:c r="V454" s="18" t="str">
        <x:v>S10</x:v>
      </x:c>
      <x:c r="W454" s="18" t="str">
        <x:v>texto refundido de la Ley General de la Seguridad Social</x:v>
      </x:c>
      <x:c r="X454" s="18" t="str">
        <x:v>207</x:v>
      </x:c>
      <x:c r="Y454" s="18" t="str">
        <x:v>Requisitos</x:v>
      </x:c>
      <x:c r="Z454" s="18" t="str">
        <x:v>Alta</x:v>
      </x:c>
      <x:c r="AA454" s="18" t="str">
        <x:v>S10</x:v>
      </x:c>
      <x:c r="AB454" s="18" t="str"/>
      <x:c r="AC454" s="18" t="str"/>
      <x:c r="AD454" s="18" t="str">
        <x:v>No</x:v>
      </x:c>
      <x:c r="AE454" s="18" t="str">
        <x:v>Práctico</x:v>
      </x:c>
      <x:c r="AF454" s="18" t="str">
        <x:v>D</x:v>
      </x:c>
      <x:c r="AG454" s="18" t="str">
        <x:v>D</x:v>
      </x:c>
      <x:c r="AH454" s="18" t="str">
        <x:v>Válida</x:v>
      </x:c>
      <x:c r="AI454" s="18" t="str">
        <x:v>01. Información oficial de la oposición\Exámenes oficiales anteriores\2026 Convocatoria 2025 - Acceso libre Rojo A.pdf</x:v>
      </x:c>
      <x:c r="AJ454" s="18" t="str">
        <x:v>https://www.seg-social.es/wps/portal/wss/internet/InformacionUtil/9950/88beb45d-ca83-4bab-8162-f94ef2894562/e0c83707-3358-47a9-94d7-508221dad233</x:v>
      </x:c>
      <x:c r="AK454" s="18" t="str">
        <x:v>OCR Windows es-ES sobre PDF oficial</x:v>
      </x:c>
      <x:c r="AL454" s="18" t="n">
        <x:v>100</x:v>
      </x:c>
      <x:c r="AM454" s="18" t="str">
        <x:v>Alta</x:v>
      </x:c>
      <x:c r="AN454" s="18" t="str">
        <x:v>Regla jurídica determinista</x:v>
      </x:c>
      <x:c r="AO454" s="18" t="str">
        <x:v>2026_conv2025_rojo_A-P16</x:v>
      </x:c>
      <x:c r="AP454" s="18" t="n">
        <x:v>1</x:v>
      </x:c>
    </x:row>
    <x:row r="455">
      <x:c r="A455" s="18" t="str">
        <x:v>2026_conv2025_rojo_A-P17</x:v>
      </x:c>
      <x:c r="B455" s="18" t="n">
        <x:v>2026</x:v>
      </x:c>
      <x:c r="C455" s="18" t="n">
        <x:v>2025</x:v>
      </x:c>
      <x:c r="D455" s="28" t="n">
        <x:v>46201</x:v>
      </x:c>
      <x:c r="E455" s="18" t="str">
        <x:v>Acceso libre</x:v>
      </x:c>
      <x:c r="F455" s="18" t="str">
        <x:v>Segunda parte</x:v>
      </x:c>
      <x:c r="G455" s="18" t="str">
        <x:v>Rojo A</x:v>
      </x:c>
      <x:c r="H455" s="18" t="str">
        <x:v>Rojo/Verde A/B</x:v>
      </x:c>
      <x:c r="I455" s="18" t="str">
        <x:v>Sí</x:v>
      </x:c>
      <x:c r="J455" s="18" t="str">
        <x:v>Los colores y modelos reproducen el mismo conjunto de preguntas con orden y/o opciones permutados; Rojo A es la variante canónica para frecuencias y Verde A se conserva como control de cobertura.</x:v>
      </x:c>
      <x:c r="K455" s="18" t="n">
        <x:v>17</x:v>
      </x:c>
      <x:c r="L455" s="18" t="str">
        <x:v>Sí</x:v>
      </x:c>
      <x:c r="M455" s="18" t="str">
        <x:v>Si Dña. Rosa Antofagasta solicita su pensión de jubilación el día 9 de junio de 2026 y por tanto este día se considerará como el día del hecho causante, indique los meses cuyas bases de cotización se computan a su valor nominal:</x:v>
      </x:c>
      <x:c r="N455" s="18" t="str">
        <x:v>Junio 2024 a mayo 2026.</x:v>
      </x:c>
      <x:c r="O455" s="18" t="str">
        <x:v>Mayo 2024 a abril 2026.</x:v>
      </x:c>
      <x:c r="P455" s="18" t="str">
        <x:v>Julio 2024 a junio 2026.</x:v>
      </x:c>
      <x:c r="Q455" s="18" t="str">
        <x:v>Mayo 2025 a abril 2026.</x:v>
      </x:c>
      <x:c r="R455" s="18" t="str">
        <x:v>S10</x:v>
      </x:c>
      <x:c r="S455" s="18" t="n">
        <x:v>10</x:v>
      </x:c>
      <x:c r="T455" s="18" t="str">
        <x:v>Temario específico Seguridad Social</x:v>
      </x:c>
      <x:c r="U455" s="18" t="str">
        <x:v>Jubilación en la modalidad contributiva: concepto. Jubilación ordinaria: requisitos: especial referencia a la edad de jubilación. Determinación de la cuantía de la prestación: base reguladora y porcentaje. Jubilación anticipada, jubilación parcial y jubilación flexible. Compatibilidad de la pensión de jubilación y el trabajo. Suspensión y extinción de la prestación. Especial referencia a la aplicación de la normativa anterior a la Ley 27/2011.</x:v>
      </x:c>
      <x:c r="V455" s="18" t="str">
        <x:v>jubilación</x:v>
      </x:c>
      <x:c r="W455" s="18" t="str"/>
      <x:c r="X455" s="18" t="str"/>
      <x:c r="Y455" s="18" t="str">
        <x:v>Plazos</x:v>
      </x:c>
      <x:c r="Z455" s="18" t="str">
        <x:v>Alta</x:v>
      </x:c>
      <x:c r="AA455" s="18" t="str">
        <x:v>jubilación</x:v>
      </x:c>
      <x:c r="AB455" s="18" t="str"/>
      <x:c r="AC455" s="18" t="str"/>
      <x:c r="AD455" s="18" t="str">
        <x:v>No</x:v>
      </x:c>
      <x:c r="AE455" s="18" t="str">
        <x:v>Práctico</x:v>
      </x:c>
      <x:c r="AF455" s="18" t="str">
        <x:v>B</x:v>
      </x:c>
      <x:c r="AG455" s="18" t="str">
        <x:v>B</x:v>
      </x:c>
      <x:c r="AH455" s="18" t="str">
        <x:v>Válida</x:v>
      </x:c>
      <x:c r="AI455" s="18" t="str">
        <x:v>01. Información oficial de la oposición\Exámenes oficiales anteriores\2026 Convocatoria 2025 - Acceso libre Rojo A.pdf</x:v>
      </x:c>
      <x:c r="AJ455" s="18" t="str">
        <x:v>https://www.seg-social.es/wps/portal/wss/internet/InformacionUtil/9950/88beb45d-ca83-4bab-8162-f94ef2894562/e0c83707-3358-47a9-94d7-508221dad233</x:v>
      </x:c>
      <x:c r="AK455" s="18" t="str">
        <x:v>OCR Windows es-ES sobre PDF oficial</x:v>
      </x:c>
      <x:c r="AL455" s="18" t="n">
        <x:v>100</x:v>
      </x:c>
      <x:c r="AM455" s="18" t="str">
        <x:v>Alta</x:v>
      </x:c>
      <x:c r="AN455" s="18" t="str">
        <x:v>Regla jurídica determinista</x:v>
      </x:c>
      <x:c r="AO455" s="18" t="str">
        <x:v>2026_conv2025_rojo_A-P17</x:v>
      </x:c>
      <x:c r="AP455" s="18" t="n">
        <x:v>1</x:v>
      </x:c>
    </x:row>
    <x:row r="456">
      <x:c r="A456" s="18" t="str">
        <x:v>2026_conv2025_rojo_A-P18</x:v>
      </x:c>
      <x:c r="B456" s="18" t="n">
        <x:v>2026</x:v>
      </x:c>
      <x:c r="C456" s="18" t="n">
        <x:v>2025</x:v>
      </x:c>
      <x:c r="D456" s="28" t="n">
        <x:v>46201</x:v>
      </x:c>
      <x:c r="E456" s="18" t="str">
        <x:v>Acceso libre</x:v>
      </x:c>
      <x:c r="F456" s="18" t="str">
        <x:v>Segunda parte</x:v>
      </x:c>
      <x:c r="G456" s="18" t="str">
        <x:v>Rojo A</x:v>
      </x:c>
      <x:c r="H456" s="18" t="str">
        <x:v>Rojo/Verde A/B</x:v>
      </x:c>
      <x:c r="I456" s="18" t="str">
        <x:v>Sí</x:v>
      </x:c>
      <x:c r="J456" s="18" t="str">
        <x:v>Los colores y modelos reproducen el mismo conjunto de preguntas con orden y/o opciones permutados; Rojo A es la variante canónica para frecuencias y Verde A se conserva como control de cobertura.</x:v>
      </x:c>
      <x:c r="K456" s="18" t="n">
        <x:v>18</x:v>
      </x:c>
      <x:c r="L456" s="18" t="str">
        <x:v>Sí</x:v>
      </x:c>
      <x:c r="M456" s="18" t="str">
        <x:v>¿Cuántos años deberá de tener cotizados D. Leonardo Meléndez, para poderse jubilar con 65 años, según la Disposición transitoria séptima del texto refundido de la Ley General de la Seguridad Social?</x:v>
      </x:c>
      <x:c r="N456" s="18" t="str">
        <x:v>38 0 más años.</x:v>
      </x:c>
      <x:c r="O456" s="18" t="str">
        <x:v>37 años y 9 meses o más.</x:v>
      </x:c>
      <x:c r="P456" s="18" t="str">
        <x:v>38 años y tres meses o más.</x:v>
      </x:c>
      <x:c r="Q456" s="18" t="str">
        <x:v>38 años y seis meses o más.</x:v>
      </x:c>
      <x:c r="R456" s="18" t="str">
        <x:v>S10</x:v>
      </x:c>
      <x:c r="S456" s="18" t="n">
        <x:v>10</x:v>
      </x:c>
      <x:c r="T456" s="18" t="str">
        <x:v>Temario específico Seguridad Social</x:v>
      </x:c>
      <x:c r="U456" s="18" t="str">
        <x:v>Jubilación en la modalidad contributiva: concepto. Jubilación ordinaria: requisitos: especial referencia a la edad de jubilación. Determinación de la cuantía de la prestación: base reguladora y porcentaje. Jubilación anticipada, jubilación parcial y jubilación flexible. Compatibilidad de la pensión de jubilación y el trabajo. Suspensión y extinción de la prestación. Especial referencia a la aplicación de la normativa anterior a la Ley 27/2011.</x:v>
      </x:c>
      <x:c r="V456" s="18" t="str">
        <x:v>S10</x:v>
      </x:c>
      <x:c r="W456" s="18" t="str">
        <x:v>texto refundido de la Ley General de la Seguridad Social</x:v>
      </x:c>
      <x:c r="X456" s="18" t="str"/>
      <x:c r="Y456" s="18" t="str">
        <x:v>Jubilación</x:v>
      </x:c>
      <x:c r="Z456" s="18" t="str">
        <x:v>Alta</x:v>
      </x:c>
      <x:c r="AA456" s="18" t="str">
        <x:v>S10</x:v>
      </x:c>
      <x:c r="AB456" s="18" t="str"/>
      <x:c r="AC456" s="18" t="str">
        <x:v>65 años</x:v>
      </x:c>
      <x:c r="AD456" s="18" t="str">
        <x:v>No</x:v>
      </x:c>
      <x:c r="AE456" s="18" t="str">
        <x:v>Práctico</x:v>
      </x:c>
      <x:c r="AF456" s="18" t="str">
        <x:v>C</x:v>
      </x:c>
      <x:c r="AG456" s="18" t="str">
        <x:v>C</x:v>
      </x:c>
      <x:c r="AH456" s="18" t="str">
        <x:v>Válida</x:v>
      </x:c>
      <x:c r="AI456" s="18" t="str">
        <x:v>01. Información oficial de la oposición\Exámenes oficiales anteriores\2026 Convocatoria 2025 - Acceso libre Rojo A.pdf</x:v>
      </x:c>
      <x:c r="AJ456" s="18" t="str">
        <x:v>https://www.seg-social.es/wps/portal/wss/internet/InformacionUtil/9950/88beb45d-ca83-4bab-8162-f94ef2894562/e0c83707-3358-47a9-94d7-508221dad233</x:v>
      </x:c>
      <x:c r="AK456" s="18" t="str">
        <x:v>OCR Windows es-ES sobre PDF oficial</x:v>
      </x:c>
      <x:c r="AL456" s="18" t="n">
        <x:v>100</x:v>
      </x:c>
      <x:c r="AM456" s="18" t="str">
        <x:v>Alta</x:v>
      </x:c>
      <x:c r="AN456" s="18" t="str">
        <x:v>Regla jurídica determinista</x:v>
      </x:c>
      <x:c r="AO456" s="18" t="str">
        <x:v>2026_conv2025_rojo_A-P18</x:v>
      </x:c>
      <x:c r="AP456" s="18" t="n">
        <x:v>1</x:v>
      </x:c>
    </x:row>
    <x:row r="457">
      <x:c r="A457" s="18" t="str">
        <x:v>2026_conv2025_verde_A-T01</x:v>
      </x:c>
      <x:c r="B457" s="18" t="n">
        <x:v>2026</x:v>
      </x:c>
      <x:c r="C457" s="18" t="n">
        <x:v>2025</x:v>
      </x:c>
      <x:c r="D457" s="28" t="n">
        <x:v>46201</x:v>
      </x:c>
      <x:c r="E457" s="18" t="str">
        <x:v>Acceso libre</x:v>
      </x:c>
      <x:c r="F457" s="18" t="str">
        <x:v>Primera parte</x:v>
      </x:c>
      <x:c r="G457" s="18" t="str">
        <x:v>Verde A</x:v>
      </x:c>
      <x:c r="H457" s="18" t="str">
        <x:v>Rojo/Verde A/B</x:v>
      </x:c>
      <x:c r="I457" s="18" t="str">
        <x:v>No</x:v>
      </x:c>
      <x:c r="J457" s="18" t="str">
        <x:v>Los colores y modelos reproducen el mismo conjunto de preguntas con orden y/o opciones permutados; Rojo A es la variante canónica para frecuencias y Verde A se conserva como control de cobertura.</x:v>
      </x:c>
      <x:c r="K457" s="18" t="n">
        <x:v>1</x:v>
      </x:c>
      <x:c r="L457" s="18" t="str">
        <x:v>No</x:v>
      </x:c>
      <x:c r="M457" s="18" t="str">
        <x:v>En relación con la configuración del expediente electrónico administrativo, regulada en el artículo 51 del Real Decreto 203/2021, de 30 de marzo, por eI que se aprueba eI Reglamento de actuación y funcionamiento del sector público por medios electrónicos, señale la respuesta correcta:</x:v>
      </x:c>
      <x:c r="N457" s="18" t="str">
        <x:v>EI foliado de los expedientes administrativos electrónicos se llevará a cabo mediante un Índice electrónico autenticado.</x:v>
      </x:c>
      <x:c r="O457" s="18" t="str">
        <x:v>Un mismo documento no podrá formar parte de distintos expedientes administrativos.</x:v>
      </x:c>
      <x:c r="P457" s="18" t="str">
        <x:v>EI índice electrónico autenticado será firmado por un funcionario del órgano que conforme eI expediente para su tramitación.</x:v>
      </x:c>
      <x:c r="Q457" s="18" t="str">
        <x:v>En ningún caso se formarán expedientes de manera automática.</x:v>
      </x:c>
      <x:c r="R457" s="18" t="str">
        <x:v>G23</x:v>
      </x:c>
      <x:c r="S457" s="18" t="n">
        <x:v>23</x:v>
      </x:c>
      <x:c r="T457" s="18" t="str">
        <x:v>Temario general</x:v>
      </x:c>
      <x:c r="U457" s="18" t="str">
        <x:v>El funcionamiento electrónico del sector público. Derecho y obligación de relacionarse electrónicamente con las Administraciones Públicas, registros y archivo electrónico.</x:v>
      </x:c>
      <x:c r="V457" s="18" t="str">
        <x:v>G23</x:v>
      </x:c>
      <x:c r="W457" s="18" t="str">
        <x:v>Real Decreto 203/2021</x:v>
      </x:c>
      <x:c r="X457" s="18" t="str">
        <x:v>51</x:v>
      </x:c>
      <x:c r="Y457" s="18" t="str">
        <x:v>Artículos literales</x:v>
      </x:c>
      <x:c r="Z457" s="18" t="str">
        <x:v>Media</x:v>
      </x:c>
      <x:c r="AA457" s="18" t="str">
        <x:v>G23</x:v>
      </x:c>
      <x:c r="AB457" s="18" t="str"/>
      <x:c r="AC457" s="18" t="str"/>
      <x:c r="AD457" s="18" t="str">
        <x:v>No</x:v>
      </x:c>
      <x:c r="AE457" s="18" t="str">
        <x:v>Teórico</x:v>
      </x:c>
      <x:c r="AF457" s="18" t="str">
        <x:v>A</x:v>
      </x:c>
      <x:c r="AG457" s="18" t="str">
        <x:v>A</x:v>
      </x:c>
      <x:c r="AH457" s="18" t="str">
        <x:v>Válida</x:v>
      </x:c>
      <x:c r="AI457" s="18" t="str">
        <x:v>01. Información oficial de la oposición\Exámenes oficiales anteriores\2026 Convocatoria 2025 - Acceso libre Verde A.pdf</x:v>
      </x:c>
      <x:c r="AJ457" s="18" t="str">
        <x:v>https://www.seg-social.es/wps/portal/wss/internet/InformacionUtil/9950/88beb45d-ca83-4bab-8162-f94ef2894562/e0c83707-3358-47a9-94d7-508221dad233</x:v>
      </x:c>
      <x:c r="AK457" s="18" t="str">
        <x:v>OCR Windows es-ES sobre PDF oficial</x:v>
      </x:c>
      <x:c r="AL457" s="18" t="n">
        <x:v>100</x:v>
      </x:c>
      <x:c r="AM457" s="18" t="str">
        <x:v>Alta</x:v>
      </x:c>
      <x:c r="AN457" s="18" t="str">
        <x:v>Regla jurídica determinista</x:v>
      </x:c>
      <x:c r="AO457" s="18" t="str">
        <x:v>2026_conv2025_rojo_A-T28</x:v>
      </x:c>
      <x:c r="AP457" s="18" t="n">
        <x:v>0.993</x:v>
      </x:c>
    </x:row>
    <x:row r="458">
      <x:c r="A458" s="18" t="str">
        <x:v>2026_conv2025_verde_A-T02</x:v>
      </x:c>
      <x:c r="B458" s="18" t="n">
        <x:v>2026</x:v>
      </x:c>
      <x:c r="C458" s="18" t="n">
        <x:v>2025</x:v>
      </x:c>
      <x:c r="D458" s="28" t="n">
        <x:v>46201</x:v>
      </x:c>
      <x:c r="E458" s="18" t="str">
        <x:v>Acceso libre</x:v>
      </x:c>
      <x:c r="F458" s="18" t="str">
        <x:v>Primera parte</x:v>
      </x:c>
      <x:c r="G458" s="18" t="str">
        <x:v>Verde A</x:v>
      </x:c>
      <x:c r="H458" s="18" t="str">
        <x:v>Rojo/Verde A/B</x:v>
      </x:c>
      <x:c r="I458" s="18" t="str">
        <x:v>No</x:v>
      </x:c>
      <x:c r="J458" s="18" t="str">
        <x:v>Los colores y modelos reproducen el mismo conjunto de preguntas con orden y/o opciones permutados; Rojo A es la variante canónica para frecuencias y Verde A se conserva como control de cobertura.</x:v>
      </x:c>
      <x:c r="K458" s="18" t="n">
        <x:v>2</x:v>
      </x:c>
      <x:c r="L458" s="18" t="str">
        <x:v>No</x:v>
      </x:c>
      <x:c r="M458" s="18" t="str">
        <x:v>Según establece eI artículo 6 de la ley 39/2015, de 1 de octubre, del Procedimiento Administrativo Común de las Administraciones Públicas, ¿cuál es el plazo máximo de validez por el que se puede otorgar un apoderamiento en el registro electrónico antes de su primera prórroga?</x:v>
      </x:c>
      <x:c r="N458" s="18" t="str">
        <x:v>5 años desde la fecha de inscripción.</x:v>
      </x:c>
      <x:c r="O458" s="18" t="str">
        <x:v>2 años desde la fecha de inscripción.</x:v>
      </x:c>
      <x:c r="P458" s="18" t="str">
        <x:v>3 años desde la fecha de inscripción.</x:v>
      </x:c>
      <x:c r="Q458" s="18" t="str">
        <x:v>Es indefinido, hasta que su revocación sea expresa.</x:v>
      </x:c>
      <x:c r="R458" s="18" t="str">
        <x:v>G16</x:v>
      </x:c>
      <x:c r="S458" s="18" t="n">
        <x:v>16</x:v>
      </x:c>
      <x:c r="T458" s="18" t="str">
        <x:v>Temario general</x:v>
      </x:c>
      <x:c r="U458" s="18" t="str">
        <x:v>El procedimiento administrativo común. La capacidad de obrar y el concepto de interesado. Representación. Identificación y firma de los interesados. Derechos del interesado en el procedimiento administrativo. Obligación de resolver y silencio administrativo. Términos y plazos.</x:v>
      </x:c>
      <x:c r="V458" s="18" t="str">
        <x:v>G16</x:v>
      </x:c>
      <x:c r="W458" s="18" t="str">
        <x:v>ley 39/2015</x:v>
      </x:c>
      <x:c r="X458" s="18" t="str">
        <x:v>6</x:v>
      </x:c>
      <x:c r="Y458" s="18" t="str">
        <x:v>Plazos</x:v>
      </x:c>
      <x:c r="Z458" s="18" t="str">
        <x:v>Media</x:v>
      </x:c>
      <x:c r="AA458" s="18" t="str">
        <x:v>G16</x:v>
      </x:c>
      <x:c r="AB458" s="18" t="str"/>
      <x:c r="AC458" s="18" t="str"/>
      <x:c r="AD458" s="18" t="str">
        <x:v>No</x:v>
      </x:c>
      <x:c r="AE458" s="18" t="str">
        <x:v>Teórico</x:v>
      </x:c>
      <x:c r="AF458" s="18" t="str">
        <x:v>A</x:v>
      </x:c>
      <x:c r="AG458" s="18" t="str">
        <x:v>A</x:v>
      </x:c>
      <x:c r="AH458" s="18" t="str">
        <x:v>Válida</x:v>
      </x:c>
      <x:c r="AI458" s="18" t="str">
        <x:v>01. Información oficial de la oposición\Exámenes oficiales anteriores\2026 Convocatoria 2025 - Acceso libre Verde A.pdf</x:v>
      </x:c>
      <x:c r="AJ458" s="18" t="str">
        <x:v>https://www.seg-social.es/wps/portal/wss/internet/InformacionUtil/9950/88beb45d-ca83-4bab-8162-f94ef2894562/e0c83707-3358-47a9-94d7-508221dad233</x:v>
      </x:c>
      <x:c r="AK458" s="18" t="str">
        <x:v>OCR Windows es-ES sobre PDF oficial</x:v>
      </x:c>
      <x:c r="AL458" s="18" t="n">
        <x:v>100</x:v>
      </x:c>
      <x:c r="AM458" s="18" t="str">
        <x:v>Alta</x:v>
      </x:c>
      <x:c r="AN458" s="18" t="str">
        <x:v>Revisión jurídica individual</x:v>
      </x:c>
      <x:c r="AO458" s="18" t="str">
        <x:v>2026_conv2025_rojo_A-T20</x:v>
      </x:c>
      <x:c r="AP458" s="18" t="n">
        <x:v>0.9964</x:v>
      </x:c>
    </x:row>
    <x:row r="459">
      <x:c r="A459" s="18" t="str">
        <x:v>2026_conv2025_verde_A-T03</x:v>
      </x:c>
      <x:c r="B459" s="18" t="n">
        <x:v>2026</x:v>
      </x:c>
      <x:c r="C459" s="18" t="n">
        <x:v>2025</x:v>
      </x:c>
      <x:c r="D459" s="28" t="n">
        <x:v>46201</x:v>
      </x:c>
      <x:c r="E459" s="18" t="str">
        <x:v>Acceso libre</x:v>
      </x:c>
      <x:c r="F459" s="18" t="str">
        <x:v>Primera parte</x:v>
      </x:c>
      <x:c r="G459" s="18" t="str">
        <x:v>Verde A</x:v>
      </x:c>
      <x:c r="H459" s="18" t="str">
        <x:v>Rojo/Verde A/B</x:v>
      </x:c>
      <x:c r="I459" s="18" t="str">
        <x:v>No</x:v>
      </x:c>
      <x:c r="J459" s="18" t="str">
        <x:v>Los colores y modelos reproducen el mismo conjunto de preguntas con orden y/o opciones permutados; Rojo A es la variante canónica para frecuencias y Verde A se conserva como control de cobertura.</x:v>
      </x:c>
      <x:c r="K459" s="18" t="n">
        <x:v>3</x:v>
      </x:c>
      <x:c r="L459" s="18" t="str">
        <x:v>No</x:v>
      </x:c>
      <x:c r="M459" s="18" t="str">
        <x:v>Cuando la Administración dispone de varios medios de ejecución forzosa legalmente admisibles, ¿qué criterio debe aplicar conforme al artículo 100 de la Ley 39/2015, de 1 de octubre, del Procedimiento Administrativo Común de las Administraciones Públicas?</x:v>
      </x:c>
      <x:c r="N459" s="18" t="str">
        <x:v>EI que garantice una mayor eficacia administrativa.</x:v>
      </x:c>
      <x:c r="O459" s="18" t="str">
        <x:v>EI medio menos restrictivo de la libertad individual.</x:v>
      </x:c>
      <x:c r="P459" s="18" t="str">
        <x:v>EI medio que permita una ejecución más rápida del acto.</x:v>
      </x:c>
      <x:c r="Q459" s="18" t="str">
        <x:v>EI apremio sobre el patrimonio, por ser el que Sitúa la Ley en primer lugar.</x:v>
      </x:c>
      <x:c r="R459" s="18" t="str">
        <x:v>G17</x:v>
      </x:c>
      <x:c r="S459" s="18" t="n">
        <x:v>17</x:v>
      </x:c>
      <x:c r="T459" s="18" t="str">
        <x:v>Temario general</x:v>
      </x:c>
      <x:c r="U459" s="18" t="str">
        <x:v>Las fases del procedimiento administrativo: Iniciación, ordenación, instrucción y finalización. La ejecución de los actos y resoluciones administrativas.</x:v>
      </x:c>
      <x:c r="V459" s="18" t="str">
        <x:v>G17</x:v>
      </x:c>
      <x:c r="W459" s="18" t="str">
        <x:v>Ley 39/2015</x:v>
      </x:c>
      <x:c r="X459" s="18" t="str">
        <x:v>100</x:v>
      </x:c>
      <x:c r="Y459" s="18" t="str">
        <x:v>Procedimientos</x:v>
      </x:c>
      <x:c r="Z459" s="18" t="str">
        <x:v>Media</x:v>
      </x:c>
      <x:c r="AA459" s="18" t="str">
        <x:v>G17</x:v>
      </x:c>
      <x:c r="AB459" s="18" t="str"/>
      <x:c r="AC459" s="18" t="str"/>
      <x:c r="AD459" s="18" t="str">
        <x:v>No</x:v>
      </x:c>
      <x:c r="AE459" s="18" t="str">
        <x:v>Teórico</x:v>
      </x:c>
      <x:c r="AF459" s="18" t="str">
        <x:v>B</x:v>
      </x:c>
      <x:c r="AG459" s="18" t="str">
        <x:v>B</x:v>
      </x:c>
      <x:c r="AH459" s="18" t="str">
        <x:v>Válida</x:v>
      </x:c>
      <x:c r="AI459" s="18" t="str">
        <x:v>01. Información oficial de la oposición\Exámenes oficiales anteriores\2026 Convocatoria 2025 - Acceso libre Verde A.pdf</x:v>
      </x:c>
      <x:c r="AJ459" s="18" t="str">
        <x:v>https://www.seg-social.es/wps/portal/wss/internet/InformacionUtil/9950/88beb45d-ca83-4bab-8162-f94ef2894562/e0c83707-3358-47a9-94d7-508221dad233</x:v>
      </x:c>
      <x:c r="AK459" s="18" t="str">
        <x:v>OCR Windows es-ES sobre PDF oficial</x:v>
      </x:c>
      <x:c r="AL459" s="18" t="n">
        <x:v>100</x:v>
      </x:c>
      <x:c r="AM459" s="18" t="str">
        <x:v>Alta</x:v>
      </x:c>
      <x:c r="AN459" s="18" t="str">
        <x:v>Regla jurídica determinista</x:v>
      </x:c>
      <x:c r="AO459" s="18" t="str">
        <x:v>2026_conv2025_rojo_A-T22</x:v>
      </x:c>
      <x:c r="AP459" s="18" t="n">
        <x:v>0.9961</x:v>
      </x:c>
    </x:row>
    <x:row r="460">
      <x:c r="A460" s="18" t="str">
        <x:v>2026_conv2025_verde_A-T04</x:v>
      </x:c>
      <x:c r="B460" s="18" t="n">
        <x:v>2026</x:v>
      </x:c>
      <x:c r="C460" s="18" t="n">
        <x:v>2025</x:v>
      </x:c>
      <x:c r="D460" s="28" t="n">
        <x:v>46201</x:v>
      </x:c>
      <x:c r="E460" s="18" t="str">
        <x:v>Acceso libre</x:v>
      </x:c>
      <x:c r="F460" s="18" t="str">
        <x:v>Primera parte</x:v>
      </x:c>
      <x:c r="G460" s="18" t="str">
        <x:v>Verde A</x:v>
      </x:c>
      <x:c r="H460" s="18" t="str">
        <x:v>Rojo/Verde A/B</x:v>
      </x:c>
      <x:c r="I460" s="18" t="str">
        <x:v>No</x:v>
      </x:c>
      <x:c r="J460" s="18" t="str">
        <x:v>Los colores y modelos reproducen el mismo conjunto de preguntas con orden y/o opciones permutados; Rojo A es la variante canónica para frecuencias y Verde A se conserva como control de cobertura.</x:v>
      </x:c>
      <x:c r="K460" s="18" t="n">
        <x:v>4</x:v>
      </x:c>
      <x:c r="L460" s="18" t="str">
        <x:v>No</x:v>
      </x:c>
      <x:c r="M460" s="18" t="str">
        <x:v>De acuerdo con 10 dispuesto en el artículo 56 del Real Decreto Legislativo 1/2013, de 29 de noviembre, por el que se aprueba el Texto Refundido de la Ley General de los Derechos de las Personas con Discapacidad y de su Inclusión Social, ¿a qué órgano se adscribe la Oficina de Atención a la Discapacidad?</x:v>
      </x:c>
      <x:c r="N460" s="18" t="str">
        <x:v>Consejo Nacional de la Discapacidad.</x:v>
      </x:c>
      <x:c r="O460" s="18" t="str">
        <x:v>Real Patronato sobre Discapacidad.</x:v>
      </x:c>
      <x:c r="P460" s="18" t="str">
        <x:v>Observatorio Estatal de la Discapacidad.</x:v>
      </x:c>
      <x:c r="Q460" s="18" t="str">
        <x:v>Dirección General de Derechos de las Personas con Discapacidad.</x:v>
      </x:c>
      <x:c r="R460" s="18" t="str">
        <x:v>G21</x:v>
      </x:c>
      <x:c r="S460" s="18" t="n">
        <x:v>21</x:v>
      </x:c>
      <x:c r="T460" s="18" t="str">
        <x:v>Temario general</x:v>
      </x:c>
      <x:c r="U460" s="18" t="str">
        <x:v>Políticas de igualdad y contra la violencia de género. Discapacidad y dependencia: régimen jurídico. La Ley 4/2023, de 28 de febrero, para la igualdad real y efectiva de las personas trans y para la garantía de los derechos de las personas LGTBI.</x:v>
      </x:c>
      <x:c r="V460" s="18" t="str">
        <x:v>G21</x:v>
      </x:c>
      <x:c r="W460" s="18" t="str">
        <x:v>Real Decreto Legislativo 1/2013</x:v>
      </x:c>
      <x:c r="X460" s="18" t="str">
        <x:v>56</x:v>
      </x:c>
      <x:c r="Y460" s="18" t="str">
        <x:v>Órganos</x:v>
      </x:c>
      <x:c r="Z460" s="18" t="str">
        <x:v>Media</x:v>
      </x:c>
      <x:c r="AA460" s="18" t="str">
        <x:v>G21</x:v>
      </x:c>
      <x:c r="AB460" s="18" t="str"/>
      <x:c r="AC460" s="18" t="str"/>
      <x:c r="AD460" s="18" t="str">
        <x:v>No</x:v>
      </x:c>
      <x:c r="AE460" s="18" t="str">
        <x:v>Teórico</x:v>
      </x:c>
      <x:c r="AF460" s="18" t="str">
        <x:v>A</x:v>
      </x:c>
      <x:c r="AG460" s="18" t="str">
        <x:v>A</x:v>
      </x:c>
      <x:c r="AH460" s="18" t="str">
        <x:v>Válida</x:v>
      </x:c>
      <x:c r="AI460" s="18" t="str">
        <x:v>01. Información oficial de la oposición\Exámenes oficiales anteriores\2026 Convocatoria 2025 - Acceso libre Verde A.pdf</x:v>
      </x:c>
      <x:c r="AJ460" s="18" t="str">
        <x:v>https://www.seg-social.es/wps/portal/wss/internet/InformacionUtil/9950/88beb45d-ca83-4bab-8162-f94ef2894562/e0c83707-3358-47a9-94d7-508221dad233</x:v>
      </x:c>
      <x:c r="AK460" s="18" t="str">
        <x:v>OCR Windows es-ES sobre PDF oficial</x:v>
      </x:c>
      <x:c r="AL460" s="18" t="n">
        <x:v>100</x:v>
      </x:c>
      <x:c r="AM460" s="18" t="str">
        <x:v>Alta</x:v>
      </x:c>
      <x:c r="AN460" s="18" t="str">
        <x:v>Regla jurídica determinista</x:v>
      </x:c>
      <x:c r="AO460" s="18" t="str">
        <x:v>2026_conv2025_rojo_A-T25</x:v>
      </x:c>
      <x:c r="AP460" s="18" t="n">
        <x:v>0.9934</x:v>
      </x:c>
    </x:row>
    <x:row r="461">
      <x:c r="A461" s="18" t="str">
        <x:v>2026_conv2025_verde_A-T05</x:v>
      </x:c>
      <x:c r="B461" s="18" t="n">
        <x:v>2026</x:v>
      </x:c>
      <x:c r="C461" s="18" t="n">
        <x:v>2025</x:v>
      </x:c>
      <x:c r="D461" s="28" t="n">
        <x:v>46201</x:v>
      </x:c>
      <x:c r="E461" s="18" t="str">
        <x:v>Acceso libre</x:v>
      </x:c>
      <x:c r="F461" s="18" t="str">
        <x:v>Primera parte</x:v>
      </x:c>
      <x:c r="G461" s="18" t="str">
        <x:v>Verde A</x:v>
      </x:c>
      <x:c r="H461" s="18" t="str">
        <x:v>Rojo/Verde A/B</x:v>
      </x:c>
      <x:c r="I461" s="18" t="str">
        <x:v>No</x:v>
      </x:c>
      <x:c r="J461" s="18" t="str">
        <x:v>Los colores y modelos reproducen el mismo conjunto de preguntas con orden y/o opciones permutados; Rojo A es la variante canónica para frecuencias y Verde A se conserva como control de cobertura.</x:v>
      </x:c>
      <x:c r="K461" s="18" t="n">
        <x:v>5</x:v>
      </x:c>
      <x:c r="L461" s="18" t="str">
        <x:v>No</x:v>
      </x:c>
      <x:c r="M461" s="18" t="str">
        <x:v>Según el art. 6 del Reglamento (UE) 2016/679 de' Parlamento Europeo y del Consejo de 27 de abril de 2016, el tratamiento de los datos solo es lícito si se cumple al menos una de las siguientes condiciones: Señale la respuesta INCORRECTA.</x:v>
      </x:c>
      <x:c r="N461" s="18" t="str">
        <x:v>EI interesado dio su consentimiento para el tratamiento de sus datos personales para uno o varios fines específicos-</x:v>
      </x:c>
      <x:c r="O461" s="18" t="str">
        <x:v>EI tratamiento es necesario para proteger intereses vitales del interesado o de otra persona física.</x:v>
      </x:c>
      <x:c r="P461" s="18" t="str">
        <x:v>EI tratamiento no es necesario para eI cumplimiento de una obligación legal aplicable al responsable del tratamiento.</x:v>
      </x:c>
      <x:c r="Q461" s="18" t="str">
        <x:v>EI tratamiento es necesario para la ejecución de un contrato en el que el interesado es parte o para la aplicación a petición de este de medidas precontractuales.</x:v>
      </x:c>
      <x:c r="R461" s="18" t="str">
        <x:v>G22</x:v>
      </x:c>
      <x:c r="S461" s="18" t="n">
        <x:v>22</x:v>
      </x:c>
      <x:c r="T461" s="18" t="str">
        <x:v>Temario general</x:v>
      </x:c>
      <x:c r="U461" s="18" t="str">
        <x:v>Normativa reguladora de la protección de datos personales: principios, derechos de las personas y ejercicios de los derechos.</x:v>
      </x:c>
      <x:c r="V461" s="18" t="str">
        <x:v>G22</x:v>
      </x:c>
      <x:c r="W461" s="18" t="str">
        <x:v>Reglamento (UE) 2016/679</x:v>
      </x:c>
      <x:c r="X461" s="18" t="str"/>
      <x:c r="Y461" s="18" t="str">
        <x:v>Artículos literales</x:v>
      </x:c>
      <x:c r="Z461" s="18" t="str">
        <x:v>Alta</x:v>
      </x:c>
      <x:c r="AA461" s="18" t="str">
        <x:v>G22</x:v>
      </x:c>
      <x:c r="AB461" s="18" t="str">
        <x:v>Parlamento Europeo</x:v>
      </x:c>
      <x:c r="AC461" s="18" t="str"/>
      <x:c r="AD461" s="18" t="str">
        <x:v>Sí</x:v>
      </x:c>
      <x:c r="AE461" s="18" t="str">
        <x:v>Teórico</x:v>
      </x:c>
      <x:c r="AF461" s="18" t="str">
        <x:v>C</x:v>
      </x:c>
      <x:c r="AG461" s="18" t="str">
        <x:v>C</x:v>
      </x:c>
      <x:c r="AH461" s="18" t="str">
        <x:v>Válida</x:v>
      </x:c>
      <x:c r="AI461" s="18" t="str">
        <x:v>01. Información oficial de la oposición\Exámenes oficiales anteriores\2026 Convocatoria 2025 - Acceso libre Verde A.pdf</x:v>
      </x:c>
      <x:c r="AJ461" s="18" t="str">
        <x:v>https://www.seg-social.es/wps/portal/wss/internet/InformacionUtil/9950/88beb45d-ca83-4bab-8162-f94ef2894562/e0c83707-3358-47a9-94d7-508221dad233</x:v>
      </x:c>
      <x:c r="AK461" s="18" t="str">
        <x:v>OCR Windows es-ES sobre PDF oficial</x:v>
      </x:c>
      <x:c r="AL461" s="18" t="n">
        <x:v>100</x:v>
      </x:c>
      <x:c r="AM461" s="18" t="str">
        <x:v>Alta</x:v>
      </x:c>
      <x:c r="AN461" s="18" t="str">
        <x:v>Regla jurídica determinista</x:v>
      </x:c>
      <x:c r="AO461" s="18" t="str">
        <x:v>2026_conv2025_rojo_A-T27</x:v>
      </x:c>
      <x:c r="AP461" s="18" t="n">
        <x:v>0.9916</x:v>
      </x:c>
    </x:row>
    <x:row r="462">
      <x:c r="A462" s="18" t="str">
        <x:v>2026_conv2025_verde_A-T06</x:v>
      </x:c>
      <x:c r="B462" s="18" t="n">
        <x:v>2026</x:v>
      </x:c>
      <x:c r="C462" s="18" t="n">
        <x:v>2025</x:v>
      </x:c>
      <x:c r="D462" s="28" t="n">
        <x:v>46201</x:v>
      </x:c>
      <x:c r="E462" s="18" t="str">
        <x:v>Acceso libre</x:v>
      </x:c>
      <x:c r="F462" s="18" t="str">
        <x:v>Primera parte</x:v>
      </x:c>
      <x:c r="G462" s="18" t="str">
        <x:v>Verde A</x:v>
      </x:c>
      <x:c r="H462" s="18" t="str">
        <x:v>Rojo/Verde A/B</x:v>
      </x:c>
      <x:c r="I462" s="18" t="str">
        <x:v>No</x:v>
      </x:c>
      <x:c r="J462" s="18" t="str">
        <x:v>Los colores y modelos reproducen el mismo conjunto de preguntas con orden y/o opciones permutados; Rojo A es la variante canónica para frecuencias y Verde A se conserva como control de cobertura.</x:v>
      </x:c>
      <x:c r="K462" s="18" t="n">
        <x:v>6</x:v>
      </x:c>
      <x:c r="L462" s="18" t="str">
        <x:v>No</x:v>
      </x:c>
      <x:c r="M462" s="18" t="str">
        <x:v>Según eI artículo 155 de la Constitución Española, ¿Qué requisito es imprescindible para que eI Gobierno pueda adoptar las medidas necesarias para obligar a una comunidad autónoma al cumplimiento forzoso de sus obligaciones?</x:v>
      </x:c>
      <x:c r="N462" s="18" t="str">
        <x:v>Un requerimiento previo al presidente de la comunidad autónoma, y en caso de no ser atendida, la aprobación por mayoría absoluta del Senado.</x:v>
      </x:c>
      <x:c r="O462" s="18" t="str">
        <x:v>Un requerimiento previo al presidente de la comunidad autónoma, y en caso de no ser atendida, la aprobación por mayoría simple del Congreso.</x:v>
      </x:c>
      <x:c r="P462" s="18" t="str">
        <x:v>La autorización previa del Tribunal Constitucional a petición del presidente del Gobierno.</x:v>
      </x:c>
      <x:c r="Q462" s="18" t="str">
        <x:v>Un requerimiento previo al presidente de la comunidad autónoma, y en caso de no ser atendida, la aprobación por mayoría absoluta del Congreso.</x:v>
      </x:c>
      <x:c r="R462" s="18" t="str">
        <x:v>G09</x:v>
      </x:c>
      <x:c r="S462" s="18" t="n">
        <x:v>9</x:v>
      </x:c>
      <x:c r="T462" s="18" t="str">
        <x:v>Temario general</x:v>
      </x:c>
      <x:c r="U462" s="18" t="str">
        <x:v>La organización territorial del Estado. Las Comunidades Autónomas. Los Estatutos de Autonomía. La delimitación de competencias entre el Estado y las Comunidades Autónomas en la Constitución y en los Estatutos de Autonomía. La Administración local: El municipio. La provincia.</x:v>
      </x:c>
      <x:c r="V462" s="18" t="str">
        <x:v>G09</x:v>
      </x:c>
      <x:c r="W462" s="18" t="str">
        <x:v>Constitución Española</x:v>
      </x:c>
      <x:c r="X462" s="18" t="str">
        <x:v>155</x:v>
      </x:c>
      <x:c r="Y462" s="18" t="str">
        <x:v>Requisitos</x:v>
      </x:c>
      <x:c r="Z462" s="18" t="str">
        <x:v>Media</x:v>
      </x:c>
      <x:c r="AA462" s="18" t="str">
        <x:v>G09</x:v>
      </x:c>
      <x:c r="AB462" s="18" t="str"/>
      <x:c r="AC462" s="18" t="str"/>
      <x:c r="AD462" s="18" t="str">
        <x:v>No</x:v>
      </x:c>
      <x:c r="AE462" s="18" t="str">
        <x:v>Teórico</x:v>
      </x:c>
      <x:c r="AF462" s="18" t="str">
        <x:v>A</x:v>
      </x:c>
      <x:c r="AG462" s="18" t="str">
        <x:v>A</x:v>
      </x:c>
      <x:c r="AH462" s="18" t="str">
        <x:v>Válida</x:v>
      </x:c>
      <x:c r="AI462" s="18" t="str">
        <x:v>01. Información oficial de la oposición\Exámenes oficiales anteriores\2026 Convocatoria 2025 - Acceso libre Verde A.pdf</x:v>
      </x:c>
      <x:c r="AJ462" s="18" t="str">
        <x:v>https://www.seg-social.es/wps/portal/wss/internet/InformacionUtil/9950/88beb45d-ca83-4bab-8162-f94ef2894562/e0c83707-3358-47a9-94d7-508221dad233</x:v>
      </x:c>
      <x:c r="AK462" s="18" t="str">
        <x:v>OCR Windows es-ES sobre PDF oficial</x:v>
      </x:c>
      <x:c r="AL462" s="18" t="n">
        <x:v>100</x:v>
      </x:c>
      <x:c r="AM462" s="18" t="str">
        <x:v>Alta</x:v>
      </x:c>
      <x:c r="AN462" s="18" t="str">
        <x:v>Regla jurídica determinista</x:v>
      </x:c>
      <x:c r="AO462" s="18" t="str">
        <x:v>2026_conv2025_rojo_A-T13</x:v>
      </x:c>
      <x:c r="AP462" s="18" t="n">
        <x:v>0.9955</x:v>
      </x:c>
    </x:row>
    <x:row r="463">
      <x:c r="A463" s="18" t="str">
        <x:v>2026_conv2025_verde_A-T07</x:v>
      </x:c>
      <x:c r="B463" s="18" t="n">
        <x:v>2026</x:v>
      </x:c>
      <x:c r="C463" s="18" t="n">
        <x:v>2025</x:v>
      </x:c>
      <x:c r="D463" s="28" t="n">
        <x:v>46201</x:v>
      </x:c>
      <x:c r="E463" s="18" t="str">
        <x:v>Acceso libre</x:v>
      </x:c>
      <x:c r="F463" s="18" t="str">
        <x:v>Primera parte</x:v>
      </x:c>
      <x:c r="G463" s="18" t="str">
        <x:v>Verde A</x:v>
      </x:c>
      <x:c r="H463" s="18" t="str">
        <x:v>Rojo/Verde A/B</x:v>
      </x:c>
      <x:c r="I463" s="18" t="str">
        <x:v>No</x:v>
      </x:c>
      <x:c r="J463" s="18" t="str">
        <x:v>Los colores y modelos reproducen el mismo conjunto de preguntas con orden y/o opciones permutados; Rojo A es la variante canónica para frecuencias y Verde A se conserva como control de cobertura.</x:v>
      </x:c>
      <x:c r="K463" s="18" t="n">
        <x:v>7</x:v>
      </x:c>
      <x:c r="L463" s="18" t="str">
        <x:v>No</x:v>
      </x:c>
      <x:c r="M463" s="18" t="str">
        <x:v>La Ley 39/2015, de I de octubre, del Procedimiento Administrativo Común de las Administraciones Públicas, en el artículo 49, regula los límites a la extensión de la nulidad o anulabilidad de los actos. Señale la respuesta correcta:</x:v>
      </x:c>
      <x:c r="N463" s="18" t="str">
        <x:v>La nulidad o anulabilidad de un acto implicará la de los sucesivos en el procedimiento que sean independientes del primero. La nulidad o anulabilidad en parte del acto administrativo no implicará la de las partes del mismo independientes de aquélla, salvo que la parte viciada sea de tal importancia que sin ella el acto administrativo no hubiera sido dictado.</x:v>
      </x:c>
      <x:c r="O463" s="18" t="str">
        <x:v>La nulidad o anulabilidad de un acto no implicará la de los sucesivos en eI procedimiento que sean independientes del primero. La nulidad o anulabilidad en parte del acto administrativo implicará la de las partes del mismo independientes de aquélla, salvo que la parte viciada sea de tal importancia que sin ella el acto administrativo no hubiera sido dictado.</x:v>
      </x:c>
      <x:c r="P463" s="18" t="str">
        <x:v>La nulidad o anulabilidad de un acto implicará la de los sucesivos en el procedimiento que sean independientes del primero. La nulidad o anulabilidad en parte del acto administrativo implicará la de las partes del mismo independientes de aquélla, salvo que la parte viciada sea de tal importancia que sin ella el acto administrativo no hubiera sido dictado.</x:v>
      </x:c>
      <x:c r="Q463" s="18" t="str">
        <x:v>La nulidad o anulabilidad de un acto no implicará la de los sucesivos en eI procedimiento que sean independientes del primero. La nulidad o anulabilidad en parte del acto administrativo no implicará la de las partes del mismo independientes de aquélla, salvo que la parte viciada sea de tal importancia que sin ella el acto administrativo no hubiera sido dictado.</x:v>
      </x:c>
      <x:c r="R463" s="18" t="str">
        <x:v>G15</x:v>
      </x:c>
      <x:c r="S463" s="18" t="n">
        <x:v>15</x:v>
      </x:c>
      <x:c r="T463" s="18" t="str">
        <x:v>Temario general</x:v>
      </x:c>
      <x:c r="U463" s="18" t="str">
        <x:v>Los actos administrativos. Concepto y clases. Motivación, forma y eficacia de los actos administrativos. Notificación y publicación. Nulidad y anulabilidad. La revisión de oficio.</x:v>
      </x:c>
      <x:c r="V463" s="18" t="str">
        <x:v>G15</x:v>
      </x:c>
      <x:c r="W463" s="18" t="str">
        <x:v>Ley 39/2015</x:v>
      </x:c>
      <x:c r="X463" s="18" t="str">
        <x:v>49</x:v>
      </x:c>
      <x:c r="Y463" s="18" t="str">
        <x:v>Procedimientos</x:v>
      </x:c>
      <x:c r="Z463" s="18" t="str">
        <x:v>Media</x:v>
      </x:c>
      <x:c r="AA463" s="18" t="str">
        <x:v>G15</x:v>
      </x:c>
      <x:c r="AB463" s="18" t="str"/>
      <x:c r="AC463" s="18" t="str"/>
      <x:c r="AD463" s="18" t="str">
        <x:v>No</x:v>
      </x:c>
      <x:c r="AE463" s="18" t="str">
        <x:v>Teórico</x:v>
      </x:c>
      <x:c r="AF463" s="18" t="str">
        <x:v>D</x:v>
      </x:c>
      <x:c r="AG463" s="18" t="str">
        <x:v>D</x:v>
      </x:c>
      <x:c r="AH463" s="18" t="str">
        <x:v>Válida</x:v>
      </x:c>
      <x:c r="AI463" s="18" t="str">
        <x:v>01. Información oficial de la oposición\Exámenes oficiales anteriores\2026 Convocatoria 2025 - Acceso libre Verde A.pdf</x:v>
      </x:c>
      <x:c r="AJ463" s="18" t="str">
        <x:v>https://www.seg-social.es/wps/portal/wss/internet/InformacionUtil/9950/88beb45d-ca83-4bab-8162-f94ef2894562/e0c83707-3358-47a9-94d7-508221dad233</x:v>
      </x:c>
      <x:c r="AK463" s="18" t="str">
        <x:v>OCR Windows es-ES sobre PDF oficial</x:v>
      </x:c>
      <x:c r="AL463" s="18" t="n">
        <x:v>100</x:v>
      </x:c>
      <x:c r="AM463" s="18" t="str">
        <x:v>Alta</x:v>
      </x:c>
      <x:c r="AN463" s="18" t="str">
        <x:v>Regla jurídica determinista</x:v>
      </x:c>
      <x:c r="AO463" s="18" t="str">
        <x:v>2026_conv2025_rojo_A-T19</x:v>
      </x:c>
      <x:c r="AP463" s="18" t="n">
        <x:v>0.9957</x:v>
      </x:c>
    </x:row>
    <x:row r="464">
      <x:c r="A464" s="18" t="str">
        <x:v>2026_conv2025_verde_A-T08</x:v>
      </x:c>
      <x:c r="B464" s="18" t="n">
        <x:v>2026</x:v>
      </x:c>
      <x:c r="C464" s="18" t="n">
        <x:v>2025</x:v>
      </x:c>
      <x:c r="D464" s="28" t="n">
        <x:v>46201</x:v>
      </x:c>
      <x:c r="E464" s="18" t="str">
        <x:v>Acceso libre</x:v>
      </x:c>
      <x:c r="F464" s="18" t="str">
        <x:v>Primera parte</x:v>
      </x:c>
      <x:c r="G464" s="18" t="str">
        <x:v>Verde A</x:v>
      </x:c>
      <x:c r="H464" s="18" t="str">
        <x:v>Rojo/Verde A/B</x:v>
      </x:c>
      <x:c r="I464" s="18" t="str">
        <x:v>No</x:v>
      </x:c>
      <x:c r="J464" s="18" t="str">
        <x:v>Los colores y modelos reproducen el mismo conjunto de preguntas con orden y/o opciones permutados; Rojo A es la variante canónica para frecuencias y Verde A se conserva como control de cobertura.</x:v>
      </x:c>
      <x:c r="K464" s="18" t="n">
        <x:v>8</x:v>
      </x:c>
      <x:c r="L464" s="18" t="str">
        <x:v>No</x:v>
      </x:c>
      <x:c r="M464" s="18" t="str">
        <x:v>Conforme al artículo 113 de la Constitución Española, la moción de censura:</x:v>
      </x:c>
      <x:c r="N464" s="18" t="str">
        <x:v>Será aprobada por mayoría simple de ambas Cámaras.</x:v>
      </x:c>
      <x:c r="O464" s="18" t="str">
        <x:v>Será aprobada por mayoría simple del Congreso de los Diputados y, posteriormente, por mayoría absoluta del Senado.</x:v>
      </x:c>
      <x:c r="P464" s="18" t="str">
        <x:v>Será aprobada por mayoría absoluta del Senado.</x:v>
      </x:c>
      <x:c r="Q464" s="18" t="str">
        <x:v>Será aprobada por mayoría absoluta del Congreso de los Diputados.</x:v>
      </x:c>
      <x:c r="R464" s="18" t="str">
        <x:v>G07</x:v>
      </x:c>
      <x:c r="S464" s="18" t="n">
        <x:v>7</x:v>
      </x:c>
      <x:c r="T464" s="18" t="str">
        <x:v>Temario general</x:v>
      </x:c>
      <x:c r="U464" s="18" t="str">
        <x:v>El poder ejecutivo. El presidente del Gobierno y el Consejo de Ministros. Relaciones entre el Gobierno y las Cortes Generales. Designación, causas de cese y responsabilidad del Gobierno. El Consejo de Estado.</x:v>
      </x:c>
      <x:c r="V464" s="18" t="str">
        <x:v>G07</x:v>
      </x:c>
      <x:c r="W464" s="18" t="str">
        <x:v>Constitución Española</x:v>
      </x:c>
      <x:c r="X464" s="18" t="str">
        <x:v>113</x:v>
      </x:c>
      <x:c r="Y464" s="18" t="str">
        <x:v>Artículos literales</x:v>
      </x:c>
      <x:c r="Z464" s="18" t="str">
        <x:v>Media</x:v>
      </x:c>
      <x:c r="AA464" s="18" t="str">
        <x:v>G07</x:v>
      </x:c>
      <x:c r="AB464" s="18" t="str"/>
      <x:c r="AC464" s="18" t="str"/>
      <x:c r="AD464" s="18" t="str">
        <x:v>No</x:v>
      </x:c>
      <x:c r="AE464" s="18" t="str">
        <x:v>Teórico</x:v>
      </x:c>
      <x:c r="AF464" s="18" t="str">
        <x:v>D</x:v>
      </x:c>
      <x:c r="AG464" s="18" t="str">
        <x:v>D</x:v>
      </x:c>
      <x:c r="AH464" s="18" t="str">
        <x:v>Válida</x:v>
      </x:c>
      <x:c r="AI464" s="18" t="str">
        <x:v>01. Información oficial de la oposición\Exámenes oficiales anteriores\2026 Convocatoria 2025 - Acceso libre Verde A.pdf</x:v>
      </x:c>
      <x:c r="AJ464" s="18" t="str">
        <x:v>https://www.seg-social.es/wps/portal/wss/internet/InformacionUtil/9950/88beb45d-ca83-4bab-8162-f94ef2894562/e0c83707-3358-47a9-94d7-508221dad233</x:v>
      </x:c>
      <x:c r="AK464" s="18" t="str">
        <x:v>OCR Windows es-ES sobre PDF oficial</x:v>
      </x:c>
      <x:c r="AL464" s="18" t="n">
        <x:v>100</x:v>
      </x:c>
      <x:c r="AM464" s="18" t="str">
        <x:v>Alta</x:v>
      </x:c>
      <x:c r="AN464" s="18" t="str">
        <x:v>Regla jurídica determinista</x:v>
      </x:c>
      <x:c r="AO464" s="18" t="str">
        <x:v>2026_conv2025_rojo_A-T10</x:v>
      </x:c>
      <x:c r="AP464" s="18" t="n">
        <x:v>1</x:v>
      </x:c>
    </x:row>
    <x:row r="465">
      <x:c r="A465" s="18" t="str">
        <x:v>2026_conv2025_verde_A-T09</x:v>
      </x:c>
      <x:c r="B465" s="18" t="n">
        <x:v>2026</x:v>
      </x:c>
      <x:c r="C465" s="18" t="n">
        <x:v>2025</x:v>
      </x:c>
      <x:c r="D465" s="28" t="n">
        <x:v>46201</x:v>
      </x:c>
      <x:c r="E465" s="18" t="str">
        <x:v>Acceso libre</x:v>
      </x:c>
      <x:c r="F465" s="18" t="str">
        <x:v>Primera parte</x:v>
      </x:c>
      <x:c r="G465" s="18" t="str">
        <x:v>Verde A</x:v>
      </x:c>
      <x:c r="H465" s="18" t="str">
        <x:v>Rojo/Verde A/B</x:v>
      </x:c>
      <x:c r="I465" s="18" t="str">
        <x:v>No</x:v>
      </x:c>
      <x:c r="J465" s="18" t="str">
        <x:v>Los colores y modelos reproducen el mismo conjunto de preguntas con orden y/o opciones permutados; Rojo A es la variante canónica para frecuencias y Verde A se conserva como control de cobertura.</x:v>
      </x:c>
      <x:c r="K465" s="18" t="n">
        <x:v>9</x:v>
      </x:c>
      <x:c r="L465" s="18" t="str">
        <x:v>No</x:v>
      </x:c>
      <x:c r="M465" s="18" t="str">
        <x:v>EI artículo 68 de la Constitución Española establece que las poblaciones de Ceuta y Melilla estarán representadas en eI Congreso:</x:v>
      </x:c>
      <x:c r="N465" s="18" t="str">
        <x:v>Por dos diputados cada una de ellas.</x:v>
      </x:c>
      <x:c r="O465" s="18" t="str">
        <x:v>Por tres diputados cada una de ellas.</x:v>
      </x:c>
      <x:c r="P465" s="18" t="str">
        <x:v>Por un diputado cada una de ellas.</x:v>
      </x:c>
      <x:c r="Q465" s="18" t="str">
        <x:v>No tendrán representación en el Congreso.</x:v>
      </x:c>
      <x:c r="R465" s="18" t="str">
        <x:v>G05</x:v>
      </x:c>
      <x:c r="S465" s="18" t="n">
        <x:v>5</x:v>
      </x:c>
      <x:c r="T465" s="18" t="str">
        <x:v>Temario general</x:v>
      </x:c>
      <x:c r="U465" s="18" t="str">
        <x:v>El poder legislativo. Las Cortes Generales: Composición, atribuciones y funcionamiento. El Defensor del Pueblo.</x:v>
      </x:c>
      <x:c r="V465" s="18" t="str">
        <x:v>G05</x:v>
      </x:c>
      <x:c r="W465" s="18" t="str">
        <x:v>Constitución Española</x:v>
      </x:c>
      <x:c r="X465" s="18" t="str">
        <x:v>68</x:v>
      </x:c>
      <x:c r="Y465" s="18" t="str">
        <x:v>Artículos literales</x:v>
      </x:c>
      <x:c r="Z465" s="18" t="str">
        <x:v>Media</x:v>
      </x:c>
      <x:c r="AA465" s="18" t="str">
        <x:v>G05</x:v>
      </x:c>
      <x:c r="AB465" s="18" t="str"/>
      <x:c r="AC465" s="18" t="str"/>
      <x:c r="AD465" s="18" t="str">
        <x:v>No</x:v>
      </x:c>
      <x:c r="AE465" s="18" t="str">
        <x:v>Teórico</x:v>
      </x:c>
      <x:c r="AF465" s="18" t="str">
        <x:v>C</x:v>
      </x:c>
      <x:c r="AG465" s="18" t="str">
        <x:v>C</x:v>
      </x:c>
      <x:c r="AH465" s="18" t="str">
        <x:v>Válida</x:v>
      </x:c>
      <x:c r="AI465" s="18" t="str">
        <x:v>01. Información oficial de la oposición\Exámenes oficiales anteriores\2026 Convocatoria 2025 - Acceso libre Verde A.pdf</x:v>
      </x:c>
      <x:c r="AJ465" s="18" t="str">
        <x:v>https://www.seg-social.es/wps/portal/wss/internet/InformacionUtil/9950/88beb45d-ca83-4bab-8162-f94ef2894562/e0c83707-3358-47a9-94d7-508221dad233</x:v>
      </x:c>
      <x:c r="AK465" s="18" t="str">
        <x:v>OCR Windows es-ES sobre PDF oficial</x:v>
      </x:c>
      <x:c r="AL465" s="18" t="n">
        <x:v>100</x:v>
      </x:c>
      <x:c r="AM465" s="18" t="str">
        <x:v>Alta</x:v>
      </x:c>
      <x:c r="AN465" s="18" t="str">
        <x:v>Regla jurídica determinista</x:v>
      </x:c>
      <x:c r="AO465" s="18" t="str">
        <x:v>2026_conv2025_rojo_A-T07</x:v>
      </x:c>
      <x:c r="AP465" s="18" t="n">
        <x:v>1</x:v>
      </x:c>
    </x:row>
    <x:row r="466">
      <x:c r="A466" s="18" t="str">
        <x:v>2026_conv2025_verde_A-T10</x:v>
      </x:c>
      <x:c r="B466" s="18" t="n">
        <x:v>2026</x:v>
      </x:c>
      <x:c r="C466" s="18" t="n">
        <x:v>2025</x:v>
      </x:c>
      <x:c r="D466" s="28" t="n">
        <x:v>46201</x:v>
      </x:c>
      <x:c r="E466" s="18" t="str">
        <x:v>Acceso libre</x:v>
      </x:c>
      <x:c r="F466" s="18" t="str">
        <x:v>Primera parte</x:v>
      </x:c>
      <x:c r="G466" s="18" t="str">
        <x:v>Verde A</x:v>
      </x:c>
      <x:c r="H466" s="18" t="str">
        <x:v>Rojo/Verde A/B</x:v>
      </x:c>
      <x:c r="I466" s="18" t="str">
        <x:v>No</x:v>
      </x:c>
      <x:c r="J466" s="18" t="str">
        <x:v>Los colores y modelos reproducen el mismo conjunto de preguntas con orden y/o opciones permutados; Rojo A es la variante canónica para frecuencias y Verde A se conserva como control de cobertura.</x:v>
      </x:c>
      <x:c r="K466" s="18" t="n">
        <x:v>10</x:v>
      </x:c>
      <x:c r="L466" s="18" t="str">
        <x:v>No</x:v>
      </x:c>
      <x:c r="M466" s="18" t="str">
        <x:v>Señale la respuesta correcta en relación con los artículos que recoge el Capítulo Tercero del Título III de la Constitución Española denominado "De los tratados internacionales":</x:v>
      </x:c>
      <x:c r="N466" s="18" t="str">
        <x:v>La celebración de un tratado internacional que contenga estipulaciones contrarias a la Constitución exigirá la previa revisión constitucional, salvo que afecte a normativa presupuestaria o a cuestiones de extranjería.</x:v>
      </x:c>
      <x:c r="O466" s="18" t="str">
        <x:v>EI Gobierno o cualquiera de las Cámaras puede requerir al Tribunal Constitucional para que declare si existe o no contradicción entre las estipulaciones previstas en un Tratado internacional y la Constitución Española.</x:v>
      </x:c>
      <x:c r="P466" s="18" t="str">
        <x:v>Mediante ley ordinaria se podrá autorizar la celebración de tratados por los que se atribuya a una organización o institución internacional el ejercicio de competencias derivadas de la Constitución.</x:v>
      </x:c>
      <x:c r="Q466" s="18" t="str">
        <x:v>Corresponde al Tribunal Supremo o al Gobierno, según los casos, la garantía del cumplimiento de estos tratados y de las resoluciones emanadas de los organismos internacionales o supranacionales titulares de la cesión.</x:v>
      </x:c>
      <x:c r="R466" s="18" t="str">
        <x:v>G13</x:v>
      </x:c>
      <x:c r="S466" s="18" t="n">
        <x:v>13</x:v>
      </x:c>
      <x:c r="T466" s="18" t="str">
        <x:v>Temario general</x:v>
      </x:c>
      <x:c r="U466" s="18" t="str">
        <x:v>Las fuentes del Derecho Administrativo. Concepto y clases. La jerarquía de las fuentes.</x:v>
      </x:c>
      <x:c r="V466" s="18" t="str">
        <x:v>G13</x:v>
      </x:c>
      <x:c r="W466" s="18" t="str">
        <x:v>Constitución Española</x:v>
      </x:c>
      <x:c r="X466" s="18" t="str"/>
      <x:c r="Y466" s="18" t="str">
        <x:v>Artículos literales</x:v>
      </x:c>
      <x:c r="Z466" s="18" t="str">
        <x:v>Media</x:v>
      </x:c>
      <x:c r="AA466" s="18" t="str">
        <x:v>G13</x:v>
      </x:c>
      <x:c r="AB466" s="18" t="str"/>
      <x:c r="AC466" s="18" t="str"/>
      <x:c r="AD466" s="18" t="str">
        <x:v>No</x:v>
      </x:c>
      <x:c r="AE466" s="18" t="str">
        <x:v>Teórico</x:v>
      </x:c>
      <x:c r="AF466" s="18" t="str">
        <x:v>B</x:v>
      </x:c>
      <x:c r="AG466" s="18" t="str">
        <x:v>B</x:v>
      </x:c>
      <x:c r="AH466" s="18" t="str">
        <x:v>Válida</x:v>
      </x:c>
      <x:c r="AI466" s="18" t="str">
        <x:v>01. Información oficial de la oposición\Exámenes oficiales anteriores\2026 Convocatoria 2025 - Acceso libre Verde A.pdf</x:v>
      </x:c>
      <x:c r="AJ466" s="18" t="str">
        <x:v>https://www.seg-social.es/wps/portal/wss/internet/InformacionUtil/9950/88beb45d-ca83-4bab-8162-f94ef2894562/e0c83707-3358-47a9-94d7-508221dad233</x:v>
      </x:c>
      <x:c r="AK466" s="18" t="str">
        <x:v>OCR Windows es-ES sobre PDF oficial</x:v>
      </x:c>
      <x:c r="AL466" s="18" t="n">
        <x:v>100</x:v>
      </x:c>
      <x:c r="AM466" s="18" t="str">
        <x:v>Alta</x:v>
      </x:c>
      <x:c r="AN466" s="18" t="str">
        <x:v>Revisión jurídica individual</x:v>
      </x:c>
      <x:c r="AO466" s="18" t="str">
        <x:v>2026_conv2025_rojo_A-T17</x:v>
      </x:c>
      <x:c r="AP466" s="18" t="n">
        <x:v>1</x:v>
      </x:c>
    </x:row>
    <x:row r="467">
      <x:c r="A467" s="18" t="str">
        <x:v>2026_conv2025_verde_A-T11</x:v>
      </x:c>
      <x:c r="B467" s="18" t="n">
        <x:v>2026</x:v>
      </x:c>
      <x:c r="C467" s="18" t="n">
        <x:v>2025</x:v>
      </x:c>
      <x:c r="D467" s="28" t="n">
        <x:v>46201</x:v>
      </x:c>
      <x:c r="E467" s="18" t="str">
        <x:v>Acceso libre</x:v>
      </x:c>
      <x:c r="F467" s="18" t="str">
        <x:v>Primera parte</x:v>
      </x:c>
      <x:c r="G467" s="18" t="str">
        <x:v>Verde A</x:v>
      </x:c>
      <x:c r="H467" s="18" t="str">
        <x:v>Rojo/Verde A/B</x:v>
      </x:c>
      <x:c r="I467" s="18" t="str">
        <x:v>No</x:v>
      </x:c>
      <x:c r="J467" s="18" t="str">
        <x:v>Los colores y modelos reproducen el mismo conjunto de preguntas con orden y/o opciones permutados; Rojo A es la variante canónica para frecuencias y Verde A se conserva como control de cobertura.</x:v>
      </x:c>
      <x:c r="K467" s="18" t="n">
        <x:v>11</x:v>
      </x:c>
      <x:c r="L467" s="18" t="str">
        <x:v>No</x:v>
      </x:c>
      <x:c r="M467" s="18" t="str">
        <x:v>De conformidad con el artículo 27 de la Ley Orgánica 3/2007, de 22 de marzo, para la igualdad efectiva de mujeres y hombres, las políticas, estrategias y programas de salud integrarán las distintas necesidades de mujeres y hombres y las medidas necesarias para abordarlas adecuadamente:</x:v>
      </x:c>
      <x:c r="N467" s="18" t="str">
        <x:v>En su puesta en marcha y posterior revisión.</x:v>
      </x:c>
      <x:c r="O467" s="18" t="str">
        <x:v>Exclusivamente en su desarrollo.</x:v>
      </x:c>
      <x:c r="P467" s="18" t="str">
        <x:v>En su formulación, desarrollo y evaluación.</x:v>
      </x:c>
      <x:c r="Q467" s="18" t="str">
        <x:v>En todos sus ámbitos.</x:v>
      </x:c>
      <x:c r="R467" s="18" t="str">
        <x:v>G21</x:v>
      </x:c>
      <x:c r="S467" s="18" t="n">
        <x:v>21</x:v>
      </x:c>
      <x:c r="T467" s="18" t="str">
        <x:v>Temario general</x:v>
      </x:c>
      <x:c r="U467" s="18" t="str">
        <x:v>Políticas de igualdad y contra la violencia de género. Discapacidad y dependencia: régimen jurídico. La Ley 4/2023, de 28 de febrero, para la igualdad real y efectiva de las personas trans y para la garantía de los derechos de las personas LGTBI.</x:v>
      </x:c>
      <x:c r="V467" s="18" t="str">
        <x:v>G21</x:v>
      </x:c>
      <x:c r="W467" s="18" t="str">
        <x:v>Ley Orgánica 3/2007</x:v>
      </x:c>
      <x:c r="X467" s="18" t="str">
        <x:v>27</x:v>
      </x:c>
      <x:c r="Y467" s="18" t="str">
        <x:v>Artículos literales</x:v>
      </x:c>
      <x:c r="Z467" s="18" t="str">
        <x:v>Media</x:v>
      </x:c>
      <x:c r="AA467" s="18" t="str">
        <x:v>G21</x:v>
      </x:c>
      <x:c r="AB467" s="18" t="str"/>
      <x:c r="AC467" s="18" t="str"/>
      <x:c r="AD467" s="18" t="str">
        <x:v>No</x:v>
      </x:c>
      <x:c r="AE467" s="18" t="str">
        <x:v>Teórico</x:v>
      </x:c>
      <x:c r="AF467" s="18" t="str">
        <x:v>C</x:v>
      </x:c>
      <x:c r="AG467" s="18" t="str">
        <x:v>C</x:v>
      </x:c>
      <x:c r="AH467" s="18" t="str">
        <x:v>Válida</x:v>
      </x:c>
      <x:c r="AI467" s="18" t="str">
        <x:v>01. Información oficial de la oposición\Exámenes oficiales anteriores\2026 Convocatoria 2025 - Acceso libre Verde A.pdf</x:v>
      </x:c>
      <x:c r="AJ467" s="18" t="str">
        <x:v>https://www.seg-social.es/wps/portal/wss/internet/InformacionUtil/9950/88beb45d-ca83-4bab-8162-f94ef2894562/e0c83707-3358-47a9-94d7-508221dad233</x:v>
      </x:c>
      <x:c r="AK467" s="18" t="str">
        <x:v>OCR Windows es-ES sobre PDF oficial</x:v>
      </x:c>
      <x:c r="AL467" s="18" t="n">
        <x:v>100</x:v>
      </x:c>
      <x:c r="AM467" s="18" t="str">
        <x:v>Alta</x:v>
      </x:c>
      <x:c r="AN467" s="18" t="str">
        <x:v>Regla jurídica determinista</x:v>
      </x:c>
      <x:c r="AO467" s="18" t="str">
        <x:v>2026_conv2025_rojo_A-T26</x:v>
      </x:c>
      <x:c r="AP467" s="18" t="n">
        <x:v>0.9965</x:v>
      </x:c>
    </x:row>
    <x:row r="468">
      <x:c r="A468" s="18" t="str">
        <x:v>2026_conv2025_verde_A-T12</x:v>
      </x:c>
      <x:c r="B468" s="18" t="n">
        <x:v>2026</x:v>
      </x:c>
      <x:c r="C468" s="18" t="n">
        <x:v>2025</x:v>
      </x:c>
      <x:c r="D468" s="28" t="n">
        <x:v>46201</x:v>
      </x:c>
      <x:c r="E468" s="18" t="str">
        <x:v>Acceso libre</x:v>
      </x:c>
      <x:c r="F468" s="18" t="str">
        <x:v>Primera parte</x:v>
      </x:c>
      <x:c r="G468" s="18" t="str">
        <x:v>Verde A</x:v>
      </x:c>
      <x:c r="H468" s="18" t="str">
        <x:v>Rojo/Verde A/B</x:v>
      </x:c>
      <x:c r="I468" s="18" t="str">
        <x:v>No</x:v>
      </x:c>
      <x:c r="J468" s="18" t="str">
        <x:v>Los colores y modelos reproducen el mismo conjunto de preguntas con orden y/o opciones permutados; Rojo A es la variante canónica para frecuencias y Verde A se conserva como control de cobertura.</x:v>
      </x:c>
      <x:c r="K468" s="18" t="n">
        <x:v>12</x:v>
      </x:c>
      <x:c r="L468" s="18" t="str">
        <x:v>No</x:v>
      </x:c>
      <x:c r="M468" s="18" t="str">
        <x:v>De conformidad con el artículo 122 de la Ley 39/2015, de I de octubre, del Procedimiento Administrativo Común de las Administraciones Públicas, el plazo máximo para notificar la resolución de un recurso de alzada será:</x:v>
      </x:c>
      <x:c r="N468" s="18" t="str">
        <x:v>Un mes y contra su resolución no cabrá ningún otro recurso administrativo, salvo eI recurso extraordinario de revisión, en los casos establecidos en el artículo 125.1.</x:v>
      </x:c>
      <x:c r="O468" s="18" t="str">
        <x:v>Tres meses y contra su resolución no cabrá ningún otro recurso administrativo, salvo eI recurso extraordinario de revisión, en los casos establecidos en el artículo 125.1.</x:v>
      </x:c>
      <x:c r="P468" s="18" t="str">
        <x:v>Dos meses y contra su resolución no cabrá ningún otro recurso administrativo.</x:v>
      </x:c>
      <x:c r="Q468" s="18" t="str">
        <x:v>Tres meses y contra su resolución no cabrá ningún otro recurso administrativo.</x:v>
      </x:c>
      <x:c r="R468" s="18" t="str">
        <x:v>G18</x:v>
      </x:c>
      <x:c r="S468" s="18" t="n">
        <x:v>18</x:v>
      </x:c>
      <x:c r="T468" s="18" t="str">
        <x:v>Temario general</x:v>
      </x:c>
      <x:c r="U468" s="18" t="str">
        <x:v>Los recursos administrativos: concepto y clases. Recurso de alzada. Recurso potestativo de reposición. Recurso extraordinario de revisión. La jurisdicción contencioso-administrativa: objeto y plazos de interposición del recurso contencioso administrativo.</x:v>
      </x:c>
      <x:c r="V468" s="18" t="str">
        <x:v>recurso de alzada</x:v>
      </x:c>
      <x:c r="W468" s="18" t="str">
        <x:v>Ley 39/2015</x:v>
      </x:c>
      <x:c r="X468" s="18" t="str">
        <x:v>122</x:v>
      </x:c>
      <x:c r="Y468" s="18" t="str">
        <x:v>Plazos</x:v>
      </x:c>
      <x:c r="Z468" s="18" t="str">
        <x:v>Media</x:v>
      </x:c>
      <x:c r="AA468" s="18" t="str">
        <x:v>recurso de alzada</x:v>
      </x:c>
      <x:c r="AB468" s="18" t="str"/>
      <x:c r="AC468" s="18" t="str"/>
      <x:c r="AD468" s="18" t="str">
        <x:v>No</x:v>
      </x:c>
      <x:c r="AE468" s="18" t="str">
        <x:v>Teórico</x:v>
      </x:c>
      <x:c r="AF468" s="18" t="str">
        <x:v>B</x:v>
      </x:c>
      <x:c r="AG468" s="18" t="str">
        <x:v>B</x:v>
      </x:c>
      <x:c r="AH468" s="18" t="str">
        <x:v>Válida</x:v>
      </x:c>
      <x:c r="AI468" s="18" t="str">
        <x:v>01. Información oficial de la oposición\Exámenes oficiales anteriores\2026 Convocatoria 2025 - Acceso libre Verde A.pdf</x:v>
      </x:c>
      <x:c r="AJ468" s="18" t="str">
        <x:v>https://www.seg-social.es/wps/portal/wss/internet/InformacionUtil/9950/88beb45d-ca83-4bab-8162-f94ef2894562/e0c83707-3358-47a9-94d7-508221dad233</x:v>
      </x:c>
      <x:c r="AK468" s="18" t="str">
        <x:v>OCR Windows es-ES sobre PDF oficial</x:v>
      </x:c>
      <x:c r="AL468" s="18" t="n">
        <x:v>100</x:v>
      </x:c>
      <x:c r="AM468" s="18" t="str">
        <x:v>Alta</x:v>
      </x:c>
      <x:c r="AN468" s="18" t="str">
        <x:v>Regla jurídica determinista</x:v>
      </x:c>
      <x:c r="AO468" s="18" t="str">
        <x:v>2026_conv2025_rojo_A-T23</x:v>
      </x:c>
      <x:c r="AP468" s="18" t="n">
        <x:v>0.984</x:v>
      </x:c>
    </x:row>
    <x:row r="469">
      <x:c r="A469" s="18" t="str">
        <x:v>2026_conv2025_verde_A-T13</x:v>
      </x:c>
      <x:c r="B469" s="18" t="n">
        <x:v>2026</x:v>
      </x:c>
      <x:c r="C469" s="18" t="n">
        <x:v>2025</x:v>
      </x:c>
      <x:c r="D469" s="28" t="n">
        <x:v>46201</x:v>
      </x:c>
      <x:c r="E469" s="18" t="str">
        <x:v>Acceso libre</x:v>
      </x:c>
      <x:c r="F469" s="18" t="str">
        <x:v>Primera parte</x:v>
      </x:c>
      <x:c r="G469" s="18" t="str">
        <x:v>Verde A</x:v>
      </x:c>
      <x:c r="H469" s="18" t="str">
        <x:v>Rojo/Verde A/B</x:v>
      </x:c>
      <x:c r="I469" s="18" t="str">
        <x:v>No</x:v>
      </x:c>
      <x:c r="J469" s="18" t="str">
        <x:v>Los colores y modelos reproducen el mismo conjunto de preguntas con orden y/o opciones permutados; Rojo A es la variante canónica para frecuencias y Verde A se conserva como control de cobertura.</x:v>
      </x:c>
      <x:c r="K469" s="18" t="n">
        <x:v>13</x:v>
      </x:c>
      <x:c r="L469" s="18" t="str">
        <x:v>No</x:v>
      </x:c>
      <x:c r="M469" s="18" t="str">
        <x:v>Según recoge eI artículo 3 del Real Decreto 501/2024, de 21 de mayo, por el que se desarrolla la estructura orgánica básica del Ministerio de Inclusión, Seguridad Social y Migraciones, señale la respuesta correcta en relación con las funciones de la Dirección General de Ordenación de la Seguridad Social:</x:v>
      </x:c>
      <x:c r="N469" s="18" t="str">
        <x:v>La dirección y tutela de las entidades gestoras y servicios comunes de la Seguridad Social, adscritas al Departamento, sin perjuicio de las competencias atribuidas a otros Ministerios y a otras unidades del Departamento.</x:v>
      </x:c>
      <x:c r="O469" s="18" t="str">
        <x:v>La tutela, superior dirección y coordinación de la asistencia jurídica de las entidades gestoras y servicios comunes de la Seguridad Social.</x:v>
      </x:c>
      <x:c r="P469" s="18" t="str">
        <x:v>La tramitación del procedimiento para la aplicación de coeficientes reductores de la edad de jubilación.</x:v>
      </x:c>
      <x:c r="Q469" s="18" t="str">
        <x:v>Ser eI órgano de control interno y de dirección de la contabilidad de las entidades que integran eI sistema de la Seguridad Social.</x:v>
      </x:c>
      <x:c r="R469" s="18" t="str">
        <x:v>G12</x:v>
      </x:c>
      <x:c r="S469" s="18" t="n">
        <x:v>12</x:v>
      </x:c>
      <x:c r="T469" s="18" t="str">
        <x:v>Temario general</x:v>
      </x:c>
      <x:c r="U469" s="18" t="str">
        <x:v>El Ministerio de Inclusión, Seguridad Social y Migraciones. Organización. Estructura y funciones.</x:v>
      </x:c>
      <x:c r="V469" s="18" t="str">
        <x:v>G12</x:v>
      </x:c>
      <x:c r="W469" s="18" t="str">
        <x:v>Real Decreto 501/2024</x:v>
      </x:c>
      <x:c r="X469" s="18" t="str">
        <x:v>3</x:v>
      </x:c>
      <x:c r="Y469" s="18" t="str">
        <x:v>Artículos literales</x:v>
      </x:c>
      <x:c r="Z469" s="18" t="str">
        <x:v>Media</x:v>
      </x:c>
      <x:c r="AA469" s="18" t="str">
        <x:v>G12</x:v>
      </x:c>
      <x:c r="AB469" s="18" t="str"/>
      <x:c r="AC469" s="18" t="str"/>
      <x:c r="AD469" s="18" t="str">
        <x:v>No</x:v>
      </x:c>
      <x:c r="AE469" s="18" t="str">
        <x:v>Teórico</x:v>
      </x:c>
      <x:c r="AF469" s="18" t="str">
        <x:v>C</x:v>
      </x:c>
      <x:c r="AG469" s="18" t="str">
        <x:v>C</x:v>
      </x:c>
      <x:c r="AH469" s="18" t="str">
        <x:v>Válida</x:v>
      </x:c>
      <x:c r="AI469" s="18" t="str">
        <x:v>01. Información oficial de la oposición\Exámenes oficiales anteriores\2026 Convocatoria 2025 - Acceso libre Verde A.pdf</x:v>
      </x:c>
      <x:c r="AJ469" s="18" t="str">
        <x:v>https://www.seg-social.es/wps/portal/wss/internet/InformacionUtil/9950/88beb45d-ca83-4bab-8162-f94ef2894562/e0c83707-3358-47a9-94d7-508221dad233</x:v>
      </x:c>
      <x:c r="AK469" s="18" t="str">
        <x:v>OCR Windows es-ES sobre PDF oficial</x:v>
      </x:c>
      <x:c r="AL469" s="18" t="n">
        <x:v>100</x:v>
      </x:c>
      <x:c r="AM469" s="18" t="str">
        <x:v>Alta</x:v>
      </x:c>
      <x:c r="AN469" s="18" t="str">
        <x:v>Regla jurídica determinista</x:v>
      </x:c>
      <x:c r="AO469" s="18" t="str">
        <x:v>2026_conv2025_rojo_A-T16</x:v>
      </x:c>
      <x:c r="AP469" s="18" t="n">
        <x:v>0.9967</x:v>
      </x:c>
    </x:row>
    <x:row r="470">
      <x:c r="A470" s="18" t="str">
        <x:v>2026_conv2025_verde_A-T14</x:v>
      </x:c>
      <x:c r="B470" s="18" t="n">
        <x:v>2026</x:v>
      </x:c>
      <x:c r="C470" s="18" t="n">
        <x:v>2025</x:v>
      </x:c>
      <x:c r="D470" s="28" t="n">
        <x:v>46201</x:v>
      </x:c>
      <x:c r="E470" s="18" t="str">
        <x:v>Acceso libre</x:v>
      </x:c>
      <x:c r="F470" s="18" t="str">
        <x:v>Primera parte</x:v>
      </x:c>
      <x:c r="G470" s="18" t="str">
        <x:v>Verde A</x:v>
      </x:c>
      <x:c r="H470" s="18" t="str">
        <x:v>Rojo/Verde A/B</x:v>
      </x:c>
      <x:c r="I470" s="18" t="str">
        <x:v>No</x:v>
      </x:c>
      <x:c r="J470" s="18" t="str">
        <x:v>Los colores y modelos reproducen el mismo conjunto de preguntas con orden y/o opciones permutados; Rojo A es la variante canónica para frecuencias y Verde A se conserva como control de cobertura.</x:v>
      </x:c>
      <x:c r="K470" s="18" t="n">
        <x:v>14</x:v>
      </x:c>
      <x:c r="L470" s="18" t="str">
        <x:v>No</x:v>
      </x:c>
      <x:c r="M470" s="18" t="str">
        <x:v>Según los articulos 57 y 58 de la Ley 40/2015, de 1 de octubre, de Régimen Jurídico del Sector Público, señale la respuesta correcta respecto a la organización y funcionamiento de los Departamentos Ministeriales:</x:v>
      </x:c>
      <x:c r="N470" s="18" t="str">
        <x:v>En los Ministerios puede existir una Subsecretaría, y dependiendo de ella una Secretaría General Técnica, para la gestión de los servicios comunes previstos en la Ley de Régimen Jurídico del Sector Público.</x:v>
      </x:c>
      <x:c r="O470" s="18" t="str">
        <x:v>La determinación del número, la denominación y el ámbito de competencia respectivo de los Ministerios y las Secretarías de Estado se establecen mediante real decreto del Consejo de Ministros.</x:v>
      </x:c>
      <x:c r="P470" s="18" t="str">
        <x:v>Los Ministerios contarán, en todo caso, con Secretarías de Estado, y Secretarías Generales, para la gestión de un sector de actividad administrativa. De ellas dependerán jerárquicamente los órganos directivos que se les adscriban.</x:v>
      </x:c>
      <x:c r="Q470" s="18" t="str">
        <x:v>Las Direcciones Generales son los órganos de gestión de una o varias áreas funcionalmente homogéneas.</x:v>
      </x:c>
      <x:c r="R470" s="18" t="str">
        <x:v>G08</x:v>
      </x:c>
      <x:c r="S470" s="18" t="n">
        <x:v>8</x:v>
      </x:c>
      <x:c r="T470" s="18" t="str">
        <x:v>Temario general</x:v>
      </x:c>
      <x:c r="U470" s="18" t="str">
        <x:v>La Administración General del Estado. Principios de organización y funcionamiento. Órganos centrales. Órganos superiores y órganos directivos: creación, nombramiento, cese y funciones. Los servicios comunes de los ministerios. Órganos territoriales. La Administración del Estado en el Exterior.</x:v>
      </x:c>
      <x:c r="V470" s="18" t="str">
        <x:v>G08</x:v>
      </x:c>
      <x:c r="W470" s="18" t="str">
        <x:v>Ley 40/2015</x:v>
      </x:c>
      <x:c r="X470" s="18" t="str">
        <x:v>57 y 58</x:v>
      </x:c>
      <x:c r="Y470" s="18" t="str">
        <x:v>Artículos literales</x:v>
      </x:c>
      <x:c r="Z470" s="18" t="str">
        <x:v>Media</x:v>
      </x:c>
      <x:c r="AA470" s="18" t="str">
        <x:v>G08</x:v>
      </x:c>
      <x:c r="AB470" s="18" t="str"/>
      <x:c r="AC470" s="18" t="str"/>
      <x:c r="AD470" s="18" t="str">
        <x:v>No</x:v>
      </x:c>
      <x:c r="AE470" s="18" t="str">
        <x:v>Teórico</x:v>
      </x:c>
      <x:c r="AF470" s="18" t="str">
        <x:v>D</x:v>
      </x:c>
      <x:c r="AG470" s="18" t="str">
        <x:v>D</x:v>
      </x:c>
      <x:c r="AH470" s="18" t="str">
        <x:v>Válida</x:v>
      </x:c>
      <x:c r="AI470" s="18" t="str">
        <x:v>01. Información oficial de la oposición\Exámenes oficiales anteriores\2026 Convocatoria 2025 - Acceso libre Verde A.pdf</x:v>
      </x:c>
      <x:c r="AJ470" s="18" t="str">
        <x:v>https://www.seg-social.es/wps/portal/wss/internet/InformacionUtil/9950/88beb45d-ca83-4bab-8162-f94ef2894562/e0c83707-3358-47a9-94d7-508221dad233</x:v>
      </x:c>
      <x:c r="AK470" s="18" t="str">
        <x:v>OCR Windows es-ES sobre PDF oficial</x:v>
      </x:c>
      <x:c r="AL470" s="18" t="n">
        <x:v>100</x:v>
      </x:c>
      <x:c r="AM470" s="18" t="str">
        <x:v>Alta</x:v>
      </x:c>
      <x:c r="AN470" s="18" t="str">
        <x:v>Regla jurídica determinista</x:v>
      </x:c>
      <x:c r="AO470" s="18" t="str">
        <x:v>2026_conv2025_rojo_A-T11</x:v>
      </x:c>
      <x:c r="AP470" s="18" t="n">
        <x:v>0.9953</x:v>
      </x:c>
    </x:row>
    <x:row r="471">
      <x:c r="A471" s="18" t="str">
        <x:v>2026_conv2025_verde_A-T15</x:v>
      </x:c>
      <x:c r="B471" s="18" t="n">
        <x:v>2026</x:v>
      </x:c>
      <x:c r="C471" s="18" t="n">
        <x:v>2025</x:v>
      </x:c>
      <x:c r="D471" s="28" t="n">
        <x:v>46201</x:v>
      </x:c>
      <x:c r="E471" s="18" t="str">
        <x:v>Acceso libre</x:v>
      </x:c>
      <x:c r="F471" s="18" t="str">
        <x:v>Primera parte</x:v>
      </x:c>
      <x:c r="G471" s="18" t="str">
        <x:v>Verde A</x:v>
      </x:c>
      <x:c r="H471" s="18" t="str">
        <x:v>Rojo/Verde A/B</x:v>
      </x:c>
      <x:c r="I471" s="18" t="str">
        <x:v>No</x:v>
      </x:c>
      <x:c r="J471" s="18" t="str">
        <x:v>Los colores y modelos reproducen el mismo conjunto de preguntas con orden y/o opciones permutados; Rojo A es la variante canónica para frecuencias y Verde A se conserva como control de cobertura.</x:v>
      </x:c>
      <x:c r="K471" s="18" t="n">
        <x:v>15</x:v>
      </x:c>
      <x:c r="L471" s="18" t="str">
        <x:v>No</x:v>
      </x:c>
      <x:c r="M471" s="18" t="str">
        <x:v>En virtud del artículo 73 de la Constitución Española, las Cámaras se reunirán anualmente en dos períodos ordinarios de sesiones:</x:v>
      </x:c>
      <x:c r="N471" s="18" t="str">
        <x:v>EI primero, de septiembre a diciembre, y eI segundo, de febrero a junio.</x:v>
      </x:c>
      <x:c r="O471" s="18" t="str">
        <x:v>EI primero, de septiembre a enero, y eI segundo, de marzo a junio.</x:v>
      </x:c>
      <x:c r="P471" s="18" t="str">
        <x:v>EI primero, de septiembre a diciembre, y e' segundo, de febrero a julio.</x:v>
      </x:c>
      <x:c r="Q471" s="18" t="str">
        <x:v>EI primero, de octubre a diciembre, y el segundo, de enero a junio.</x:v>
      </x:c>
      <x:c r="R471" s="18" t="str">
        <x:v>G05</x:v>
      </x:c>
      <x:c r="S471" s="18" t="n">
        <x:v>5</x:v>
      </x:c>
      <x:c r="T471" s="18" t="str">
        <x:v>Temario general</x:v>
      </x:c>
      <x:c r="U471" s="18" t="str">
        <x:v>El poder legislativo. Las Cortes Generales: Composición, atribuciones y funcionamiento. El Defensor del Pueblo.</x:v>
      </x:c>
      <x:c r="V471" s="18" t="str">
        <x:v>G05</x:v>
      </x:c>
      <x:c r="W471" s="18" t="str">
        <x:v>Constitución Española</x:v>
      </x:c>
      <x:c r="X471" s="18" t="str">
        <x:v>73</x:v>
      </x:c>
      <x:c r="Y471" s="18" t="str">
        <x:v>Artículos literales</x:v>
      </x:c>
      <x:c r="Z471" s="18" t="str">
        <x:v>Media</x:v>
      </x:c>
      <x:c r="AA471" s="18" t="str">
        <x:v>G05</x:v>
      </x:c>
      <x:c r="AB471" s="18" t="str"/>
      <x:c r="AC471" s="18" t="str"/>
      <x:c r="AD471" s="18" t="str">
        <x:v>No</x:v>
      </x:c>
      <x:c r="AE471" s="18" t="str">
        <x:v>Teórico</x:v>
      </x:c>
      <x:c r="AF471" s="18" t="str">
        <x:v>A</x:v>
      </x:c>
      <x:c r="AG471" s="18" t="str">
        <x:v>A</x:v>
      </x:c>
      <x:c r="AH471" s="18" t="str">
        <x:v>Válida</x:v>
      </x:c>
      <x:c r="AI471" s="18" t="str">
        <x:v>01. Información oficial de la oposición\Exámenes oficiales anteriores\2026 Convocatoria 2025 - Acceso libre Verde A.pdf</x:v>
      </x:c>
      <x:c r="AJ471" s="18" t="str">
        <x:v>https://www.seg-social.es/wps/portal/wss/internet/InformacionUtil/9950/88beb45d-ca83-4bab-8162-f94ef2894562/e0c83707-3358-47a9-94d7-508221dad233</x:v>
      </x:c>
      <x:c r="AK471" s="18" t="str">
        <x:v>OCR Windows es-ES sobre PDF oficial</x:v>
      </x:c>
      <x:c r="AL471" s="18" t="n">
        <x:v>100</x:v>
      </x:c>
      <x:c r="AM471" s="18" t="str">
        <x:v>Alta</x:v>
      </x:c>
      <x:c r="AN471" s="18" t="str">
        <x:v>Regla jurídica determinista</x:v>
      </x:c>
      <x:c r="AO471" s="18" t="str">
        <x:v>2026_conv2025_rojo_A-T08</x:v>
      </x:c>
      <x:c r="AP471" s="18" t="n">
        <x:v>1</x:v>
      </x:c>
    </x:row>
    <x:row r="472">
      <x:c r="A472" s="18" t="str">
        <x:v>2026_conv2025_verde_A-T16</x:v>
      </x:c>
      <x:c r="B472" s="18" t="n">
        <x:v>2026</x:v>
      </x:c>
      <x:c r="C472" s="18" t="n">
        <x:v>2025</x:v>
      </x:c>
      <x:c r="D472" s="28" t="n">
        <x:v>46201</x:v>
      </x:c>
      <x:c r="E472" s="18" t="str">
        <x:v>Acceso libre</x:v>
      </x:c>
      <x:c r="F472" s="18" t="str">
        <x:v>Primera parte</x:v>
      </x:c>
      <x:c r="G472" s="18" t="str">
        <x:v>Verde A</x:v>
      </x:c>
      <x:c r="H472" s="18" t="str">
        <x:v>Rojo/Verde A/B</x:v>
      </x:c>
      <x:c r="I472" s="18" t="str">
        <x:v>No</x:v>
      </x:c>
      <x:c r="J472" s="18" t="str">
        <x:v>Los colores y modelos reproducen el mismo conjunto de preguntas con orden y/o opciones permutados; Rojo A es la variante canónica para frecuencias y Verde A se conserva como control de cobertura.</x:v>
      </x:c>
      <x:c r="K472" s="18" t="n">
        <x:v>16</x:v>
      </x:c>
      <x:c r="L472" s="18" t="str">
        <x:v>No</x:v>
      </x:c>
      <x:c r="M472" s="18" t="str">
        <x:v>Hasta la fecha actual se han llevado a cabo las siguientes reformas constitucionales:</x:v>
      </x:c>
      <x:c r="N472" s="18" t="str">
        <x:v>Dos reformas constitucionales, de los artículos 13.1 y 135, ambas por el procedimiento de reforma constitucional ordinaria, recogido en el artículo 167 de la Constitución.</x:v>
      </x:c>
      <x:c r="O472" s="18" t="str">
        <x:v>Dos reformas constitucionales, de los artículos 13.2 y 135 ambas por el procedimiento de reforma constitucional ordinaria, recogido en el artículo 167 de la Constitución.</x:v>
      </x:c>
      <x:c r="P472" s="18" t="str">
        <x:v>Tres reformas constitucionales, de los artículos 13.1, 135 y 49 de la Constitución, todas por eI procedimiento de reforma constitucional agravada, recogido en el artículo 168 de la Constitución.</x:v>
      </x:c>
      <x:c r="Q472" s="18" t="str">
        <x:v>Tres reformas constitucionales, de los artículos 13.2, 135 y 49 de la Constitución, todas por eI procedimiento de reforma constitucional ordinaria, recogido en el artículo 167 de la Constitución.</x:v>
      </x:c>
      <x:c r="R472" s="18" t="str">
        <x:v>G01</x:v>
      </x:c>
      <x:c r="S472" s="18" t="n">
        <x:v>1</x:v>
      </x:c>
      <x:c r="T472" s="18" t="str">
        <x:v>Temario general</x:v>
      </x:c>
      <x:c r="U472" s="18" t="str">
        <x:v>La Constitución Española de 1978: Estructura y contenido. La reforma de la Constitución.</x:v>
      </x:c>
      <x:c r="V472" s="18" t="str">
        <x:v>G01</x:v>
      </x:c>
      <x:c r="W472" s="18" t="str"/>
      <x:c r="X472" s="18" t="str"/>
      <x:c r="Y472" s="18" t="str">
        <x:v>Artículos literales</x:v>
      </x:c>
      <x:c r="Z472" s="18" t="str">
        <x:v>Básica</x:v>
      </x:c>
      <x:c r="AA472" s="18" t="str">
        <x:v>G01</x:v>
      </x:c>
      <x:c r="AB472" s="18" t="str"/>
      <x:c r="AC472" s="18" t="str"/>
      <x:c r="AD472" s="18" t="str">
        <x:v>No</x:v>
      </x:c>
      <x:c r="AE472" s="18" t="str">
        <x:v>Teórico</x:v>
      </x:c>
      <x:c r="AF472" s="18" t="str">
        <x:v>D</x:v>
      </x:c>
      <x:c r="AG472" s="18" t="str">
        <x:v>D</x:v>
      </x:c>
      <x:c r="AH472" s="18" t="str">
        <x:v>Válida</x:v>
      </x:c>
      <x:c r="AI472" s="18" t="str">
        <x:v>01. Información oficial de la oposición\Exámenes oficiales anteriores\2026 Convocatoria 2025 - Acceso libre Verde A.pdf</x:v>
      </x:c>
      <x:c r="AJ472" s="18" t="str">
        <x:v>https://www.seg-social.es/wps/portal/wss/internet/InformacionUtil/9950/88beb45d-ca83-4bab-8162-f94ef2894562/e0c83707-3358-47a9-94d7-508221dad233</x:v>
      </x:c>
      <x:c r="AK472" s="18" t="str">
        <x:v>OCR Windows es-ES sobre PDF oficial</x:v>
      </x:c>
      <x:c r="AL472" s="18" t="n">
        <x:v>100</x:v>
      </x:c>
      <x:c r="AM472" s="18" t="str">
        <x:v>Alta</x:v>
      </x:c>
      <x:c r="AN472" s="18" t="str">
        <x:v>Revisión jurídica individual</x:v>
      </x:c>
      <x:c r="AO472" s="18" t="str">
        <x:v>2026_conv2025_rojo_A-T01</x:v>
      </x:c>
      <x:c r="AP472" s="18" t="n">
        <x:v>1</x:v>
      </x:c>
    </x:row>
    <x:row r="473">
      <x:c r="A473" s="18" t="str">
        <x:v>2026_conv2025_verde_A-T17</x:v>
      </x:c>
      <x:c r="B473" s="18" t="n">
        <x:v>2026</x:v>
      </x:c>
      <x:c r="C473" s="18" t="n">
        <x:v>2025</x:v>
      </x:c>
      <x:c r="D473" s="28" t="n">
        <x:v>46201</x:v>
      </x:c>
      <x:c r="E473" s="18" t="str">
        <x:v>Acceso libre</x:v>
      </x:c>
      <x:c r="F473" s="18" t="str">
        <x:v>Primera parte</x:v>
      </x:c>
      <x:c r="G473" s="18" t="str">
        <x:v>Verde A</x:v>
      </x:c>
      <x:c r="H473" s="18" t="str">
        <x:v>Rojo/Verde A/B</x:v>
      </x:c>
      <x:c r="I473" s="18" t="str">
        <x:v>No</x:v>
      </x:c>
      <x:c r="J473" s="18" t="str">
        <x:v>Los colores y modelos reproducen el mismo conjunto de preguntas con orden y/o opciones permutados; Rojo A es la variante canónica para frecuencias y Verde A se conserva como control de cobertura.</x:v>
      </x:c>
      <x:c r="K473" s="18" t="n">
        <x:v>17</x:v>
      </x:c>
      <x:c r="L473" s="18" t="str">
        <x:v>No</x:v>
      </x:c>
      <x:c r="M473" s="18" t="str">
        <x:v>De acuerdo con el artículo 14, apartado I, del Tratado de la Unión Europea, eI Parlamento Europeo ejercerá, conjuntamente con el Consejo:</x:v>
      </x:c>
      <x:c r="N473" s="18" t="str">
        <x:v>La función legislativa y la función presupuestaria.</x:v>
      </x:c>
      <x:c r="O473" s="18" t="str">
        <x:v>La función de control político y la elección del Presidente de la Comisión.</x:v>
      </x:c>
      <x:c r="P473" s="18" t="str">
        <x:v>La función jurisdiccional y la garantía del respeto del Derecho.</x:v>
      </x:c>
      <x:c r="Q473" s="18" t="str">
        <x:v>La función ejecutiva y la representación exterior de la Unión.</x:v>
      </x:c>
      <x:c r="R473" s="18" t="str">
        <x:v>G10</x:v>
      </x:c>
      <x:c r="S473" s="18" t="n">
        <x:v>10</x:v>
      </x:c>
      <x:c r="T473" s="18" t="str">
        <x:v>Temario general</x:v>
      </x:c>
      <x:c r="U473" s="18" t="str">
        <x:v>Las Instituciones de la Unión Europea: El Consejo, el Parlamento Europeo, la Comisión, el Tribunal de Justicia.</x:v>
      </x:c>
      <x:c r="V473" s="18" t="str">
        <x:v>G10</x:v>
      </x:c>
      <x:c r="W473" s="18" t="str">
        <x:v>Tratado de la Unión Europea</x:v>
      </x:c>
      <x:c r="X473" s="18" t="str">
        <x:v>14</x:v>
      </x:c>
      <x:c r="Y473" s="18" t="str">
        <x:v>Artículos literales</x:v>
      </x:c>
      <x:c r="Z473" s="18" t="str">
        <x:v>Media</x:v>
      </x:c>
      <x:c r="AA473" s="18" t="str">
        <x:v>G10</x:v>
      </x:c>
      <x:c r="AB473" s="18" t="str">
        <x:v>Parlamento Europeo</x:v>
      </x:c>
      <x:c r="AC473" s="18" t="str"/>
      <x:c r="AD473" s="18" t="str">
        <x:v>No</x:v>
      </x:c>
      <x:c r="AE473" s="18" t="str">
        <x:v>Teórico</x:v>
      </x:c>
      <x:c r="AF473" s="18" t="str">
        <x:v>A</x:v>
      </x:c>
      <x:c r="AG473" s="18" t="str">
        <x:v>A</x:v>
      </x:c>
      <x:c r="AH473" s="18" t="str">
        <x:v>Válida</x:v>
      </x:c>
      <x:c r="AI473" s="18" t="str">
        <x:v>01. Información oficial de la oposición\Exámenes oficiales anteriores\2026 Convocatoria 2025 - Acceso libre Verde A.pdf</x:v>
      </x:c>
      <x:c r="AJ473" s="18" t="str">
        <x:v>https://www.seg-social.es/wps/portal/wss/internet/InformacionUtil/9950/88beb45d-ca83-4bab-8162-f94ef2894562/e0c83707-3358-47a9-94d7-508221dad233</x:v>
      </x:c>
      <x:c r="AK473" s="18" t="str">
        <x:v>OCR Windows es-ES sobre PDF oficial</x:v>
      </x:c>
      <x:c r="AL473" s="18" t="n">
        <x:v>100</x:v>
      </x:c>
      <x:c r="AM473" s="18" t="str">
        <x:v>Alta</x:v>
      </x:c>
      <x:c r="AN473" s="18" t="str">
        <x:v>Regla jurídica determinista</x:v>
      </x:c>
      <x:c r="AO473" s="18" t="str">
        <x:v>2026_conv2025_rojo_A-T14</x:v>
      </x:c>
      <x:c r="AP473" s="18" t="n">
        <x:v>0.9854</x:v>
      </x:c>
    </x:row>
    <x:row r="474">
      <x:c r="A474" s="18" t="str">
        <x:v>2026_conv2025_verde_A-T18</x:v>
      </x:c>
      <x:c r="B474" s="18" t="n">
        <x:v>2026</x:v>
      </x:c>
      <x:c r="C474" s="18" t="n">
        <x:v>2025</x:v>
      </x:c>
      <x:c r="D474" s="28" t="n">
        <x:v>46201</x:v>
      </x:c>
      <x:c r="E474" s="18" t="str">
        <x:v>Acceso libre</x:v>
      </x:c>
      <x:c r="F474" s="18" t="str">
        <x:v>Primera parte</x:v>
      </x:c>
      <x:c r="G474" s="18" t="str">
        <x:v>Verde A</x:v>
      </x:c>
      <x:c r="H474" s="18" t="str">
        <x:v>Rojo/Verde A/B</x:v>
      </x:c>
      <x:c r="I474" s="18" t="str">
        <x:v>No</x:v>
      </x:c>
      <x:c r="J474" s="18" t="str">
        <x:v>Los colores y modelos reproducen el mismo conjunto de preguntas con orden y/o opciones permutados; Rojo A es la variante canónica para frecuencias y Verde A se conserva como control de cobertura.</x:v>
      </x:c>
      <x:c r="K474" s="18" t="n">
        <x:v>18</x:v>
      </x:c>
      <x:c r="L474" s="18" t="str">
        <x:v>No</x:v>
      </x:c>
      <x:c r="M474" s="18" t="str">
        <x:v>Respecto al patrimonio histórico, cultural y artístico de los pueblos de España y los bienes que 10 integran, señale la respuesta INCORRECTA, conforme a 10 recogido en eI Título I de la Constitución Española:</x:v>
      </x:c>
      <x:c r="N474" s="18" t="str">
        <x:v>Los Poderes Públicos garantizarán su conservación salvo que sean propiedad de particulares.</x:v>
      </x:c>
      <x:c r="O474" s="18" t="str">
        <x:v>Es un principio rector de la política social y económica.</x:v>
      </x:c>
      <x:c r="P474" s="18" t="str">
        <x:v>Se regula en eI articulo 46 de la Constitución Española.</x:v>
      </x:c>
      <x:c r="Q474" s="18" t="str">
        <x:v>Los Poderes Públicos garantizarán su conservación cualquiera que sea su régimen jurídico.</x:v>
      </x:c>
      <x:c r="R474" s="18" t="str">
        <x:v>G02</x:v>
      </x:c>
      <x:c r="S474" s="18" t="n">
        <x:v>2</x:v>
      </x:c>
      <x:c r="T474" s="18" t="str">
        <x:v>Temario general</x:v>
      </x:c>
      <x:c r="U474" s="18" t="str">
        <x:v>Derechos y deberes fundamentales. Su garantía y suspensión.</x:v>
      </x:c>
      <x:c r="V474" s="18" t="str">
        <x:v>G02</x:v>
      </x:c>
      <x:c r="W474" s="18" t="str">
        <x:v>Constitución Española</x:v>
      </x:c>
      <x:c r="X474" s="18" t="str"/>
      <x:c r="Y474" s="18" t="str">
        <x:v>Artículos literales</x:v>
      </x:c>
      <x:c r="Z474" s="18" t="str">
        <x:v>Alta</x:v>
      </x:c>
      <x:c r="AA474" s="18" t="str">
        <x:v>G02</x:v>
      </x:c>
      <x:c r="AB474" s="18" t="str"/>
      <x:c r="AC474" s="18" t="str"/>
      <x:c r="AD474" s="18" t="str">
        <x:v>Sí</x:v>
      </x:c>
      <x:c r="AE474" s="18" t="str">
        <x:v>Teórico</x:v>
      </x:c>
      <x:c r="AF474" s="18" t="str">
        <x:v>A</x:v>
      </x:c>
      <x:c r="AG474" s="18" t="str">
        <x:v>A</x:v>
      </x:c>
      <x:c r="AH474" s="18" t="str">
        <x:v>Válida</x:v>
      </x:c>
      <x:c r="AI474" s="18" t="str">
        <x:v>01. Información oficial de la oposición\Exámenes oficiales anteriores\2026 Convocatoria 2025 - Acceso libre Verde A.pdf</x:v>
      </x:c>
      <x:c r="AJ474" s="18" t="str">
        <x:v>https://www.seg-social.es/wps/portal/wss/internet/InformacionUtil/9950/88beb45d-ca83-4bab-8162-f94ef2894562/e0c83707-3358-47a9-94d7-508221dad233</x:v>
      </x:c>
      <x:c r="AK474" s="18" t="str">
        <x:v>OCR Windows es-ES sobre PDF oficial</x:v>
      </x:c>
      <x:c r="AL474" s="18" t="n">
        <x:v>100</x:v>
      </x:c>
      <x:c r="AM474" s="18" t="str">
        <x:v>Alta</x:v>
      </x:c>
      <x:c r="AN474" s="18" t="str">
        <x:v>Regla jurídica determinista</x:v>
      </x:c>
      <x:c r="AO474" s="18" t="str">
        <x:v>2026_conv2025_rojo_A-T02</x:v>
      </x:c>
      <x:c r="AP474" s="18" t="n">
        <x:v>1</x:v>
      </x:c>
    </x:row>
    <x:row r="475">
      <x:c r="A475" s="18" t="str">
        <x:v>2026_conv2025_verde_A-T19</x:v>
      </x:c>
      <x:c r="B475" s="18" t="n">
        <x:v>2026</x:v>
      </x:c>
      <x:c r="C475" s="18" t="n">
        <x:v>2025</x:v>
      </x:c>
      <x:c r="D475" s="28" t="n">
        <x:v>46201</x:v>
      </x:c>
      <x:c r="E475" s="18" t="str">
        <x:v>Acceso libre</x:v>
      </x:c>
      <x:c r="F475" s="18" t="str">
        <x:v>Primera parte</x:v>
      </x:c>
      <x:c r="G475" s="18" t="str">
        <x:v>Verde A</x:v>
      </x:c>
      <x:c r="H475" s="18" t="str">
        <x:v>Rojo/Verde A/B</x:v>
      </x:c>
      <x:c r="I475" s="18" t="str">
        <x:v>No</x:v>
      </x:c>
      <x:c r="J475" s="18" t="str">
        <x:v>Los colores y modelos reproducen el mismo conjunto de preguntas con orden y/o opciones permutados; Rojo A es la variante canónica para frecuencias y Verde A se conserva como control de cobertura.</x:v>
      </x:c>
      <x:c r="K475" s="18" t="n">
        <x:v>19</x:v>
      </x:c>
      <x:c r="L475" s="18" t="str">
        <x:v>No</x:v>
      </x:c>
      <x:c r="M475" s="18" t="str">
        <x:v>Según 10 dispuesto en el artículo 16 de la Ley Orgánica 2/1979, de 3 de octubre, del Tribunal Constitucional, en relación con la designación de los Magistrados que integran dicho tribunal, señale la opción correcta:</x:v>
      </x:c>
      <x:c r="N475" s="18" t="str">
        <x:v>Los Magistrados podrán ser propuestos al Rey para otro período inmediato.</x:v>
      </x:c>
      <x:c r="O475" s="18" t="str">
        <x:v>Los Magistrados podrán ser reelegidos en periodos consecutivos o alternos y propuestos al Rey.</x:v>
      </x:c>
      <x:c r="P475" s="18" t="str">
        <x:v>Ningún Magistrado podrá ser propuesto al Rey para otro período inmediato, salvo que hubiera ocupado el cargo por un plazo no superior a tres años.</x:v>
      </x:c>
      <x:c r="Q475" s="18" t="str">
        <x:v>Ningún Magistrado podrá ser propuesto al Rey para otro periodo alterno, salvo que hubiera ocupado el cargo por un plazo no superior a dos años.</x:v>
      </x:c>
      <x:c r="R475" s="18" t="str">
        <x:v>G03</x:v>
      </x:c>
      <x:c r="S475" s="18" t="n">
        <x:v>3</x:v>
      </x:c>
      <x:c r="T475" s="18" t="str">
        <x:v>Temario general</x:v>
      </x:c>
      <x:c r="U475" s="18" t="str">
        <x:v>El Tribunal Constitucional. Organización, composición y atribuciones.</x:v>
      </x:c>
      <x:c r="V475" s="18" t="str">
        <x:v>G03</x:v>
      </x:c>
      <x:c r="W475" s="18" t="str">
        <x:v>Ley Orgánica 2/1979</x:v>
      </x:c>
      <x:c r="X475" s="18" t="str">
        <x:v>16</x:v>
      </x:c>
      <x:c r="Y475" s="18" t="str">
        <x:v>Artículos literales</x:v>
      </x:c>
      <x:c r="Z475" s="18" t="str">
        <x:v>Media</x:v>
      </x:c>
      <x:c r="AA475" s="18" t="str">
        <x:v>G03</x:v>
      </x:c>
      <x:c r="AB475" s="18" t="str">
        <x:v>Tribunal Constitucional</x:v>
      </x:c>
      <x:c r="AC475" s="18" t="str"/>
      <x:c r="AD475" s="18" t="str">
        <x:v>No</x:v>
      </x:c>
      <x:c r="AE475" s="18" t="str">
        <x:v>Teórico</x:v>
      </x:c>
      <x:c r="AF475" s="18" t="str">
        <x:v>C</x:v>
      </x:c>
      <x:c r="AG475" s="18" t="str">
        <x:v>C</x:v>
      </x:c>
      <x:c r="AH475" s="18" t="str">
        <x:v>Válida</x:v>
      </x:c>
      <x:c r="AI475" s="18" t="str">
        <x:v>01. Información oficial de la oposición\Exámenes oficiales anteriores\2026 Convocatoria 2025 - Acceso libre Verde A.pdf</x:v>
      </x:c>
      <x:c r="AJ475" s="18" t="str">
        <x:v>https://www.seg-social.es/wps/portal/wss/internet/InformacionUtil/9950/88beb45d-ca83-4bab-8162-f94ef2894562/e0c83707-3358-47a9-94d7-508221dad233</x:v>
      </x:c>
      <x:c r="AK475" s="18" t="str">
        <x:v>OCR Windows es-ES sobre PDF oficial</x:v>
      </x:c>
      <x:c r="AL475" s="18" t="n">
        <x:v>100</x:v>
      </x:c>
      <x:c r="AM475" s="18" t="str">
        <x:v>Alta</x:v>
      </x:c>
      <x:c r="AN475" s="18" t="str">
        <x:v>Regla jurídica determinista</x:v>
      </x:c>
      <x:c r="AO475" s="18" t="str">
        <x:v>2026_conv2025_rojo_A-T05</x:v>
      </x:c>
      <x:c r="AP475" s="18" t="n">
        <x:v>1</x:v>
      </x:c>
    </x:row>
    <x:row r="476">
      <x:c r="A476" s="18" t="str">
        <x:v>2026_conv2025_verde_A-T20</x:v>
      </x:c>
      <x:c r="B476" s="18" t="n">
        <x:v>2026</x:v>
      </x:c>
      <x:c r="C476" s="18" t="n">
        <x:v>2025</x:v>
      </x:c>
      <x:c r="D476" s="28" t="n">
        <x:v>46201</x:v>
      </x:c>
      <x:c r="E476" s="18" t="str">
        <x:v>Acceso libre</x:v>
      </x:c>
      <x:c r="F476" s="18" t="str">
        <x:v>Primera parte</x:v>
      </x:c>
      <x:c r="G476" s="18" t="str">
        <x:v>Verde A</x:v>
      </x:c>
      <x:c r="H476" s="18" t="str">
        <x:v>Rojo/Verde A/B</x:v>
      </x:c>
      <x:c r="I476" s="18" t="str">
        <x:v>No</x:v>
      </x:c>
      <x:c r="J476" s="18" t="str">
        <x:v>Los colores y modelos reproducen el mismo conjunto de preguntas con orden y/o opciones permutados; Rojo A es la variante canónica para frecuencias y Verde A se conserva como control de cobertura.</x:v>
      </x:c>
      <x:c r="K476" s="18" t="n">
        <x:v>20</x:v>
      </x:c>
      <x:c r="L476" s="18" t="str">
        <x:v>No</x:v>
      </x:c>
      <x:c r="M476" s="18" t="str">
        <x:v>La Sección la del Capítulo Segundo del Título I de la Constitución Española, regula los Derechos fundamentales y las Libertades públicas contenidos en los artículos:</x:v>
      </x:c>
      <x:c r="N476" s="18" t="str">
        <x:v>14 al 29.</x:v>
      </x:c>
      <x:c r="O476" s="18" t="str">
        <x:v>14 30.</x:v>
      </x:c>
      <x:c r="P476" s="18" t="str">
        <x:v>15 al 29.</x:v>
      </x:c>
      <x:c r="Q476" s="18" t="str">
        <x:v>15 al 30.</x:v>
      </x:c>
      <x:c r="R476" s="18" t="str">
        <x:v>G02</x:v>
      </x:c>
      <x:c r="S476" s="18" t="n">
        <x:v>2</x:v>
      </x:c>
      <x:c r="T476" s="18" t="str">
        <x:v>Temario general</x:v>
      </x:c>
      <x:c r="U476" s="18" t="str">
        <x:v>Derechos y deberes fundamentales. Su garantía y suspensión.</x:v>
      </x:c>
      <x:c r="V476" s="18" t="str">
        <x:v>derechos fundamentales</x:v>
      </x:c>
      <x:c r="W476" s="18" t="str">
        <x:v>Constitución Española</x:v>
      </x:c>
      <x:c r="X476" s="18" t="str"/>
      <x:c r="Y476" s="18" t="str">
        <x:v>Artículos literales</x:v>
      </x:c>
      <x:c r="Z476" s="18" t="str">
        <x:v>Media</x:v>
      </x:c>
      <x:c r="AA476" s="18" t="str">
        <x:v>derechos fundamentales</x:v>
      </x:c>
      <x:c r="AB476" s="18" t="str"/>
      <x:c r="AC476" s="18" t="str"/>
      <x:c r="AD476" s="18" t="str">
        <x:v>No</x:v>
      </x:c>
      <x:c r="AE476" s="18" t="str">
        <x:v>Teórico</x:v>
      </x:c>
      <x:c r="AF476" s="18" t="str">
        <x:v>C</x:v>
      </x:c>
      <x:c r="AG476" s="18" t="str">
        <x:v>C</x:v>
      </x:c>
      <x:c r="AH476" s="18" t="str">
        <x:v>Válida</x:v>
      </x:c>
      <x:c r="AI476" s="18" t="str">
        <x:v>01. Información oficial de la oposición\Exámenes oficiales anteriores\2026 Convocatoria 2025 - Acceso libre Verde A.pdf</x:v>
      </x:c>
      <x:c r="AJ476" s="18" t="str">
        <x:v>https://www.seg-social.es/wps/portal/wss/internet/InformacionUtil/9950/88beb45d-ca83-4bab-8162-f94ef2894562/e0c83707-3358-47a9-94d7-508221dad233</x:v>
      </x:c>
      <x:c r="AK476" s="18" t="str">
        <x:v>OCR Windows es-ES sobre PDF oficial</x:v>
      </x:c>
      <x:c r="AL476" s="18" t="n">
        <x:v>100</x:v>
      </x:c>
      <x:c r="AM476" s="18" t="str">
        <x:v>Alta</x:v>
      </x:c>
      <x:c r="AN476" s="18" t="str">
        <x:v>Regla jurídica determinista</x:v>
      </x:c>
      <x:c r="AO476" s="18" t="str">
        <x:v>2026_conv2025_rojo_A-T03</x:v>
      </x:c>
      <x:c r="AP476" s="18" t="n">
        <x:v>1</x:v>
      </x:c>
    </x:row>
    <x:row r="477">
      <x:c r="A477" s="18" t="str">
        <x:v>2026_conv2025_verde_A-T21</x:v>
      </x:c>
      <x:c r="B477" s="18" t="n">
        <x:v>2026</x:v>
      </x:c>
      <x:c r="C477" s="18" t="n">
        <x:v>2025</x:v>
      </x:c>
      <x:c r="D477" s="28" t="n">
        <x:v>46201</x:v>
      </x:c>
      <x:c r="E477" s="18" t="str">
        <x:v>Acceso libre</x:v>
      </x:c>
      <x:c r="F477" s="18" t="str">
        <x:v>Primera parte</x:v>
      </x:c>
      <x:c r="G477" s="18" t="str">
        <x:v>Verde A</x:v>
      </x:c>
      <x:c r="H477" s="18" t="str">
        <x:v>Rojo/Verde A/B</x:v>
      </x:c>
      <x:c r="I477" s="18" t="str">
        <x:v>No</x:v>
      </x:c>
      <x:c r="J477" s="18" t="str">
        <x:v>Los colores y modelos reproducen el mismo conjunto de preguntas con orden y/o opciones permutados; Rojo A es la variante canónica para frecuencias y Verde A se conserva como control de cobertura.</x:v>
      </x:c>
      <x:c r="K477" s="18" t="n">
        <x:v>21</x:v>
      </x:c>
      <x:c r="L477" s="18" t="str">
        <x:v>No</x:v>
      </x:c>
      <x:c r="M477" s="18" t="str">
        <x:v>Señale la respuesta correcta en relación con qué Salas integran el Tribunal Supremo y su orden, según se determina en el artículo 55 de la Ley Orgánica 6/1985, de 1 de julio, del Poder Judicial:</x:v>
      </x:c>
      <x:c r="N477" s="18" t="str">
        <x:v>Sala I de Apelación, II de Instrucción, III de 10 Penal, IV de Menores.</x:v>
      </x:c>
      <x:c r="O477" s="18" t="str">
        <x:v>Sala I de 10 Civil y Penal, II de 10 Contencioso -Administrativo, III de 10 Social, IV de 10 Militar.</x:v>
      </x:c>
      <x:c r="P477" s="18" t="str">
        <x:v>Sala I de 10 Civil, II de lo Penal, III de 10 Contencioso -Administrativo, IV de 10 Social y V de 10 Militar.</x:v>
      </x:c>
      <x:c r="Q477" s="18" t="str">
        <x:v>Sala I de 10 Civil, II de 10 Penal, III de Menores, IV de 10 Social y V de Vigilancia Penitenciaria.</x:v>
      </x:c>
      <x:c r="R477" s="18" t="str">
        <x:v>G06</x:v>
      </x:c>
      <x:c r="S477" s="18" t="n">
        <x:v>6</x:v>
      </x:c>
      <x:c r="T477" s="18" t="str">
        <x:v>Temario general</x:v>
      </x:c>
      <x:c r="U477" s="18" t="str">
        <x:v>El Poder Judicial. El principio de unidad jurisdiccional. El Consejo General del Poder Judicial. La organización judicial española.</x:v>
      </x:c>
      <x:c r="V477" s="18" t="str">
        <x:v>G06</x:v>
      </x:c>
      <x:c r="W477" s="18" t="str">
        <x:v>Ley Orgánica 6/1985</x:v>
      </x:c>
      <x:c r="X477" s="18" t="str">
        <x:v>55</x:v>
      </x:c>
      <x:c r="Y477" s="18" t="str">
        <x:v>Artículos literales</x:v>
      </x:c>
      <x:c r="Z477" s="18" t="str">
        <x:v>Media</x:v>
      </x:c>
      <x:c r="AA477" s="18" t="str">
        <x:v>G06</x:v>
      </x:c>
      <x:c r="AB477" s="18" t="str">
        <x:v>Tribunal Supremo</x:v>
      </x:c>
      <x:c r="AC477" s="18" t="str"/>
      <x:c r="AD477" s="18" t="str">
        <x:v>No</x:v>
      </x:c>
      <x:c r="AE477" s="18" t="str">
        <x:v>Teórico</x:v>
      </x:c>
      <x:c r="AF477" s="18" t="str">
        <x:v>C</x:v>
      </x:c>
      <x:c r="AG477" s="18" t="str">
        <x:v>C</x:v>
      </x:c>
      <x:c r="AH477" s="18" t="str">
        <x:v>Válida</x:v>
      </x:c>
      <x:c r="AI477" s="18" t="str">
        <x:v>01. Información oficial de la oposición\Exámenes oficiales anteriores\2026 Convocatoria 2025 - Acceso libre Verde A.pdf</x:v>
      </x:c>
      <x:c r="AJ477" s="18" t="str">
        <x:v>https://www.seg-social.es/wps/portal/wss/internet/InformacionUtil/9950/88beb45d-ca83-4bab-8162-f94ef2894562/e0c83707-3358-47a9-94d7-508221dad233</x:v>
      </x:c>
      <x:c r="AK477" s="18" t="str">
        <x:v>OCR Windows es-ES sobre PDF oficial</x:v>
      </x:c>
      <x:c r="AL477" s="18" t="n">
        <x:v>100</x:v>
      </x:c>
      <x:c r="AM477" s="18" t="str">
        <x:v>Alta</x:v>
      </x:c>
      <x:c r="AN477" s="18" t="str">
        <x:v>Regla jurídica determinista</x:v>
      </x:c>
      <x:c r="AO477" s="18" t="str">
        <x:v>2026_conv2025_rojo_A-T09</x:v>
      </x:c>
      <x:c r="AP477" s="18" t="n">
        <x:v>1</x:v>
      </x:c>
    </x:row>
    <x:row r="478">
      <x:c r="A478" s="18" t="str">
        <x:v>2026_conv2025_verde_A-T22</x:v>
      </x:c>
      <x:c r="B478" s="18" t="n">
        <x:v>2026</x:v>
      </x:c>
      <x:c r="C478" s="18" t="n">
        <x:v>2025</x:v>
      </x:c>
      <x:c r="D478" s="28" t="n">
        <x:v>46201</x:v>
      </x:c>
      <x:c r="E478" s="18" t="str">
        <x:v>Acceso libre</x:v>
      </x:c>
      <x:c r="F478" s="18" t="str">
        <x:v>Primera parte</x:v>
      </x:c>
      <x:c r="G478" s="18" t="str">
        <x:v>Verde A</x:v>
      </x:c>
      <x:c r="H478" s="18" t="str">
        <x:v>Rojo/Verde A/B</x:v>
      </x:c>
      <x:c r="I478" s="18" t="str">
        <x:v>No</x:v>
      </x:c>
      <x:c r="J478" s="18" t="str">
        <x:v>Los colores y modelos reproducen el mismo conjunto de preguntas con orden y/o opciones permutados; Rojo A es la variante canónica para frecuencias y Verde A se conserva como control de cobertura.</x:v>
      </x:c>
      <x:c r="K478" s="18" t="n">
        <x:v>22</x:v>
      </x:c>
      <x:c r="L478" s="18" t="str">
        <x:v>No</x:v>
      </x:c>
      <x:c r="M478" s="18" t="str">
        <x:v>De acuerdo con el artículo 24 de la Ley 50/1997, de 27 de noviembre, del Gobierno, ¿qué rango ocupan las Órdenes Ministeriales respecto de las disposiciones aprobadas por Real Decreto del Presidente del Gobierno o del Consejo de Ministros?</x:v>
      </x:c>
      <x:c r="N478" s="18" t="str">
        <x:v>Son de rango superior.</x:v>
      </x:c>
      <x:c r="O478" s="18" t="str">
        <x:v>Son de rango inferior.</x:v>
      </x:c>
      <x:c r="P478" s="18" t="str">
        <x:v>Tienen el mismo rango jerárquico.</x:v>
      </x:c>
      <x:c r="Q478" s="18" t="str">
        <x:v>Su rango depende de la fecha de publicación.</x:v>
      </x:c>
      <x:c r="R478" s="18" t="str">
        <x:v>G14</x:v>
      </x:c>
      <x:c r="S478" s="18" t="n">
        <x:v>14</x:v>
      </x:c>
      <x:c r="T478" s="18" t="str">
        <x:v>Temario general</x:v>
      </x:c>
      <x:c r="U478" s="18" t="str">
        <x:v>La Ley. Tipos de leyes. Disposiciones del Gobierno con fuerza de ley: decreto-ley y decreto legislativo. El Reglamento: concepto, clases y límites. Los principios generales del Derecho.</x:v>
      </x:c>
      <x:c r="V478" s="18" t="str">
        <x:v>G14</x:v>
      </x:c>
      <x:c r="W478" s="18" t="str">
        <x:v>Ley 50/1997</x:v>
      </x:c>
      <x:c r="X478" s="18" t="str">
        <x:v>24</x:v>
      </x:c>
      <x:c r="Y478" s="18" t="str">
        <x:v>Artículos literales</x:v>
      </x:c>
      <x:c r="Z478" s="18" t="str">
        <x:v>Media</x:v>
      </x:c>
      <x:c r="AA478" s="18" t="str">
        <x:v>G14</x:v>
      </x:c>
      <x:c r="AB478" s="18" t="str">
        <x:v>Consejo de Ministros</x:v>
      </x:c>
      <x:c r="AC478" s="18" t="str"/>
      <x:c r="AD478" s="18" t="str">
        <x:v>No</x:v>
      </x:c>
      <x:c r="AE478" s="18" t="str">
        <x:v>Teórico</x:v>
      </x:c>
      <x:c r="AF478" s="18" t="str">
        <x:v>B</x:v>
      </x:c>
      <x:c r="AG478" s="18" t="str">
        <x:v>B</x:v>
      </x:c>
      <x:c r="AH478" s="18" t="str">
        <x:v>Válida</x:v>
      </x:c>
      <x:c r="AI478" s="18" t="str">
        <x:v>01. Información oficial de la oposición\Exámenes oficiales anteriores\2026 Convocatoria 2025 - Acceso libre Verde A.pdf</x:v>
      </x:c>
      <x:c r="AJ478" s="18" t="str">
        <x:v>https://www.seg-social.es/wps/portal/wss/internet/InformacionUtil/9950/88beb45d-ca83-4bab-8162-f94ef2894562/e0c83707-3358-47a9-94d7-508221dad233</x:v>
      </x:c>
      <x:c r="AK478" s="18" t="str">
        <x:v>OCR Windows es-ES sobre PDF oficial</x:v>
      </x:c>
      <x:c r="AL478" s="18" t="n">
        <x:v>100</x:v>
      </x:c>
      <x:c r="AM478" s="18" t="str">
        <x:v>Alta</x:v>
      </x:c>
      <x:c r="AN478" s="18" t="str">
        <x:v>Regla jurídica determinista</x:v>
      </x:c>
      <x:c r="AO478" s="18" t="str">
        <x:v>2026_conv2025_rojo_A-T18</x:v>
      </x:c>
      <x:c r="AP478" s="18" t="n">
        <x:v>0.9958</x:v>
      </x:c>
    </x:row>
    <x:row r="479">
      <x:c r="A479" s="18" t="str">
        <x:v>2026_conv2025_verde_A-T23</x:v>
      </x:c>
      <x:c r="B479" s="18" t="n">
        <x:v>2026</x:v>
      </x:c>
      <x:c r="C479" s="18" t="n">
        <x:v>2025</x:v>
      </x:c>
      <x:c r="D479" s="28" t="n">
        <x:v>46201</x:v>
      </x:c>
      <x:c r="E479" s="18" t="str">
        <x:v>Acceso libre</x:v>
      </x:c>
      <x:c r="F479" s="18" t="str">
        <x:v>Primera parte</x:v>
      </x:c>
      <x:c r="G479" s="18" t="str">
        <x:v>Verde A</x:v>
      </x:c>
      <x:c r="H479" s="18" t="str">
        <x:v>Rojo/Verde A/B</x:v>
      </x:c>
      <x:c r="I479" s="18" t="str">
        <x:v>No</x:v>
      </x:c>
      <x:c r="J479" s="18" t="str">
        <x:v>Los colores y modelos reproducen el mismo conjunto de preguntas con orden y/o opciones permutados; Rojo A es la variante canónica para frecuencias y Verde A se conserva como control de cobertura.</x:v>
      </x:c>
      <x:c r="K479" s="18" t="n">
        <x:v>23</x:v>
      </x:c>
      <x:c r="L479" s="18" t="str">
        <x:v>No</x:v>
      </x:c>
      <x:c r="M479" s="18" t="str">
        <x:v>Conforme a 10 previsto en el artículo 23 de la Ley Orgánica 2/1979, de 3 de octubre, del Tribunal Constitucional, la decisión sobre eI cese de los Magistrados del Tribunal Constitucional requerirá mayoría simple del Pleno cuando se trate de:</x:v>
      </x:c>
      <x:c r="N479" s="18" t="str">
        <x:v>Falta de diligencia en los deberes del cargo y violación de la reserva propia de su función.</x:v>
      </x:c>
      <x:c r="O479" s="18" t="str">
        <x:v>Haber sido declarado responsable civilmente por dolo o condenado por delito doloso o por culpa grave.</x:v>
      </x:c>
      <x:c r="P479" s="18" t="str">
        <x:v>Falta de diligencia en los deberes del cargo y por haber sido declarado responsable civilmente por dolo o condenado por delito doloso o por culpa grave.</x:v>
      </x:c>
      <x:c r="Q479" s="18" t="str">
        <x:v>Incapacidad de las previstas para los miembros del Poder Judicial y por incompatibilidad sobrevenida.</x:v>
      </x:c>
      <x:c r="R479" s="18" t="str">
        <x:v>G03</x:v>
      </x:c>
      <x:c r="S479" s="18" t="n">
        <x:v>3</x:v>
      </x:c>
      <x:c r="T479" s="18" t="str">
        <x:v>Temario general</x:v>
      </x:c>
      <x:c r="U479" s="18" t="str">
        <x:v>El Tribunal Constitucional. Organización, composición y atribuciones.</x:v>
      </x:c>
      <x:c r="V479" s="18" t="str">
        <x:v>G03</x:v>
      </x:c>
      <x:c r="W479" s="18" t="str">
        <x:v>Ley Orgánica 2/1979</x:v>
      </x:c>
      <x:c r="X479" s="18" t="str">
        <x:v>23</x:v>
      </x:c>
      <x:c r="Y479" s="18" t="str">
        <x:v>Artículos literales</x:v>
      </x:c>
      <x:c r="Z479" s="18" t="str">
        <x:v>Media</x:v>
      </x:c>
      <x:c r="AA479" s="18" t="str">
        <x:v>G03</x:v>
      </x:c>
      <x:c r="AB479" s="18" t="str">
        <x:v>Tribunal Constitucional</x:v>
      </x:c>
      <x:c r="AC479" s="18" t="str"/>
      <x:c r="AD479" s="18" t="str">
        <x:v>No</x:v>
      </x:c>
      <x:c r="AE479" s="18" t="str">
        <x:v>Teórico</x:v>
      </x:c>
      <x:c r="AF479" s="18" t="str">
        <x:v>D</x:v>
      </x:c>
      <x:c r="AG479" s="18" t="str">
        <x:v>D</x:v>
      </x:c>
      <x:c r="AH479" s="18" t="str">
        <x:v>Válida</x:v>
      </x:c>
      <x:c r="AI479" s="18" t="str">
        <x:v>01. Información oficial de la oposición\Exámenes oficiales anteriores\2026 Convocatoria 2025 - Acceso libre Verde A.pdf</x:v>
      </x:c>
      <x:c r="AJ479" s="18" t="str">
        <x:v>https://www.seg-social.es/wps/portal/wss/internet/InformacionUtil/9950/88beb45d-ca83-4bab-8162-f94ef2894562/e0c83707-3358-47a9-94d7-508221dad233</x:v>
      </x:c>
      <x:c r="AK479" s="18" t="str">
        <x:v>OCR Windows es-ES sobre PDF oficial</x:v>
      </x:c>
      <x:c r="AL479" s="18" t="n">
        <x:v>100</x:v>
      </x:c>
      <x:c r="AM479" s="18" t="str">
        <x:v>Alta</x:v>
      </x:c>
      <x:c r="AN479" s="18" t="str">
        <x:v>Regla jurídica determinista</x:v>
      </x:c>
      <x:c r="AO479" s="18" t="str">
        <x:v>2026_conv2025_rojo_A-T04</x:v>
      </x:c>
      <x:c r="AP479" s="18" t="n">
        <x:v>0.9959</x:v>
      </x:c>
    </x:row>
    <x:row r="480">
      <x:c r="A480" s="18" t="str">
        <x:v>2026_conv2025_verde_A-T24</x:v>
      </x:c>
      <x:c r="B480" s="18" t="n">
        <x:v>2026</x:v>
      </x:c>
      <x:c r="C480" s="18" t="n">
        <x:v>2025</x:v>
      </x:c>
      <x:c r="D480" s="28" t="n">
        <x:v>46201</x:v>
      </x:c>
      <x:c r="E480" s="18" t="str">
        <x:v>Acceso libre</x:v>
      </x:c>
      <x:c r="F480" s="18" t="str">
        <x:v>Primera parte</x:v>
      </x:c>
      <x:c r="G480" s="18" t="str">
        <x:v>Verde A</x:v>
      </x:c>
      <x:c r="H480" s="18" t="str">
        <x:v>Rojo/Verde A/B</x:v>
      </x:c>
      <x:c r="I480" s="18" t="str">
        <x:v>No</x:v>
      </x:c>
      <x:c r="J480" s="18" t="str">
        <x:v>Los colores y modelos reproducen el mismo conjunto de preguntas con orden y/o opciones permutados; Rojo A es la variante canónica para frecuencias y Verde A se conserva como control de cobertura.</x:v>
      </x:c>
      <x:c r="K480" s="18" t="n">
        <x:v>24</x:v>
      </x:c>
      <x:c r="L480" s="18" t="str">
        <x:v>No</x:v>
      </x:c>
      <x:c r="M480" s="18" t="str">
        <x:v>De conformidad con el artículo 17 del Tratado de la Unión Europea, eI Parlamento Europeo elegirá al candidato para eI cargo de Presidente de la Comisión por:</x:v>
      </x:c>
      <x:c r="N480" s="18" t="str">
        <x:v>Mayoría de los votos emitidos</x:v>
      </x:c>
      <x:c r="O480" s="18" t="str">
        <x:v>Mayoría de los miembros que 10 componen.</x:v>
      </x:c>
      <x:c r="P480" s="18" t="str">
        <x:v>Mayoría cualificada de tres quintos.</x:v>
      </x:c>
      <x:c r="Q480" s="18" t="str">
        <x:v>Unanimidad de los grupos políticos.</x:v>
      </x:c>
      <x:c r="R480" s="18" t="str">
        <x:v>G10</x:v>
      </x:c>
      <x:c r="S480" s="18" t="n">
        <x:v>10</x:v>
      </x:c>
      <x:c r="T480" s="18" t="str">
        <x:v>Temario general</x:v>
      </x:c>
      <x:c r="U480" s="18" t="str">
        <x:v>Las Instituciones de la Unión Europea: El Consejo, el Parlamento Europeo, la Comisión, el Tribunal de Justicia.</x:v>
      </x:c>
      <x:c r="V480" s="18" t="str">
        <x:v>G10</x:v>
      </x:c>
      <x:c r="W480" s="18" t="str">
        <x:v>Tratado de la Unión Europea</x:v>
      </x:c>
      <x:c r="X480" s="18" t="str">
        <x:v>17</x:v>
      </x:c>
      <x:c r="Y480" s="18" t="str">
        <x:v>Artículos literales</x:v>
      </x:c>
      <x:c r="Z480" s="18" t="str">
        <x:v>Media</x:v>
      </x:c>
      <x:c r="AA480" s="18" t="str">
        <x:v>G10</x:v>
      </x:c>
      <x:c r="AB480" s="18" t="str">
        <x:v>Parlamento Europeo</x:v>
      </x:c>
      <x:c r="AC480" s="18" t="str"/>
      <x:c r="AD480" s="18" t="str">
        <x:v>No</x:v>
      </x:c>
      <x:c r="AE480" s="18" t="str">
        <x:v>Teórico</x:v>
      </x:c>
      <x:c r="AF480" s="18" t="str">
        <x:v>B</x:v>
      </x:c>
      <x:c r="AG480" s="18" t="str">
        <x:v>B</x:v>
      </x:c>
      <x:c r="AH480" s="18" t="str">
        <x:v>Válida</x:v>
      </x:c>
      <x:c r="AI480" s="18" t="str">
        <x:v>01. Información oficial de la oposición\Exámenes oficiales anteriores\2026 Convocatoria 2025 - Acceso libre Verde A.pdf</x:v>
      </x:c>
      <x:c r="AJ480" s="18" t="str">
        <x:v>https://www.seg-social.es/wps/portal/wss/internet/InformacionUtil/9950/88beb45d-ca83-4bab-8162-f94ef2894562/e0c83707-3358-47a9-94d7-508221dad233</x:v>
      </x:c>
      <x:c r="AK480" s="18" t="str">
        <x:v>OCR Windows es-ES sobre PDF oficial</x:v>
      </x:c>
      <x:c r="AL480" s="18" t="n">
        <x:v>100</x:v>
      </x:c>
      <x:c r="AM480" s="18" t="str">
        <x:v>Alta</x:v>
      </x:c>
      <x:c r="AN480" s="18" t="str">
        <x:v>Regla jurídica determinista</x:v>
      </x:c>
      <x:c r="AO480" s="18" t="str">
        <x:v>2026_conv2025_rojo_A-T15</x:v>
      </x:c>
      <x:c r="AP480" s="18" t="n">
        <x:v>0.9936</x:v>
      </x:c>
    </x:row>
    <x:row r="481">
      <x:c r="A481" s="18" t="str">
        <x:v>2026_conv2025_verde_A-T25</x:v>
      </x:c>
      <x:c r="B481" s="18" t="n">
        <x:v>2026</x:v>
      </x:c>
      <x:c r="C481" s="18" t="n">
        <x:v>2025</x:v>
      </x:c>
      <x:c r="D481" s="28" t="n">
        <x:v>46201</x:v>
      </x:c>
      <x:c r="E481" s="18" t="str">
        <x:v>Acceso libre</x:v>
      </x:c>
      <x:c r="F481" s="18" t="str">
        <x:v>Primera parte</x:v>
      </x:c>
      <x:c r="G481" s="18" t="str">
        <x:v>Verde A</x:v>
      </x:c>
      <x:c r="H481" s="18" t="str">
        <x:v>Rojo/Verde A/B</x:v>
      </x:c>
      <x:c r="I481" s="18" t="str">
        <x:v>No</x:v>
      </x:c>
      <x:c r="J481" s="18" t="str">
        <x:v>Los colores y modelos reproducen el mismo conjunto de preguntas con orden y/o opciones permutados; Rojo A es la variante canónica para frecuencias y Verde A se conserva como control de cobertura.</x:v>
      </x:c>
      <x:c r="K481" s="18" t="n">
        <x:v>25</x:v>
      </x:c>
      <x:c r="L481" s="18" t="str">
        <x:v>No</x:v>
      </x:c>
      <x:c r="M481" s="18" t="str">
        <x:v>Según el artículo 59.3 de la Constitución Española, señale la afirmación correcta:</x:v>
      </x:c>
      <x:c r="N481" s="18" t="str">
        <x:v>Si no hubiere ninguna persona a quien corresponda la Regencia, ésta será nombrada por el Presidente del Gobierno, y se compondrá de una, tres o cinco personas.</x:v>
      </x:c>
      <x:c r="O481" s="18" t="str">
        <x:v>Si no hubiere ninguna persona a quien corresponda la Regencia, ésta será nombrada por las Cortes Generales, y se compondrá de una, tres o cinco personas.</x:v>
      </x:c>
      <x:c r="P481" s="18" t="str">
        <x:v>Si no hubiere ninguna persona a quien corresponda la Regencia, ésta será nombrada por eI Congreso, y se compondrá de una, tres o cinco personas.</x:v>
      </x:c>
      <x:c r="Q481" s="18" t="str">
        <x:v>Si no hubiere ninguna persona a quien corresponda la Regencia, ésta será nombrada por el Senado, y se compondrá de una, tres o cinco personas.</x:v>
      </x:c>
      <x:c r="R481" s="18" t="str">
        <x:v>G04</x:v>
      </x:c>
      <x:c r="S481" s="18" t="n">
        <x:v>4</x:v>
      </x:c>
      <x:c r="T481" s="18" t="str">
        <x:v>Temario general</x:v>
      </x:c>
      <x:c r="U481" s="18" t="str">
        <x:v>La Corona. Funciones constitucionales del Rey. Sucesión y regencia. El refrendo.</x:v>
      </x:c>
      <x:c r="V481" s="18" t="str">
        <x:v>G04</x:v>
      </x:c>
      <x:c r="W481" s="18" t="str">
        <x:v>Constitución Española</x:v>
      </x:c>
      <x:c r="X481" s="18" t="str">
        <x:v>59.3</x:v>
      </x:c>
      <x:c r="Y481" s="18" t="str">
        <x:v>Artículos literales</x:v>
      </x:c>
      <x:c r="Z481" s="18" t="str">
        <x:v>Media</x:v>
      </x:c>
      <x:c r="AA481" s="18" t="str">
        <x:v>G04</x:v>
      </x:c>
      <x:c r="AB481" s="18" t="str"/>
      <x:c r="AC481" s="18" t="str"/>
      <x:c r="AD481" s="18" t="str">
        <x:v>No</x:v>
      </x:c>
      <x:c r="AE481" s="18" t="str">
        <x:v>Teórico</x:v>
      </x:c>
      <x:c r="AF481" s="18" t="str">
        <x:v>B</x:v>
      </x:c>
      <x:c r="AG481" s="18" t="str">
        <x:v>B</x:v>
      </x:c>
      <x:c r="AH481" s="18" t="str">
        <x:v>Válida</x:v>
      </x:c>
      <x:c r="AI481" s="18" t="str">
        <x:v>01. Información oficial de la oposición\Exámenes oficiales anteriores\2026 Convocatoria 2025 - Acceso libre Verde A.pdf</x:v>
      </x:c>
      <x:c r="AJ481" s="18" t="str">
        <x:v>https://www.seg-social.es/wps/portal/wss/internet/InformacionUtil/9950/88beb45d-ca83-4bab-8162-f94ef2894562/e0c83707-3358-47a9-94d7-508221dad233</x:v>
      </x:c>
      <x:c r="AK481" s="18" t="str">
        <x:v>OCR Windows es-ES sobre PDF oficial</x:v>
      </x:c>
      <x:c r="AL481" s="18" t="n">
        <x:v>100</x:v>
      </x:c>
      <x:c r="AM481" s="18" t="str">
        <x:v>Alta</x:v>
      </x:c>
      <x:c r="AN481" s="18" t="str">
        <x:v>Regla jurídica determinista</x:v>
      </x:c>
      <x:c r="AO481" s="18" t="str">
        <x:v>2026_conv2025_rojo_A-T06</x:v>
      </x:c>
      <x:c r="AP481" s="18" t="n">
        <x:v>0.9878</x:v>
      </x:c>
    </x:row>
    <x:row r="482">
      <x:c r="A482" s="18" t="str">
        <x:v>2026_conv2025_verde_A-T26</x:v>
      </x:c>
      <x:c r="B482" s="18" t="n">
        <x:v>2026</x:v>
      </x:c>
      <x:c r="C482" s="18" t="n">
        <x:v>2025</x:v>
      </x:c>
      <x:c r="D482" s="28" t="n">
        <x:v>46201</x:v>
      </x:c>
      <x:c r="E482" s="18" t="str">
        <x:v>Acceso libre</x:v>
      </x:c>
      <x:c r="F482" s="18" t="str">
        <x:v>Primera parte</x:v>
      </x:c>
      <x:c r="G482" s="18" t="str">
        <x:v>Verde A</x:v>
      </x:c>
      <x:c r="H482" s="18" t="str">
        <x:v>Rojo/Verde A/B</x:v>
      </x:c>
      <x:c r="I482" s="18" t="str">
        <x:v>No</x:v>
      </x:c>
      <x:c r="J482" s="18" t="str">
        <x:v>Los colores y modelos reproducen el mismo conjunto de preguntas con orden y/o opciones permutados; Rojo A es la variante canónica para frecuencias y Verde A se conserva como control de cobertura.</x:v>
      </x:c>
      <x:c r="K482" s="18" t="n">
        <x:v>26</x:v>
      </x:c>
      <x:c r="L482" s="18" t="str">
        <x:v>No</x:v>
      </x:c>
      <x:c r="M482" s="18" t="str">
        <x:v>¿Qué efecto tiene la comparecencia en el trámite de información pública, según el artículo 83 de la Ley 39/2015, de 1 de octubre, del Procedimiento Administrativo Común de las Administraciones Públicas?</x:v>
      </x:c>
      <x:c r="N482" s="18" t="str">
        <x:v>Impide interponer recursos contra la resolución final.</x:v>
      </x:c>
      <x:c r="O482" s="18" t="str">
        <x:v>No otorga por sí misma la condición de interesado.</x:v>
      </x:c>
      <x:c r="P482" s="18" t="str">
        <x:v>Otorga automáticamente la condición de interesado.</x:v>
      </x:c>
      <x:c r="Q482" s="18" t="str">
        <x:v>Obliga a la Administración a suspender el procedimiento.</x:v>
      </x:c>
      <x:c r="R482" s="18" t="str">
        <x:v>G17</x:v>
      </x:c>
      <x:c r="S482" s="18" t="n">
        <x:v>17</x:v>
      </x:c>
      <x:c r="T482" s="18" t="str">
        <x:v>Temario general</x:v>
      </x:c>
      <x:c r="U482" s="18" t="str">
        <x:v>Las fases del procedimiento administrativo: Iniciación, ordenación, instrucción y finalización. La ejecución de los actos y resoluciones administrativas.</x:v>
      </x:c>
      <x:c r="V482" s="18" t="str">
        <x:v>G17</x:v>
      </x:c>
      <x:c r="W482" s="18" t="str">
        <x:v>Ley 39/2015</x:v>
      </x:c>
      <x:c r="X482" s="18" t="str">
        <x:v>83</x:v>
      </x:c>
      <x:c r="Y482" s="18" t="str">
        <x:v>Procedimientos</x:v>
      </x:c>
      <x:c r="Z482" s="18" t="str">
        <x:v>Media</x:v>
      </x:c>
      <x:c r="AA482" s="18" t="str">
        <x:v>G17</x:v>
      </x:c>
      <x:c r="AB482" s="18" t="str"/>
      <x:c r="AC482" s="18" t="str"/>
      <x:c r="AD482" s="18" t="str">
        <x:v>No</x:v>
      </x:c>
      <x:c r="AE482" s="18" t="str">
        <x:v>Teórico</x:v>
      </x:c>
      <x:c r="AF482" s="18" t="str">
        <x:v>B</x:v>
      </x:c>
      <x:c r="AG482" s="18" t="str">
        <x:v>B</x:v>
      </x:c>
      <x:c r="AH482" s="18" t="str">
        <x:v>Válida</x:v>
      </x:c>
      <x:c r="AI482" s="18" t="str">
        <x:v>01. Información oficial de la oposición\Exámenes oficiales anteriores\2026 Convocatoria 2025 - Acceso libre Verde A.pdf</x:v>
      </x:c>
      <x:c r="AJ482" s="18" t="str">
        <x:v>https://www.seg-social.es/wps/portal/wss/internet/InformacionUtil/9950/88beb45d-ca83-4bab-8162-f94ef2894562/e0c83707-3358-47a9-94d7-508221dad233</x:v>
      </x:c>
      <x:c r="AK482" s="18" t="str">
        <x:v>OCR Windows es-ES sobre PDF oficial</x:v>
      </x:c>
      <x:c r="AL482" s="18" t="n">
        <x:v>100</x:v>
      </x:c>
      <x:c r="AM482" s="18" t="str">
        <x:v>Alta</x:v>
      </x:c>
      <x:c r="AN482" s="18" t="str">
        <x:v>Regla jurídica determinista</x:v>
      </x:c>
      <x:c r="AO482" s="18" t="str">
        <x:v>2026_conv2025_rojo_A-T21</x:v>
      </x:c>
      <x:c r="AP482" s="18" t="n">
        <x:v>0.995</x:v>
      </x:c>
    </x:row>
    <x:row r="483">
      <x:c r="A483" s="18" t="str">
        <x:v>2026_conv2025_verde_A-T27</x:v>
      </x:c>
      <x:c r="B483" s="18" t="n">
        <x:v>2026</x:v>
      </x:c>
      <x:c r="C483" s="18" t="n">
        <x:v>2025</x:v>
      </x:c>
      <x:c r="D483" s="28" t="n">
        <x:v>46201</x:v>
      </x:c>
      <x:c r="E483" s="18" t="str">
        <x:v>Acceso libre</x:v>
      </x:c>
      <x:c r="F483" s="18" t="str">
        <x:v>Primera parte</x:v>
      </x:c>
      <x:c r="G483" s="18" t="str">
        <x:v>Verde A</x:v>
      </x:c>
      <x:c r="H483" s="18" t="str">
        <x:v>Rojo/Verde A/B</x:v>
      </x:c>
      <x:c r="I483" s="18" t="str">
        <x:v>No</x:v>
      </x:c>
      <x:c r="J483" s="18" t="str">
        <x:v>Los colores y modelos reproducen el mismo conjunto de preguntas con orden y/o opciones permutados; Rojo A es la variante canónica para frecuencias y Verde A se conserva como control de cobertura.</x:v>
      </x:c>
      <x:c r="K483" s="18" t="n">
        <x:v>27</x:v>
      </x:c>
      <x:c r="L483" s="18" t="str">
        <x:v>No</x:v>
      </x:c>
      <x:c r="M483" s="18" t="str">
        <x:v>Respecto a los derechos retributivos de los emp!eados públicos regulados en eI Real Decreto Legislativo 5/2015, de 30 de octubre, por eI que se aprueba eI texto refundido de la Ley del Estatuto Básico del Empleado Público, señale la respuesta INCORRECTA:</x:v>
      </x:c>
      <x:c r="N483" s="18" t="str">
        <x:v>Las retribuciones complementarias son las que retribuyen las características de los puestos de trabajo, la carrera profesional o el desempeño, rendimiento o resultados alcanzados por el funcionario.</x:v>
      </x:c>
      <x:c r="O483" s="18" t="str">
        <x:v>Los trienios, en su condición de retribución complementaria, consisten en una cantidad que será igual para cada Subgrupo o Grupo de clasificación profesional, en el supuesto de que éste no tenga Subgrupo, por cada tres años de servicio.</x:v>
      </x:c>
      <x:c r="P483" s="18" t="str">
        <x:v>Las retribuciones complementarias contemplan la especial dificultad técnica, responsabilidad, dedicación, incompatibilidad exigible para eI desempeño de determinados puestos de trabajo o las condiciones en que se desarrolla el trabajo.</x:v>
      </x:c>
      <x:c r="Q483" s="18" t="str">
        <x:v>No podrá percibirse participación en tributos o en cualquier otro ingreso de las Administraciones Públicas como contraprestación de cualquier servicio, participación o premio en multas impuestas, aun cuando estuviesen normativamente atribuidas a los servicios.</x:v>
      </x:c>
      <x:c r="R483" s="18" t="str">
        <x:v>G19</x:v>
      </x:c>
      <x:c r="S483" s="18" t="n">
        <x:v>19</x:v>
      </x:c>
      <x:c r="T483" s="18" t="str">
        <x:v>Temario general</x:v>
      </x:c>
      <x:c r="U483" s="18" t="str">
        <x:v>El personal al servicio de las Administraciones Públicas: concepto y clases. Derechos y deberes de los funcionarios. La carrera administrativa. Las incompatibilidades. Régimen disciplinario: faltas, sanciones y procedimiento.</x:v>
      </x:c>
      <x:c r="V483" s="18" t="str">
        <x:v>G19</x:v>
      </x:c>
      <x:c r="W483" s="18" t="str">
        <x:v>Real Decreto Legislativo 5/2015</x:v>
      </x:c>
      <x:c r="X483" s="18" t="str"/>
      <x:c r="Y483" s="18" t="str">
        <x:v>Artículos literales</x:v>
      </x:c>
      <x:c r="Z483" s="18" t="str">
        <x:v>Alta</x:v>
      </x:c>
      <x:c r="AA483" s="18" t="str">
        <x:v>G19</x:v>
      </x:c>
      <x:c r="AB483" s="18" t="str"/>
      <x:c r="AC483" s="18" t="str"/>
      <x:c r="AD483" s="18" t="str">
        <x:v>Sí</x:v>
      </x:c>
      <x:c r="AE483" s="18" t="str">
        <x:v>Teórico</x:v>
      </x:c>
      <x:c r="AF483" s="18" t="str">
        <x:v>B</x:v>
      </x:c>
      <x:c r="AG483" s="18" t="str">
        <x:v>B</x:v>
      </x:c>
      <x:c r="AH483" s="18" t="str">
        <x:v>Válida</x:v>
      </x:c>
      <x:c r="AI483" s="18" t="str">
        <x:v>01. Información oficial de la oposición\Exámenes oficiales anteriores\2026 Convocatoria 2025 - Acceso libre Verde A.pdf</x:v>
      </x:c>
      <x:c r="AJ483" s="18" t="str">
        <x:v>https://www.seg-social.es/wps/portal/wss/internet/InformacionUtil/9950/88beb45d-ca83-4bab-8162-f94ef2894562/e0c83707-3358-47a9-94d7-508221dad233</x:v>
      </x:c>
      <x:c r="AK483" s="18" t="str">
        <x:v>OCR Windows es-ES sobre PDF oficial</x:v>
      </x:c>
      <x:c r="AL483" s="18" t="n">
        <x:v>100</x:v>
      </x:c>
      <x:c r="AM483" s="18" t="str">
        <x:v>Alta</x:v>
      </x:c>
      <x:c r="AN483" s="18" t="str">
        <x:v>Regla jurídica determinista</x:v>
      </x:c>
      <x:c r="AO483" s="18" t="str">
        <x:v>2026_conv2025_rojo_A-T24</x:v>
      </x:c>
      <x:c r="AP483" s="18" t="n">
        <x:v>0.9921</x:v>
      </x:c>
    </x:row>
    <x:row r="484">
      <x:c r="A484" s="18" t="str">
        <x:v>2026_conv2025_verde_A-T28</x:v>
      </x:c>
      <x:c r="B484" s="18" t="n">
        <x:v>2026</x:v>
      </x:c>
      <x:c r="C484" s="18" t="n">
        <x:v>2025</x:v>
      </x:c>
      <x:c r="D484" s="28" t="n">
        <x:v>46201</x:v>
      </x:c>
      <x:c r="E484" s="18" t="str">
        <x:v>Acceso libre</x:v>
      </x:c>
      <x:c r="F484" s="18" t="str">
        <x:v>Primera parte</x:v>
      </x:c>
      <x:c r="G484" s="18" t="str">
        <x:v>Verde A</x:v>
      </x:c>
      <x:c r="H484" s="18" t="str">
        <x:v>Rojo/Verde A/B</x:v>
      </x:c>
      <x:c r="I484" s="18" t="str">
        <x:v>No</x:v>
      </x:c>
      <x:c r="J484" s="18" t="str">
        <x:v>Los colores y modelos reproducen el mismo conjunto de preguntas con orden y/o opciones permutados; Rojo A es la variante canónica para frecuencias y Verde A se conserva como control de cobertura.</x:v>
      </x:c>
      <x:c r="K484" s="18" t="n">
        <x:v>28</x:v>
      </x:c>
      <x:c r="L484" s="18" t="str">
        <x:v>No</x:v>
      </x:c>
      <x:c r="M484" s="18" t="str">
        <x:v>Determine cuál de las siguientes es una competencia ejercida por el Subsecretario:</x:v>
      </x:c>
      <x:c r="N484" s="18" t="str">
        <x:v>Conceder subvenciones y ayudas con cargo a los créditos de gasto propios de la Secretaría de Estado, con los límites establecidos por eI titular del Departamento.</x:v>
      </x:c>
      <x:c r="O484" s="18" t="str">
        <x:v>Convocar y resolver los concursos de personal funcionario.</x:v>
      </x:c>
      <x:c r="P484" s="18" t="str">
        <x:v>Imponer la sanción de separación del servicio por faltas muy graves.</x:v>
      </x:c>
      <x:c r="Q484" s="18" t="str">
        <x:v>Aprobar las propuestas de los estados de gastos del Ministerio, y de los presupuestos de los Organismos públicos dependientes y remitirlas al Ministerio de Hacienda y Administraciones Públicas.</x:v>
      </x:c>
      <x:c r="R484" s="18" t="str">
        <x:v>G08</x:v>
      </x:c>
      <x:c r="S484" s="18" t="n">
        <x:v>8</x:v>
      </x:c>
      <x:c r="T484" s="18" t="str">
        <x:v>Temario general</x:v>
      </x:c>
      <x:c r="U484" s="18" t="str">
        <x:v>La Administración General del Estado. Principios de organización y funcionamiento. Órganos centrales. Órganos superiores y órganos directivos: creación, nombramiento, cese y funciones. Los servicios comunes de los ministerios. Órganos territoriales. La Administración del Estado en el Exterior.</x:v>
      </x:c>
      <x:c r="V484" s="18" t="str">
        <x:v>G08</x:v>
      </x:c>
      <x:c r="W484" s="18" t="str"/>
      <x:c r="X484" s="18" t="str"/>
      <x:c r="Y484" s="18" t="str">
        <x:v>Competencias</x:v>
      </x:c>
      <x:c r="Z484" s="18" t="str">
        <x:v>Básica</x:v>
      </x:c>
      <x:c r="AA484" s="18" t="str">
        <x:v>G08</x:v>
      </x:c>
      <x:c r="AB484" s="18" t="str"/>
      <x:c r="AC484" s="18" t="str"/>
      <x:c r="AD484" s="18" t="str">
        <x:v>No</x:v>
      </x:c>
      <x:c r="AE484" s="18" t="str">
        <x:v>Teórico</x:v>
      </x:c>
      <x:c r="AF484" s="18" t="str">
        <x:v>B</x:v>
      </x:c>
      <x:c r="AG484" s="18" t="str">
        <x:v>B</x:v>
      </x:c>
      <x:c r="AH484" s="18" t="str">
        <x:v>Válida</x:v>
      </x:c>
      <x:c r="AI484" s="18" t="str">
        <x:v>01. Información oficial de la oposición\Exámenes oficiales anteriores\2026 Convocatoria 2025 - Acceso libre Verde A.pdf</x:v>
      </x:c>
      <x:c r="AJ484" s="18" t="str">
        <x:v>https://www.seg-social.es/wps/portal/wss/internet/InformacionUtil/9950/88beb45d-ca83-4bab-8162-f94ef2894562/e0c83707-3358-47a9-94d7-508221dad233</x:v>
      </x:c>
      <x:c r="AK484" s="18" t="str">
        <x:v>OCR Windows es-ES sobre PDF oficial</x:v>
      </x:c>
      <x:c r="AL484" s="18" t="n">
        <x:v>100</x:v>
      </x:c>
      <x:c r="AM484" s="18" t="str">
        <x:v>Alta</x:v>
      </x:c>
      <x:c r="AN484" s="18" t="str">
        <x:v>Regla jurídica determinista</x:v>
      </x:c>
      <x:c r="AO484" s="18" t="str">
        <x:v>2026_conv2025_rojo_A-T12</x:v>
      </x:c>
      <x:c r="AP484" s="18" t="n">
        <x:v>1</x:v>
      </x:c>
    </x:row>
    <x:row r="485">
      <x:c r="A485" s="18" t="str">
        <x:v>2026_conv2025_verde_A-T29</x:v>
      </x:c>
      <x:c r="B485" s="18" t="n">
        <x:v>2026</x:v>
      </x:c>
      <x:c r="C485" s="18" t="n">
        <x:v>2025</x:v>
      </x:c>
      <x:c r="D485" s="28" t="n">
        <x:v>46201</x:v>
      </x:c>
      <x:c r="E485" s="18" t="str">
        <x:v>Acceso libre</x:v>
      </x:c>
      <x:c r="F485" s="18" t="str">
        <x:v>Primera parte</x:v>
      </x:c>
      <x:c r="G485" s="18" t="str">
        <x:v>Verde A</x:v>
      </x:c>
      <x:c r="H485" s="18" t="str">
        <x:v>Rojo/Verde A/B</x:v>
      </x:c>
      <x:c r="I485" s="18" t="str">
        <x:v>No</x:v>
      </x:c>
      <x:c r="J485" s="18" t="str">
        <x:v>Los colores y modelos reproducen el mismo conjunto de preguntas con orden y/o opciones permutados; Rojo A es la variante canónica para frecuencias y Verde A se conserva como control de cobertura.</x:v>
      </x:c>
      <x:c r="K485" s="18" t="n">
        <x:v>29</x:v>
      </x:c>
      <x:c r="L485" s="18" t="str">
        <x:v>No</x:v>
      </x:c>
      <x:c r="M485" s="18" t="str">
        <x:v>EI artículo 34 del Real Decreto 1415/2004, de 11 de junio, por eI que se aprueba el Reglamento General de Recaudación de la Seguridad Social, establece que en los aplazamientos en los que se haya eximido de constituir garantías por causas de carácter extraordinario, eI interés aplicable será:</x:v>
      </x:c>
      <x:c r="N485" s="18" t="str">
        <x:v>EI interés legal del dinero.</x:v>
      </x:c>
      <x:c r="O485" s="18" t="str">
        <x:v>EI interés de demora.</x:v>
      </x:c>
      <x:c r="P485" s="18" t="str">
        <x:v>EI interés legal del dinero incrementado en el interés de demora.</x:v>
      </x:c>
      <x:c r="Q485" s="18" t="str">
        <x:v>No se devenga interés.</x:v>
      </x:c>
      <x:c r="R485" s="18" t="str">
        <x:v>S05</x:v>
      </x:c>
      <x:c r="S485" s="18" t="n">
        <x:v>5</x:v>
      </x:c>
      <x:c r="T485" s="18" t="str">
        <x:v>Temario específico Seguridad Social</x:v>
      </x:c>
      <x:c r="U485" s="18" t="str">
        <x:v>La gestión recaudatoria: concepto, competencia y objeto. Responsables del pago. Requisitos para el pago. Medios de pago. Control de recaudación. Revisión de los actos de gestión recaudatoria. La recaudación en periodo voluntario. Efectos de la falta de cotización en período reglamentario. Recaudación de otros recursos. Aplazamientos. Devolución de ingresos indebidos. Capital coste de pensiones.</x:v>
      </x:c>
      <x:c r="V485" s="18" t="str">
        <x:v>S05</x:v>
      </x:c>
      <x:c r="W485" s="18" t="str">
        <x:v>Real Decreto 1415/2004</x:v>
      </x:c>
      <x:c r="X485" s="18" t="str">
        <x:v>34</x:v>
      </x:c>
      <x:c r="Y485" s="18" t="str">
        <x:v>Recaudación</x:v>
      </x:c>
      <x:c r="Z485" s="18" t="str">
        <x:v>Media</x:v>
      </x:c>
      <x:c r="AA485" s="18" t="str">
        <x:v>S05</x:v>
      </x:c>
      <x:c r="AB485" s="18" t="str"/>
      <x:c r="AC485" s="18" t="str"/>
      <x:c r="AD485" s="18" t="str">
        <x:v>No</x:v>
      </x:c>
      <x:c r="AE485" s="18" t="str">
        <x:v>Teórico</x:v>
      </x:c>
      <x:c r="AF485" s="18" t="str">
        <x:v>B</x:v>
      </x:c>
      <x:c r="AG485" s="18" t="str">
        <x:v>ANULADA</x:v>
      </x:c>
      <x:c r="AH485" s="18" t="str">
        <x:v>Anulada</x:v>
      </x:c>
      <x:c r="AI485" s="18" t="str">
        <x:v>01. Información oficial de la oposición\Exámenes oficiales anteriores\2026 Convocatoria 2025 - Acceso libre Verde A.pdf</x:v>
      </x:c>
      <x:c r="AJ485" s="18" t="str">
        <x:v>https://www.seg-social.es/wps/portal/wss/internet/InformacionUtil/9950/88beb45d-ca83-4bab-8162-f94ef2894562/e0c83707-3358-47a9-94d7-508221dad233</x:v>
      </x:c>
      <x:c r="AK485" s="18" t="str">
        <x:v>OCR Windows es-ES sobre PDF oficial</x:v>
      </x:c>
      <x:c r="AL485" s="18" t="n">
        <x:v>100</x:v>
      </x:c>
      <x:c r="AM485" s="18" t="str">
        <x:v>Alta</x:v>
      </x:c>
      <x:c r="AN485" s="18" t="str">
        <x:v>Regla jurídica determinista</x:v>
      </x:c>
      <x:c r="AO485" s="18" t="str">
        <x:v>2026_conv2025_rojo_A-T43</x:v>
      </x:c>
      <x:c r="AP485" s="18" t="n">
        <x:v>0.9898</x:v>
      </x:c>
    </x:row>
    <x:row r="486">
      <x:c r="A486" s="18" t="str">
        <x:v>2026_conv2025_verde_A-T30</x:v>
      </x:c>
      <x:c r="B486" s="18" t="n">
        <x:v>2026</x:v>
      </x:c>
      <x:c r="C486" s="18" t="n">
        <x:v>2025</x:v>
      </x:c>
      <x:c r="D486" s="28" t="n">
        <x:v>46201</x:v>
      </x:c>
      <x:c r="E486" s="18" t="str">
        <x:v>Acceso libre</x:v>
      </x:c>
      <x:c r="F486" s="18" t="str">
        <x:v>Primera parte</x:v>
      </x:c>
      <x:c r="G486" s="18" t="str">
        <x:v>Verde A</x:v>
      </x:c>
      <x:c r="H486" s="18" t="str">
        <x:v>Rojo/Verde A/B</x:v>
      </x:c>
      <x:c r="I486" s="18" t="str">
        <x:v>No</x:v>
      </x:c>
      <x:c r="J486" s="18" t="str">
        <x:v>Los colores y modelos reproducen el mismo conjunto de preguntas con orden y/o opciones permutados; Rojo A es la variante canónica para frecuencias y Verde A se conserva como control de cobertura.</x:v>
      </x:c>
      <x:c r="K486" s="18" t="n">
        <x:v>30</x:v>
      </x:c>
      <x:c r="L486" s="18" t="str">
        <x:v>No</x:v>
      </x:c>
      <x:c r="M486" s="18" t="str">
        <x:v>En relación con los efectos que producen las altas, bajas y variaciones en los diferentes regímenes de la Seguridad Social según el Real Decreto 84/1996, de 26 de enero:</x:v>
      </x:c>
      <x:c r="N486" s="18" t="str">
        <x:v>Las altas presentadas con anterioridad a los 60 días naturales al inicio de la actividad producirán efectos desde el día en que se inicie la actividad.</x:v>
      </x:c>
      <x:c r="O486" s="18" t="str">
        <x:v>Las altas practicadas de oficio por las Direcciones Provinciales de la TGSS o administraciones de la Seguridad Social retrotraerán sus efectos a la fecha en que los hechos que las motiven hayan sido conocidos por unas u otras.</x:v>
      </x:c>
      <x:c r="P486" s="18" t="str">
        <x:v>Las bajas que se comuniquen al sexto día del cese en eI trabajo, producirán efectos desde el día del cese.</x:v>
      </x:c>
      <x:c r="Q486" s="18" t="str">
        <x:v>Las variaciones que puedan producirse en los datos de los trabajadores en alta causarán efectos a partir del momento en que aquellas se produzcan siempre que sean comunicadas en cualquier momento y de la forma establecida a la Tesorería General de la Seguridad Social.</x:v>
      </x:c>
      <x:c r="R486" s="18" t="str">
        <x:v>S03</x:v>
      </x:c>
      <x:c r="S486" s="18" t="n">
        <x:v>3</x:v>
      </x:c>
      <x:c r="T486" s="18" t="str">
        <x:v>Temario específico Seguridad Social</x:v>
      </x:c>
      <x:c r="U486" s="18" t="str">
        <x:v>Normas sobre afiliación. Altas y bajas en el régimen general. Procedimiento y efectos. El convenio especial y otras situaciones asimiladas a la del alta. Encuadramiento e inscripción.</x:v>
      </x:c>
      <x:c r="V486" s="18" t="str">
        <x:v>S03</x:v>
      </x:c>
      <x:c r="W486" s="18" t="str">
        <x:v>Real Decreto 84/1996</x:v>
      </x:c>
      <x:c r="X486" s="18" t="str"/>
      <x:c r="Y486" s="18" t="str">
        <x:v>Afiliación, altas y bajas</x:v>
      </x:c>
      <x:c r="Z486" s="18" t="str">
        <x:v>Media</x:v>
      </x:c>
      <x:c r="AA486" s="18" t="str">
        <x:v>S03</x:v>
      </x:c>
      <x:c r="AB486" s="18" t="str"/>
      <x:c r="AC486" s="18" t="str"/>
      <x:c r="AD486" s="18" t="str">
        <x:v>No</x:v>
      </x:c>
      <x:c r="AE486" s="18" t="str">
        <x:v>Teórico</x:v>
      </x:c>
      <x:c r="AF486" s="18" t="str">
        <x:v>B</x:v>
      </x:c>
      <x:c r="AG486" s="18" t="str">
        <x:v>B</x:v>
      </x:c>
      <x:c r="AH486" s="18" t="str">
        <x:v>Válida</x:v>
      </x:c>
      <x:c r="AI486" s="18" t="str">
        <x:v>01. Información oficial de la oposición\Exámenes oficiales anteriores\2026 Convocatoria 2025 - Acceso libre Verde A.pdf</x:v>
      </x:c>
      <x:c r="AJ486" s="18" t="str">
        <x:v>https://www.seg-social.es/wps/portal/wss/internet/InformacionUtil/9950/88beb45d-ca83-4bab-8162-f94ef2894562/e0c83707-3358-47a9-94d7-508221dad233</x:v>
      </x:c>
      <x:c r="AK486" s="18" t="str">
        <x:v>OCR Windows es-ES sobre PDF oficial</x:v>
      </x:c>
      <x:c r="AL486" s="18" t="n">
        <x:v>100</x:v>
      </x:c>
      <x:c r="AM486" s="18" t="str">
        <x:v>Alta</x:v>
      </x:c>
      <x:c r="AN486" s="18" t="str">
        <x:v>Regla jurídica determinista</x:v>
      </x:c>
      <x:c r="AO486" s="18" t="str">
        <x:v>2026_conv2025_rojo_A-T36</x:v>
      </x:c>
      <x:c r="AP486" s="18" t="n">
        <x:v>1</x:v>
      </x:c>
    </x:row>
    <x:row r="487">
      <x:c r="A487" s="18" t="str">
        <x:v>2026_conv2025_verde_A-T31</x:v>
      </x:c>
      <x:c r="B487" s="18" t="n">
        <x:v>2026</x:v>
      </x:c>
      <x:c r="C487" s="18" t="n">
        <x:v>2025</x:v>
      </x:c>
      <x:c r="D487" s="28" t="n">
        <x:v>46201</x:v>
      </x:c>
      <x:c r="E487" s="18" t="str">
        <x:v>Acceso libre</x:v>
      </x:c>
      <x:c r="F487" s="18" t="str">
        <x:v>Primera parte</x:v>
      </x:c>
      <x:c r="G487" s="18" t="str">
        <x:v>Verde A</x:v>
      </x:c>
      <x:c r="H487" s="18" t="str">
        <x:v>Rojo/Verde A/B</x:v>
      </x:c>
      <x:c r="I487" s="18" t="str">
        <x:v>No</x:v>
      </x:c>
      <x:c r="J487" s="18" t="str">
        <x:v>Los colores y modelos reproducen el mismo conjunto de preguntas con orden y/o opciones permutados; Rojo A es la variante canónica para frecuencias y Verde A se conserva como control de cobertura.</x:v>
      </x:c>
      <x:c r="K487" s="18" t="n">
        <x:v>31</x:v>
      </x:c>
      <x:c r="L487" s="18" t="str">
        <x:v>No</x:v>
      </x:c>
      <x:c r="M487" s="18" t="str">
        <x:v>Según el artículo 253 del texto refundido de la Ley General de la Seguridad Social, la exclusión del Sistema Especial para Trabajadores por Cuenta Ajena Agrarios durante los períodos de inactividad, con la consiguiente baja en eI Régimen General, podrá producirse:</x:v>
      </x:c>
      <x:c r="N487" s="18" t="str">
        <x:v>De oficio por la Tesorería General de la Seguridad Social cuando eI trabajador no realice un mínimo de 30 jornadas de labores agrarias en un período continuado de trescientos sesenta y cinco días, computados desde el siguiente a aquel en que finalice el período anterior.</x:v>
      </x:c>
      <x:c r="O487" s="18" t="str">
        <x:v>De oficio por la Tesorería General de la Seguridad Social cuando eI trabajador no realice un mínimo de 50 jornadas de labores agrarias en un período continuado de trescientos sesenta y cinco días, computados desde el siguiente a aquel en que finalice el período anterior.</x:v>
      </x:c>
      <x:c r="P487" s="18" t="str">
        <x:v>De oficio por la Tesorería General de la Seguridad Social cuando eI trabajador no realice un mínimo de 60 jornadas de labores agrarias en un período continuado de trescientos sesenta y cinco días, computados desde el siguiente a aquel en que finalice el período anterior.</x:v>
      </x:c>
      <x:c r="Q487" s="18" t="str">
        <x:v>De oficio por la Tesorería General de la Seguridad Social cuando eI trabajador no realice un mínimo de 40 jornadas de labores agrarias en un período continuado de trescientos sesenta y cinco días, computados desde el siguiente a aquel en que finalice el período anterior.</x:v>
      </x:c>
      <x:c r="R487" s="18" t="str">
        <x:v>S02</x:v>
      </x:c>
      <x:c r="S487" s="18" t="n">
        <x:v>2</x:v>
      </x:c>
      <x:c r="T487" s="18" t="str">
        <x:v>Temario específico Seguridad Social</x:v>
      </x:c>
      <x:c r="U487" s="18" t="str">
        <x:v>Campo de aplicación y composición del sistema de la Seguridad Social. Régimen general: ámbito subjetivo de aplicación, inclusiones y exclusiones. Regímenes especiales: enumeración, características generales, altas, bajas y cotización. Particularidades de la acción protectora. Sistemas especiales: enumeración y características generales. Altas, bajas y cotización. Particularidades de la acción protectora.</x:v>
      </x:c>
      <x:c r="V487" s="18" t="str">
        <x:v>baja</x:v>
      </x:c>
      <x:c r="W487" s="18" t="str">
        <x:v>texto refundido de la Ley General de la Seguridad Social</x:v>
      </x:c>
      <x:c r="X487" s="18" t="str">
        <x:v>253</x:v>
      </x:c>
      <x:c r="Y487" s="18" t="str">
        <x:v>Artículos literales</x:v>
      </x:c>
      <x:c r="Z487" s="18" t="str">
        <x:v>Media</x:v>
      </x:c>
      <x:c r="AA487" s="18" t="str">
        <x:v>baja</x:v>
      </x:c>
      <x:c r="AB487" s="18" t="str"/>
      <x:c r="AC487" s="18" t="str"/>
      <x:c r="AD487" s="18" t="str">
        <x:v>No</x:v>
      </x:c>
      <x:c r="AE487" s="18" t="str">
        <x:v>Teórico</x:v>
      </x:c>
      <x:c r="AF487" s="18" t="str">
        <x:v>A</x:v>
      </x:c>
      <x:c r="AG487" s="18" t="str">
        <x:v>A</x:v>
      </x:c>
      <x:c r="AH487" s="18" t="str">
        <x:v>Válida</x:v>
      </x:c>
      <x:c r="AI487" s="18" t="str">
        <x:v>01. Información oficial de la oposición\Exámenes oficiales anteriores\2026 Convocatoria 2025 - Acceso libre Verde A.pdf</x:v>
      </x:c>
      <x:c r="AJ487" s="18" t="str">
        <x:v>https://www.seg-social.es/wps/portal/wss/internet/InformacionUtil/9950/88beb45d-ca83-4bab-8162-f94ef2894562/e0c83707-3358-47a9-94d7-508221dad233</x:v>
      </x:c>
      <x:c r="AK487" s="18" t="str">
        <x:v>OCR Windows es-ES sobre PDF oficial</x:v>
      </x:c>
      <x:c r="AL487" s="18" t="n">
        <x:v>100</x:v>
      </x:c>
      <x:c r="AM487" s="18" t="str">
        <x:v>Alta</x:v>
      </x:c>
      <x:c r="AN487" s="18" t="str">
        <x:v>Regla jurídica determinista</x:v>
      </x:c>
      <x:c r="AO487" s="18" t="str">
        <x:v>2026_conv2025_rojo_A-T40</x:v>
      </x:c>
      <x:c r="AP487" s="18" t="n">
        <x:v>1</x:v>
      </x:c>
    </x:row>
    <x:row r="488">
      <x:c r="A488" s="18" t="str">
        <x:v>2026_conv2025_verde_A-T32</x:v>
      </x:c>
      <x:c r="B488" s="18" t="n">
        <x:v>2026</x:v>
      </x:c>
      <x:c r="C488" s="18" t="n">
        <x:v>2025</x:v>
      </x:c>
      <x:c r="D488" s="28" t="n">
        <x:v>46201</x:v>
      </x:c>
      <x:c r="E488" s="18" t="str">
        <x:v>Acceso libre</x:v>
      </x:c>
      <x:c r="F488" s="18" t="str">
        <x:v>Primera parte</x:v>
      </x:c>
      <x:c r="G488" s="18" t="str">
        <x:v>Verde A</x:v>
      </x:c>
      <x:c r="H488" s="18" t="str">
        <x:v>Rojo/Verde A/B</x:v>
      </x:c>
      <x:c r="I488" s="18" t="str">
        <x:v>No</x:v>
      </x:c>
      <x:c r="J488" s="18" t="str">
        <x:v>Los colores y modelos reproducen el mismo conjunto de preguntas con orden y/o opciones permutados; Rojo A es la variante canónica para frecuencias y Verde A se conserva como control de cobertura.</x:v>
      </x:c>
      <x:c r="K488" s="18" t="n">
        <x:v>32</x:v>
      </x:c>
      <x:c r="L488" s="18" t="str">
        <x:v>No</x:v>
      </x:c>
      <x:c r="M488" s="18" t="str">
        <x:v>De acuerdo con eI artículo 113 del Real Decreto 1415/2004, de 11 de junio, por eI que se aprueba el Reglamento General de Recaudación de la Seguridad Social, cuando los bienes embargados sean muebles o semovientes, podrán ser enajenados por concurso autorizado por:</x:v>
      </x:c>
      <x:c r="N488" s="18" t="str">
        <x:v>La persona titular de la Dirección Provincial.</x:v>
      </x:c>
      <x:c r="O488" s="18" t="str">
        <x:v>La persona titular de la Subdirección General de Procedimientos Ejecutivos y Especiales de Recaudación.</x:v>
      </x:c>
      <x:c r="P488" s="18" t="str">
        <x:v>La persona titular de la Dirección General.</x:v>
      </x:c>
      <x:c r="Q488" s="18" t="str">
        <x:v>La persona titular de la Unidad de Recaudación Ejecutiva.</x:v>
      </x:c>
      <x:c r="R488" s="18" t="str">
        <x:v>S06</x:v>
      </x:c>
      <x:c r="S488" s="18" t="n">
        <x:v>6</x:v>
      </x:c>
      <x:c r="T488" s="18" t="str">
        <x:v>Temario específico Seguridad Social</x:v>
      </x:c>
      <x:c r="U488" s="18" t="str">
        <x:v>La recaudación en vía ejecutiva. Normas generales. Iniciación y título ejecutivo. La providencia de apremio. Oposición y efectos. El embargo de bienes. Enajenación de bienes: modalidades. Créditos incobrables. Tercerías.</x:v>
      </x:c>
      <x:c r="V488" s="18" t="str">
        <x:v>S06</x:v>
      </x:c>
      <x:c r="W488" s="18" t="str">
        <x:v>Real Decreto 1415/2004</x:v>
      </x:c>
      <x:c r="X488" s="18" t="str">
        <x:v>113</x:v>
      </x:c>
      <x:c r="Y488" s="18" t="str">
        <x:v>Recaudación ejecutiva</x:v>
      </x:c>
      <x:c r="Z488" s="18" t="str">
        <x:v>Media</x:v>
      </x:c>
      <x:c r="AA488" s="18" t="str">
        <x:v>S06</x:v>
      </x:c>
      <x:c r="AB488" s="18" t="str"/>
      <x:c r="AC488" s="18" t="str"/>
      <x:c r="AD488" s="18" t="str">
        <x:v>No</x:v>
      </x:c>
      <x:c r="AE488" s="18" t="str">
        <x:v>Teórico</x:v>
      </x:c>
      <x:c r="AF488" s="18" t="str">
        <x:v>A</x:v>
      </x:c>
      <x:c r="AG488" s="18" t="str">
        <x:v>A</x:v>
      </x:c>
      <x:c r="AH488" s="18" t="str">
        <x:v>Válida</x:v>
      </x:c>
      <x:c r="AI488" s="18" t="str">
        <x:v>01. Información oficial de la oposición\Exámenes oficiales anteriores\2026 Convocatoria 2025 - Acceso libre Verde A.pdf</x:v>
      </x:c>
      <x:c r="AJ488" s="18" t="str">
        <x:v>https://www.seg-social.es/wps/portal/wss/internet/InformacionUtil/9950/88beb45d-ca83-4bab-8162-f94ef2894562/e0c83707-3358-47a9-94d7-508221dad233</x:v>
      </x:c>
      <x:c r="AK488" s="18" t="str">
        <x:v>OCR Windows es-ES sobre PDF oficial</x:v>
      </x:c>
      <x:c r="AL488" s="18" t="n">
        <x:v>100</x:v>
      </x:c>
      <x:c r="AM488" s="18" t="str">
        <x:v>Alta</x:v>
      </x:c>
      <x:c r="AN488" s="18" t="str">
        <x:v>Regla jurídica determinista</x:v>
      </x:c>
      <x:c r="AO488" s="18" t="str">
        <x:v>2026_conv2025_rojo_A-T47</x:v>
      </x:c>
      <x:c r="AP488" s="18" t="n">
        <x:v>0.9887</x:v>
      </x:c>
    </x:row>
    <x:row r="489">
      <x:c r="A489" s="18" t="str">
        <x:v>2026_conv2025_verde_A-T33</x:v>
      </x:c>
      <x:c r="B489" s="18" t="n">
        <x:v>2026</x:v>
      </x:c>
      <x:c r="C489" s="18" t="n">
        <x:v>2025</x:v>
      </x:c>
      <x:c r="D489" s="28" t="n">
        <x:v>46201</x:v>
      </x:c>
      <x:c r="E489" s="18" t="str">
        <x:v>Acceso libre</x:v>
      </x:c>
      <x:c r="F489" s="18" t="str">
        <x:v>Primera parte</x:v>
      </x:c>
      <x:c r="G489" s="18" t="str">
        <x:v>Verde A</x:v>
      </x:c>
      <x:c r="H489" s="18" t="str">
        <x:v>Rojo/Verde A/B</x:v>
      </x:c>
      <x:c r="I489" s="18" t="str">
        <x:v>No</x:v>
      </x:c>
      <x:c r="J489" s="18" t="str">
        <x:v>Los colores y modelos reproducen el mismo conjunto de preguntas con orden y/o opciones permutados; Rojo A es la variante canónica para frecuencias y Verde A se conserva como control de cobertura.</x:v>
      </x:c>
      <x:c r="K489" s="18" t="n">
        <x:v>33</x:v>
      </x:c>
      <x:c r="L489" s="18" t="str">
        <x:v>No</x:v>
      </x:c>
      <x:c r="M489" s="18" t="str">
        <x:v>Según el artículo 59 del texto refundido de la Ley General de la Seguridad Social, la cuantía de los complementos a mínimos que tengan derecho a recibir los beneficiarios de pensiones contributivas que residan legalmente en territorio español será equivalente a:</x:v>
      </x:c>
      <x:c r="N489" s="18" t="str">
        <x:v>A la cuantía necesaria para alcanzar la cuantía de la pensión mínima establecida cada año para las pensiones contributivas, en todo caso.</x:v>
      </x:c>
      <x:c r="O489" s="18" t="str">
        <x:v>A la cuantía necesaria para alcanzar la cuantía de la pensión mínima establecida cada año para las pensiones contributivas, pero en ningún caso podrá superar la cuantía establecida en cada ejercicio para las pensiones no contributivas de jubilación e invalidez</x:v>
      </x:c>
      <x:c r="P489" s="18" t="str">
        <x:v>No hay complementos a mínimos. Las pensiones inferiores a la mínima legal establecida cada año pasan automáticamente a cobrar dicha cuantía en todo caso.</x:v>
      </x:c>
      <x:c r="Q489" s="18" t="str">
        <x:v>A la cuantía equivalente a sumar a la pensión eI porcentaje equivalente al valor medio de las tasas de variación interanual expresadas en tanto por ciento del Índice de Precios al Consumo de los 12 meses previos.</x:v>
      </x:c>
      <x:c r="R489" s="18" t="str">
        <x:v>S07</x:v>
      </x:c>
      <x:c r="S489" s="18" t="n">
        <x:v>7</x:v>
      </x:c>
      <x:c r="T489" s="18" t="str">
        <x:v>Temario específico Seguridad Social</x:v>
      </x:c>
      <x:c r="U489" s="18" t="str">
        <x:v>Acción protectora. Contenido y clasificación de las prestaciones. Caracteres de las prestaciones. Incompatibilidades. Reintegro de las prestaciones indebidas. Requisitos generales del derecho a las prestaciones. Responsabilidades en orden a las prestaciones por incumplimiento de las obligaciones de afiliación, altas, bajas y cotización. Automaticidad y anticipo de prestaciones. Riesgo protegido: contingencias comunes y profesionales.</x:v>
      </x:c>
      <x:c r="V489" s="18" t="str">
        <x:v>S07</x:v>
      </x:c>
      <x:c r="W489" s="18" t="str">
        <x:v>texto refundido de la Ley General de la Seguridad Social</x:v>
      </x:c>
      <x:c r="X489" s="18" t="str">
        <x:v>59</x:v>
      </x:c>
      <x:c r="Y489" s="18" t="str">
        <x:v>Cálculos</x:v>
      </x:c>
      <x:c r="Z489" s="18" t="str">
        <x:v>Media</x:v>
      </x:c>
      <x:c r="AA489" s="18" t="str">
        <x:v>S07</x:v>
      </x:c>
      <x:c r="AB489" s="18" t="str"/>
      <x:c r="AC489" s="18" t="str"/>
      <x:c r="AD489" s="18" t="str">
        <x:v>No</x:v>
      </x:c>
      <x:c r="AE489" s="18" t="str">
        <x:v>Teórico</x:v>
      </x:c>
      <x:c r="AF489" s="18" t="str">
        <x:v>B</x:v>
      </x:c>
      <x:c r="AG489" s="18" t="str">
        <x:v>B</x:v>
      </x:c>
      <x:c r="AH489" s="18" t="str">
        <x:v>Válida</x:v>
      </x:c>
      <x:c r="AI489" s="18" t="str">
        <x:v>01. Información oficial de la oposición\Exámenes oficiales anteriores\2026 Convocatoria 2025 - Acceso libre Verde A.pdf</x:v>
      </x:c>
      <x:c r="AJ489" s="18" t="str">
        <x:v>https://www.seg-social.es/wps/portal/wss/internet/InformacionUtil/9950/88beb45d-ca83-4bab-8162-f94ef2894562/e0c83707-3358-47a9-94d7-508221dad233</x:v>
      </x:c>
      <x:c r="AK489" s="18" t="str">
        <x:v>OCR Windows es-ES sobre PDF oficial</x:v>
      </x:c>
      <x:c r="AL489" s="18" t="n">
        <x:v>100</x:v>
      </x:c>
      <x:c r="AM489" s="18" t="str">
        <x:v>Alta</x:v>
      </x:c>
      <x:c r="AN489" s="18" t="str">
        <x:v>Regla jurídica determinista</x:v>
      </x:c>
      <x:c r="AO489" s="18" t="str">
        <x:v>2026_conv2025_rojo_A-T50</x:v>
      </x:c>
      <x:c r="AP489" s="18" t="n">
        <x:v>1</x:v>
      </x:c>
    </x:row>
    <x:row r="490">
      <x:c r="A490" s="18" t="str">
        <x:v>2026_conv2025_verde_A-T34</x:v>
      </x:c>
      <x:c r="B490" s="18" t="n">
        <x:v>2026</x:v>
      </x:c>
      <x:c r="C490" s="18" t="n">
        <x:v>2025</x:v>
      </x:c>
      <x:c r="D490" s="28" t="n">
        <x:v>46201</x:v>
      </x:c>
      <x:c r="E490" s="18" t="str">
        <x:v>Acceso libre</x:v>
      </x:c>
      <x:c r="F490" s="18" t="str">
        <x:v>Primera parte</x:v>
      </x:c>
      <x:c r="G490" s="18" t="str">
        <x:v>Verde A</x:v>
      </x:c>
      <x:c r="H490" s="18" t="str">
        <x:v>Rojo/Verde A/B</x:v>
      </x:c>
      <x:c r="I490" s="18" t="str">
        <x:v>No</x:v>
      </x:c>
      <x:c r="J490" s="18" t="str">
        <x:v>Los colores y modelos reproducen el mismo conjunto de preguntas con orden y/o opciones permutados; Rojo A es la variante canónica para frecuencias y Verde A se conserva como control de cobertura.</x:v>
      </x:c>
      <x:c r="K490" s="18" t="n">
        <x:v>34</x:v>
      </x:c>
      <x:c r="L490" s="18" t="str">
        <x:v>No</x:v>
      </x:c>
      <x:c r="M490" s="18" t="str">
        <x:v>Según el artículo 174 del texto refundido de la Ley General de la Seguridad Social, extinguido el derecho a la prestación de incapacidad temporal por el transcurso del plazo de quinientos cuarenta y cinco días naturales de duración, con o sin declaración de incapacidad permanente, solo podrá generarse un nuevo derecho a la prestación de incapacidad temporal por la misma o similar patología, a contar desde la resolución de la incapacidad permanente, si media un periodo superior a:</x:v>
      </x:c>
      <x:c r="N490" s="18" t="str">
        <x:v>60 días naturales.</x:v>
      </x:c>
      <x:c r="O490" s="18" t="str">
        <x:v>45 días naturales.</x:v>
      </x:c>
      <x:c r="P490" s="18" t="str">
        <x:v>180 días naturales.</x:v>
      </x:c>
      <x:c r="Q490" s="18" t="str">
        <x:v>90 días naturales.</x:v>
      </x:c>
      <x:c r="R490" s="18" t="str">
        <x:v>S08</x:v>
      </x:c>
      <x:c r="S490" s="18" t="n">
        <x:v>8</x:v>
      </x:c>
      <x:c r="T490" s="18" t="str">
        <x:v>Temario específico Seguridad Social</x:v>
      </x:c>
      <x:c r="U490" s="18" t="str">
        <x:v>Incapacidad temporal: concepto y causas que motivan esta situación. Beneficiarios. Prestación económica: determinación y cuantía. Nacimiento, duración y extinción del derecho al subsidio. Reconocimiento y pago. Control de la incapacidad. Incapacidad permanente contributiva: concepto. Grados de incapacidad. Prestaciones. Determinación y cuantía. Beneficiarios. Nacimiento, duración y extinción del derecho. Lesiones permanentes no incapacitantes. La calificación y revisión de la incapacidad permanente.</x:v>
      </x:c>
      <x:c r="V490" s="18" t="str">
        <x:v>incapacidad temporal</x:v>
      </x:c>
      <x:c r="W490" s="18" t="str">
        <x:v>texto refundido de la Ley General de la Seguridad Social</x:v>
      </x:c>
      <x:c r="X490" s="18" t="str">
        <x:v>174</x:v>
      </x:c>
      <x:c r="Y490" s="18" t="str">
        <x:v>Plazos</x:v>
      </x:c>
      <x:c r="Z490" s="18" t="str">
        <x:v>Alta</x:v>
      </x:c>
      <x:c r="AA490" s="18" t="str">
        <x:v>incapacidad temporal</x:v>
      </x:c>
      <x:c r="AB490" s="18" t="str">
        <x:v>ISM</x:v>
      </x:c>
      <x:c r="AC490" s="18" t="str"/>
      <x:c r="AD490" s="18" t="str">
        <x:v>No</x:v>
      </x:c>
      <x:c r="AE490" s="18" t="str">
        <x:v>Teórico</x:v>
      </x:c>
      <x:c r="AF490" s="18" t="str">
        <x:v>C</x:v>
      </x:c>
      <x:c r="AG490" s="18" t="str">
        <x:v>C</x:v>
      </x:c>
      <x:c r="AH490" s="18" t="str">
        <x:v>Válida</x:v>
      </x:c>
      <x:c r="AI490" s="18" t="str">
        <x:v>01. Información oficial de la oposición\Exámenes oficiales anteriores\2026 Convocatoria 2025 - Acceso libre Verde A.pdf</x:v>
      </x:c>
      <x:c r="AJ490" s="18" t="str">
        <x:v>https://www.seg-social.es/wps/portal/wss/internet/InformacionUtil/9950/88beb45d-ca83-4bab-8162-f94ef2894562/e0c83707-3358-47a9-94d7-508221dad233</x:v>
      </x:c>
      <x:c r="AK490" s="18" t="str">
        <x:v>OCR Windows es-ES sobre PDF oficial</x:v>
      </x:c>
      <x:c r="AL490" s="18" t="n">
        <x:v>100</x:v>
      </x:c>
      <x:c r="AM490" s="18" t="str">
        <x:v>Alta</x:v>
      </x:c>
      <x:c r="AN490" s="18" t="str">
        <x:v>Regla jurídica determinista</x:v>
      </x:c>
      <x:c r="AO490" s="18" t="str">
        <x:v>2026_conv2025_rojo_A-T53</x:v>
      </x:c>
      <x:c r="AP490" s="18" t="n">
        <x:v>0.9979</x:v>
      </x:c>
    </x:row>
    <x:row r="491">
      <x:c r="A491" s="18" t="str">
        <x:v>2026_conv2025_verde_A-T35</x:v>
      </x:c>
      <x:c r="B491" s="18" t="n">
        <x:v>2026</x:v>
      </x:c>
      <x:c r="C491" s="18" t="n">
        <x:v>2025</x:v>
      </x:c>
      <x:c r="D491" s="28" t="n">
        <x:v>46201</x:v>
      </x:c>
      <x:c r="E491" s="18" t="str">
        <x:v>Acceso libre</x:v>
      </x:c>
      <x:c r="F491" s="18" t="str">
        <x:v>Primera parte</x:v>
      </x:c>
      <x:c r="G491" s="18" t="str">
        <x:v>Verde A</x:v>
      </x:c>
      <x:c r="H491" s="18" t="str">
        <x:v>Rojo/Verde A/B</x:v>
      </x:c>
      <x:c r="I491" s="18" t="str">
        <x:v>No</x:v>
      </x:c>
      <x:c r="J491" s="18" t="str">
        <x:v>Los colores y modelos reproducen el mismo conjunto de preguntas con orden y/o opciones permutados; Rojo A es la variante canónica para frecuencias y Verde A se conserva como control de cobertura.</x:v>
      </x:c>
      <x:c r="K491" s="18" t="n">
        <x:v>35</x:v>
      </x:c>
      <x:c r="L491" s="18" t="str">
        <x:v>No</x:v>
      </x:c>
      <x:c r="M491" s="18" t="str">
        <x:v>Conforme indica eI artículo 189 del texto refundido de la Ley General de la Seguridad Social, la prestación económica por riesgo durante la lactancia natural se extinguirá en el momento en que eI hijo cumpla:</x:v>
      </x:c>
      <x:c r="N491" s="18" t="str">
        <x:v>Nueve meses, salvo que la beneficiaria se haya reincorporado con anterioridad a su puesto de trabajo anterior o a otro compatible con su situación, en cuyo caso se extinguirá eI día anterior al de dicha reincorporación.</x:v>
      </x:c>
      <x:c r="O491" s="18" t="str">
        <x:v>Doce meses, salvo que la beneficiaria se haya reincorporado con anterioridad a su puesto de trabajo anterior o a otro compatible con su situación, en cuyo caso se extinguirá eI día anterior al de dicha reincorporación.</x:v>
      </x:c>
      <x:c r="P491" s="18" t="str">
        <x:v>Tres meses, salvo que ia beneficiaria se haya reincorporado con anterioridad a su puesto de trabajo anterior o a otro compatible con su situación, en cuyo caso se extinguirá eI día anterior al de dicha reincorporación.</x:v>
      </x:c>
      <x:c r="Q491" s="18" t="str">
        <x:v>Seis meses, salvo que la beneficiaria se haya reincorporado con anterioridad a su puesto de trabajo anterior o a otro compatible con su situación, en cuyo caso se extinguirá eI día anterior al de dicha reincorporación.</x:v>
      </x:c>
      <x:c r="R491" s="18" t="str">
        <x:v>S09</x:v>
      </x:c>
      <x:c r="S491" s="18" t="n">
        <x:v>9</x:v>
      </x:c>
      <x:c r="T491" s="18" t="str">
        <x:v>Temario específico Seguridad Social</x:v>
      </x:c>
      <x:c r="U491" s="18" t="str">
        <x:v>Nacimiento y cuidado de menor. Ejercicio corresponsable del cuidado del lactante. Prestación por riesgo durante el embarazo. Prestación por riesgo durante la lactancia natural. Asignación económica por hijo o menor acogido a cargo. Prestación económica por nacimiento o adopción de hijo en supuestos de familias numerosas o monoparentales y en los casos de madres o padres con discapacidad. Prestación por parto o adopción Subsidio por cuidado de menores afectados por cáncer u otra enfermedad grave.</x:v>
      </x:c>
      <x:c r="V491" s="18" t="str">
        <x:v>S09</x:v>
      </x:c>
      <x:c r="W491" s="18" t="str">
        <x:v>texto refundido de la Ley General de la Seguridad Social</x:v>
      </x:c>
      <x:c r="X491" s="18" t="str">
        <x:v>189</x:v>
      </x:c>
      <x:c r="Y491" s="18" t="str">
        <x:v>Prestaciones familiares</x:v>
      </x:c>
      <x:c r="Z491" s="18" t="str">
        <x:v>Media</x:v>
      </x:c>
      <x:c r="AA491" s="18" t="str">
        <x:v>S09</x:v>
      </x:c>
      <x:c r="AB491" s="18" t="str"/>
      <x:c r="AC491" s="18" t="str"/>
      <x:c r="AD491" s="18" t="str">
        <x:v>No</x:v>
      </x:c>
      <x:c r="AE491" s="18" t="str">
        <x:v>Teórico</x:v>
      </x:c>
      <x:c r="AF491" s="18" t="str">
        <x:v>A</x:v>
      </x:c>
      <x:c r="AG491" s="18" t="str">
        <x:v>A</x:v>
      </x:c>
      <x:c r="AH491" s="18" t="str">
        <x:v>Válida</x:v>
      </x:c>
      <x:c r="AI491" s="18" t="str">
        <x:v>01. Información oficial de la oposición\Exámenes oficiales anteriores\2026 Convocatoria 2025 - Acceso libre Verde A.pdf</x:v>
      </x:c>
      <x:c r="AJ491" s="18" t="str">
        <x:v>https://www.seg-social.es/wps/portal/wss/internet/InformacionUtil/9950/88beb45d-ca83-4bab-8162-f94ef2894562/e0c83707-3358-47a9-94d7-508221dad233</x:v>
      </x:c>
      <x:c r="AK491" s="18" t="str">
        <x:v>OCR Windows es-ES sobre PDF oficial</x:v>
      </x:c>
      <x:c r="AL491" s="18" t="n">
        <x:v>100</x:v>
      </x:c>
      <x:c r="AM491" s="18" t="str">
        <x:v>Alta</x:v>
      </x:c>
      <x:c r="AN491" s="18" t="str">
        <x:v>Regla jurídica determinista</x:v>
      </x:c>
      <x:c r="AO491" s="18" t="str">
        <x:v>2026_conv2025_rojo_A-T56</x:v>
      </x:c>
      <x:c r="AP491" s="18" t="n">
        <x:v>0.9904</x:v>
      </x:c>
    </x:row>
    <x:row r="492">
      <x:c r="A492" s="18" t="str">
        <x:v>2026_conv2025_verde_A-T36</x:v>
      </x:c>
      <x:c r="B492" s="18" t="n">
        <x:v>2026</x:v>
      </x:c>
      <x:c r="C492" s="18" t="n">
        <x:v>2025</x:v>
      </x:c>
      <x:c r="D492" s="28" t="n">
        <x:v>46201</x:v>
      </x:c>
      <x:c r="E492" s="18" t="str">
        <x:v>Acceso libre</x:v>
      </x:c>
      <x:c r="F492" s="18" t="str">
        <x:v>Primera parte</x:v>
      </x:c>
      <x:c r="G492" s="18" t="str">
        <x:v>Verde A</x:v>
      </x:c>
      <x:c r="H492" s="18" t="str">
        <x:v>Rojo/Verde A/B</x:v>
      </x:c>
      <x:c r="I492" s="18" t="str">
        <x:v>No</x:v>
      </x:c>
      <x:c r="J492" s="18" t="str">
        <x:v>Los colores y modelos reproducen el mismo conjunto de preguntas con orden y/o opciones permutados; Rojo A es la variante canónica para frecuencias y Verde A se conserva como control de cobertura.</x:v>
      </x:c>
      <x:c r="K492" s="18" t="n">
        <x:v>36</x:v>
      </x:c>
      <x:c r="L492" s="18" t="str">
        <x:v>No</x:v>
      </x:c>
      <x:c r="M492" s="18" t="str">
        <x:v>¿Cuál de los siguientes NO se considera un Régimen Especial de la Seguridad Social de los previstos en eI artículo 10 del texto refundido de la Ley General de la Seguridad Social?:</x:v>
      </x:c>
      <x:c r="N492" s="18" t="str">
        <x:v>Trabajadores del hogar.</x:v>
      </x:c>
      <x:c r="O492" s="18" t="str">
        <x:v>Trabajadores por cuenta propia o autónomos.</x:v>
      </x:c>
      <x:c r="P492" s="18" t="str">
        <x:v>Trabajadores del mar.</x:v>
      </x:c>
      <x:c r="Q492" s="18" t="str">
        <x:v>Estudiantes.</x:v>
      </x:c>
      <x:c r="R492" s="18" t="str">
        <x:v>S02</x:v>
      </x:c>
      <x:c r="S492" s="18" t="n">
        <x:v>2</x:v>
      </x:c>
      <x:c r="T492" s="18" t="str">
        <x:v>Temario específico Seguridad Social</x:v>
      </x:c>
      <x:c r="U492" s="18" t="str">
        <x:v>Campo de aplicación y composición del sistema de la Seguridad Social. Régimen general: ámbito subjetivo de aplicación, inclusiones y exclusiones. Regímenes especiales: enumeración, características generales, altas, bajas y cotización. Particularidades de la acción protectora. Sistemas especiales: enumeración y características generales. Altas, bajas y cotización. Particularidades de la acción protectora.</x:v>
      </x:c>
      <x:c r="V492" s="18" t="str">
        <x:v>S02</x:v>
      </x:c>
      <x:c r="W492" s="18" t="str">
        <x:v>texto refundido de la Ley General de la Seguridad Social</x:v>
      </x:c>
      <x:c r="X492" s="18" t="str">
        <x:v>10</x:v>
      </x:c>
      <x:c r="Y492" s="18" t="str">
        <x:v>Artículos literales</x:v>
      </x:c>
      <x:c r="Z492" s="18" t="str">
        <x:v>Media</x:v>
      </x:c>
      <x:c r="AA492" s="18" t="str">
        <x:v>S02</x:v>
      </x:c>
      <x:c r="AB492" s="18" t="str"/>
      <x:c r="AC492" s="18" t="str"/>
      <x:c r="AD492" s="18" t="str">
        <x:v>No</x:v>
      </x:c>
      <x:c r="AE492" s="18" t="str">
        <x:v>Teórico</x:v>
      </x:c>
      <x:c r="AF492" s="18" t="str">
        <x:v>A</x:v>
      </x:c>
      <x:c r="AG492" s="18" t="str">
        <x:v>A</x:v>
      </x:c>
      <x:c r="AH492" s="18" t="str">
        <x:v>Válida</x:v>
      </x:c>
      <x:c r="AI492" s="18" t="str">
        <x:v>01. Información oficial de la oposición\Exámenes oficiales anteriores\2026 Convocatoria 2025 - Acceso libre Verde A.pdf</x:v>
      </x:c>
      <x:c r="AJ492" s="18" t="str">
        <x:v>https://www.seg-social.es/wps/portal/wss/internet/InformacionUtil/9950/88beb45d-ca83-4bab-8162-f94ef2894562/e0c83707-3358-47a9-94d7-508221dad233</x:v>
      </x:c>
      <x:c r="AK492" s="18" t="str">
        <x:v>OCR Windows es-ES sobre PDF oficial</x:v>
      </x:c>
      <x:c r="AL492" s="18" t="n">
        <x:v>100</x:v>
      </x:c>
      <x:c r="AM492" s="18" t="str">
        <x:v>Alta</x:v>
      </x:c>
      <x:c r="AN492" s="18" t="str">
        <x:v>Regla jurídica determinista</x:v>
      </x:c>
      <x:c r="AO492" s="18" t="str">
        <x:v>2026_conv2025_rojo_A-T31</x:v>
      </x:c>
      <x:c r="AP492" s="18" t="n">
        <x:v>0.9944</x:v>
      </x:c>
    </x:row>
    <x:row r="493">
      <x:c r="A493" s="18" t="str">
        <x:v>2026_conv2025_verde_A-T37</x:v>
      </x:c>
      <x:c r="B493" s="18" t="n">
        <x:v>2026</x:v>
      </x:c>
      <x:c r="C493" s="18" t="n">
        <x:v>2025</x:v>
      </x:c>
      <x:c r="D493" s="28" t="n">
        <x:v>46201</x:v>
      </x:c>
      <x:c r="E493" s="18" t="str">
        <x:v>Acceso libre</x:v>
      </x:c>
      <x:c r="F493" s="18" t="str">
        <x:v>Primera parte</x:v>
      </x:c>
      <x:c r="G493" s="18" t="str">
        <x:v>Verde A</x:v>
      </x:c>
      <x:c r="H493" s="18" t="str">
        <x:v>Rojo/Verde A/B</x:v>
      </x:c>
      <x:c r="I493" s="18" t="str">
        <x:v>No</x:v>
      </x:c>
      <x:c r="J493" s="18" t="str">
        <x:v>Los colores y modelos reproducen el mismo conjunto de preguntas con orden y/o opciones permutados; Rojo A es la variante canónica para frecuencias y Verde A se conserva como control de cobertura.</x:v>
      </x:c>
      <x:c r="K493" s="18" t="n">
        <x:v>37</x:v>
      </x:c>
      <x:c r="L493" s="18" t="str">
        <x:v>No</x:v>
      </x:c>
      <x:c r="M493" s="18" t="str">
        <x:v>Según el Real Decreto 84/1996, de 26 de enero, se considera empresario:</x:v>
      </x:c>
      <x:c r="N493" s="18" t="str">
        <x:v>Toda persona física o jurídica, pública o privada a la que presten servicios, con la consideración de trabajadores por cuenta ajena o asimilados, las personas comprendidas en el campo de aplicación de cualquier Régimen de los que integran eI sistema de la Seguridad Social.</x:v>
      </x:c>
      <x:c r="O493" s="18" t="str">
        <x:v>En el Régimen Especial de Profesionales Taurinos, el organizador, sea este persona física o jurídica, en relación con los espectáculos de este carácter en que aquellos intervengan.</x:v>
      </x:c>
      <x:c r="P493" s="18" t="str">
        <x:v>En el Régimen Especial Agrarios a quien ocupe trabajadores por cuenta ajena y tenga una explotación con una extensión mínima según 10 establecido en el Reglamento de Afiliación.</x:v>
      </x:c>
      <x:c r="Q493" s="18" t="str">
        <x:v>En el Régimen General, para los miembros de los cultos religiosos, la autoridad de mayor rango según 10 tenga establecido cada confesión religiosa.</x:v>
      </x:c>
      <x:c r="R493" s="18" t="str">
        <x:v>S03</x:v>
      </x:c>
      <x:c r="S493" s="18" t="n">
        <x:v>3</x:v>
      </x:c>
      <x:c r="T493" s="18" t="str">
        <x:v>Temario específico Seguridad Social</x:v>
      </x:c>
      <x:c r="U493" s="18" t="str">
        <x:v>Normas sobre afiliación. Altas y bajas en el régimen general. Procedimiento y efectos. El convenio especial y otras situaciones asimiladas a la del alta. Encuadramiento e inscripción.</x:v>
      </x:c>
      <x:c r="V493" s="18" t="str">
        <x:v>S03</x:v>
      </x:c>
      <x:c r="W493" s="18" t="str">
        <x:v>Real Decreto 84/1996</x:v>
      </x:c>
      <x:c r="X493" s="18" t="str"/>
      <x:c r="Y493" s="18" t="str">
        <x:v>Afiliación, altas y bajas</x:v>
      </x:c>
      <x:c r="Z493" s="18" t="str">
        <x:v>Media</x:v>
      </x:c>
      <x:c r="AA493" s="18" t="str">
        <x:v>S03</x:v>
      </x:c>
      <x:c r="AB493" s="18" t="str"/>
      <x:c r="AC493" s="18" t="str"/>
      <x:c r="AD493" s="18" t="str">
        <x:v>No</x:v>
      </x:c>
      <x:c r="AE493" s="18" t="str">
        <x:v>Teórico</x:v>
      </x:c>
      <x:c r="AF493" s="18" t="str">
        <x:v>A</x:v>
      </x:c>
      <x:c r="AG493" s="18" t="str">
        <x:v>A</x:v>
      </x:c>
      <x:c r="AH493" s="18" t="str">
        <x:v>Válida</x:v>
      </x:c>
      <x:c r="AI493" s="18" t="str">
        <x:v>01. Información oficial de la oposición\Exámenes oficiales anteriores\2026 Convocatoria 2025 - Acceso libre Verde A.pdf</x:v>
      </x:c>
      <x:c r="AJ493" s="18" t="str">
        <x:v>https://www.seg-social.es/wps/portal/wss/internet/InformacionUtil/9950/88beb45d-ca83-4bab-8162-f94ef2894562/e0c83707-3358-47a9-94d7-508221dad233</x:v>
      </x:c>
      <x:c r="AK493" s="18" t="str">
        <x:v>OCR Windows es-ES sobre PDF oficial</x:v>
      </x:c>
      <x:c r="AL493" s="18" t="n">
        <x:v>100</x:v>
      </x:c>
      <x:c r="AM493" s="18" t="str">
        <x:v>Alta</x:v>
      </x:c>
      <x:c r="AN493" s="18" t="str">
        <x:v>Regla jurídica determinista</x:v>
      </x:c>
      <x:c r="AO493" s="18" t="str">
        <x:v>2026_conv2025_rojo_A-T35</x:v>
      </x:c>
      <x:c r="AP493" s="18" t="n">
        <x:v>1</x:v>
      </x:c>
    </x:row>
    <x:row r="494">
      <x:c r="A494" s="18" t="str">
        <x:v>2026_conv2025_verde_A-T38</x:v>
      </x:c>
      <x:c r="B494" s="18" t="n">
        <x:v>2026</x:v>
      </x:c>
      <x:c r="C494" s="18" t="n">
        <x:v>2025</x:v>
      </x:c>
      <x:c r="D494" s="28" t="n">
        <x:v>46201</x:v>
      </x:c>
      <x:c r="E494" s="18" t="str">
        <x:v>Acceso libre</x:v>
      </x:c>
      <x:c r="F494" s="18" t="str">
        <x:v>Primera parte</x:v>
      </x:c>
      <x:c r="G494" s="18" t="str">
        <x:v>Verde A</x:v>
      </x:c>
      <x:c r="H494" s="18" t="str">
        <x:v>Rojo/Verde A/B</x:v>
      </x:c>
      <x:c r="I494" s="18" t="str">
        <x:v>No</x:v>
      </x:c>
      <x:c r="J494" s="18" t="str">
        <x:v>Los colores y modelos reproducen el mismo conjunto de preguntas con orden y/o opciones permutados; Rojo A es la variante canónica para frecuencias y Verde A se conserva como control de cobertura.</x:v>
      </x:c>
      <x:c r="K494" s="18" t="n">
        <x:v>38</x:v>
      </x:c>
      <x:c r="L494" s="18" t="str">
        <x:v>No</x:v>
      </x:c>
      <x:c r="M494" s="18" t="str">
        <x:v>De acuerdo con 10 establecido en el artículo 45 del Real Decreto 1415/2004, de 11 de junio, por el que se aprueba el Reglamento General de Recaudación de la Seguridad Social, ¿cuál es eI plazo máximo del que dispone la Tesorería General de la Seguridad Social para adoptar y notificar la resolución sobre una solicitud de devolución de ingresos indebidos?</x:v>
      </x:c>
      <x:c r="N494" s="18" t="str">
        <x:v>Tres meses siguientes a la fecha en que se hubiera completado la documentación que deba aportar el solicitante de la devolución.</x:v>
      </x:c>
      <x:c r="O494" s="18" t="str">
        <x:v>Seis meses siguientes a la fecha en que se hubiera completado la documentación que deba aportar el solicitante de la devolución.</x:v>
      </x:c>
      <x:c r="P494" s="18" t="str">
        <x:v>Seis meses desde la fecha de entrada de la solicitud en eI registro competente.</x:v>
      </x:c>
      <x:c r="Q494" s="18" t="str">
        <x:v>Tres meses desde la fecha de entrada de la solicitud en el registro competente.</x:v>
      </x:c>
      <x:c r="R494" s="18" t="str">
        <x:v>S05</x:v>
      </x:c>
      <x:c r="S494" s="18" t="n">
        <x:v>5</x:v>
      </x:c>
      <x:c r="T494" s="18" t="str">
        <x:v>Temario específico Seguridad Social</x:v>
      </x:c>
      <x:c r="U494" s="18" t="str">
        <x:v>La gestión recaudatoria: concepto, competencia y objeto. Responsables del pago. Requisitos para el pago. Medios de pago. Control de recaudación. Revisión de los actos de gestión recaudatoria. La recaudación en periodo voluntario. Efectos de la falta de cotización en período reglamentario. Recaudación de otros recursos. Aplazamientos. Devolución de ingresos indebidos. Capital coste de pensiones.</x:v>
      </x:c>
      <x:c r="V494" s="18" t="str">
        <x:v>S05</x:v>
      </x:c>
      <x:c r="W494" s="18" t="str">
        <x:v>Real Decreto 1415/2004</x:v>
      </x:c>
      <x:c r="X494" s="18" t="str">
        <x:v>45</x:v>
      </x:c>
      <x:c r="Y494" s="18" t="str">
        <x:v>Plazos</x:v>
      </x:c>
      <x:c r="Z494" s="18" t="str">
        <x:v>Alta</x:v>
      </x:c>
      <x:c r="AA494" s="18" t="str">
        <x:v>S05</x:v>
      </x:c>
      <x:c r="AB494" s="18" t="str">
        <x:v>Tesorería General de la Seguridad Social</x:v>
      </x:c>
      <x:c r="AC494" s="18" t="str"/>
      <x:c r="AD494" s="18" t="str">
        <x:v>No</x:v>
      </x:c>
      <x:c r="AE494" s="18" t="str">
        <x:v>Teórico</x:v>
      </x:c>
      <x:c r="AF494" s="18" t="str">
        <x:v>B</x:v>
      </x:c>
      <x:c r="AG494" s="18" t="str">
        <x:v>B</x:v>
      </x:c>
      <x:c r="AH494" s="18" t="str">
        <x:v>Válida</x:v>
      </x:c>
      <x:c r="AI494" s="18" t="str">
        <x:v>01. Información oficial de la oposición\Exámenes oficiales anteriores\2026 Convocatoria 2025 - Acceso libre Verde A.pdf</x:v>
      </x:c>
      <x:c r="AJ494" s="18" t="str">
        <x:v>https://www.seg-social.es/wps/portal/wss/internet/InformacionUtil/9950/88beb45d-ca83-4bab-8162-f94ef2894562/e0c83707-3358-47a9-94d7-508221dad233</x:v>
      </x:c>
      <x:c r="AK494" s="18" t="str">
        <x:v>OCR Windows es-ES sobre PDF oficial</x:v>
      </x:c>
      <x:c r="AL494" s="18" t="n">
        <x:v>100</x:v>
      </x:c>
      <x:c r="AM494" s="18" t="str">
        <x:v>Alta</x:v>
      </x:c>
      <x:c r="AN494" s="18" t="str">
        <x:v>Regla jurídica determinista</x:v>
      </x:c>
      <x:c r="AO494" s="18" t="str">
        <x:v>2026_conv2025_rojo_A-T44</x:v>
      </x:c>
      <x:c r="AP494" s="18" t="n">
        <x:v>0.9887</x:v>
      </x:c>
    </x:row>
    <x:row r="495">
      <x:c r="A495" s="18" t="str">
        <x:v>2026_conv2025_verde_A-T39</x:v>
      </x:c>
      <x:c r="B495" s="18" t="n">
        <x:v>2026</x:v>
      </x:c>
      <x:c r="C495" s="18" t="n">
        <x:v>2025</x:v>
      </x:c>
      <x:c r="D495" s="28" t="n">
        <x:v>46201</x:v>
      </x:c>
      <x:c r="E495" s="18" t="str">
        <x:v>Acceso libre</x:v>
      </x:c>
      <x:c r="F495" s="18" t="str">
        <x:v>Primera parte</x:v>
      </x:c>
      <x:c r="G495" s="18" t="str">
        <x:v>Verde A</x:v>
      </x:c>
      <x:c r="H495" s="18" t="str">
        <x:v>Rojo/Verde A/B</x:v>
      </x:c>
      <x:c r="I495" s="18" t="str">
        <x:v>No</x:v>
      </x:c>
      <x:c r="J495" s="18" t="str">
        <x:v>Los colores y modelos reproducen el mismo conjunto de preguntas con orden y/o opciones permutados; Rojo A es la variante canónica para frecuencias y Verde A se conserva como control de cobertura.</x:v>
      </x:c>
      <x:c r="K495" s="18" t="n">
        <x:v>39</x:v>
      </x:c>
      <x:c r="L495" s="18" t="str">
        <x:v>No</x:v>
      </x:c>
      <x:c r="M495" s="18" t="str">
        <x:v>¿Cuál de los siguientes NO es un Título del texto refundido de la Ley General de la Seguridad Social?</x:v>
      </x:c>
      <x:c r="N495" s="18" t="str">
        <x:v>Prestación por cese de actividad.</x:v>
      </x:c>
      <x:c r="O495" s="18" t="str">
        <x:v>Normas generales del sistema de la Seguridad Social.</x:v>
      </x:c>
      <x:c r="P495" s="18" t="str">
        <x:v>Prestaciones contributivas.</x:v>
      </x:c>
      <x:c r="Q495" s="18" t="str">
        <x:v>Prestaciones no contributivas.</x:v>
      </x:c>
      <x:c r="R495" s="18" t="str">
        <x:v>S01</x:v>
      </x:c>
      <x:c r="S495" s="18" t="n">
        <x:v>1</x:v>
      </x:c>
      <x:c r="T495" s="18" t="str">
        <x:v>Temario específico Seguridad Social</x:v>
      </x:c>
      <x:c r="U495" s="18" t="str">
        <x:v>La Seguridad Social en la Constitución española de 1978. El texto refundido de la Ley General de la Seguridad Social.</x:v>
      </x:c>
      <x:c r="V495" s="18" t="str">
        <x:v>S01</x:v>
      </x:c>
      <x:c r="W495" s="18" t="str">
        <x:v>texto refundido de la Ley General de la Seguridad Social</x:v>
      </x:c>
      <x:c r="X495" s="18" t="str"/>
      <x:c r="Y495" s="18" t="str">
        <x:v>Artículos literales</x:v>
      </x:c>
      <x:c r="Z495" s="18" t="str">
        <x:v>Básica</x:v>
      </x:c>
      <x:c r="AA495" s="18" t="str">
        <x:v>S01</x:v>
      </x:c>
      <x:c r="AB495" s="18" t="str"/>
      <x:c r="AC495" s="18" t="str"/>
      <x:c r="AD495" s="18" t="str">
        <x:v>Sí</x:v>
      </x:c>
      <x:c r="AE495" s="18" t="str">
        <x:v>Teórico</x:v>
      </x:c>
      <x:c r="AF495" s="18" t="str">
        <x:v>C</x:v>
      </x:c>
      <x:c r="AG495" s="18" t="str">
        <x:v>ANULADA</x:v>
      </x:c>
      <x:c r="AH495" s="18" t="str">
        <x:v>Anulada</x:v>
      </x:c>
      <x:c r="AI495" s="18" t="str">
        <x:v>01. Información oficial de la oposición\Exámenes oficiales anteriores\2026 Convocatoria 2025 - Acceso libre Verde A.pdf</x:v>
      </x:c>
      <x:c r="AJ495" s="18" t="str">
        <x:v>https://www.seg-social.es/wps/portal/wss/internet/InformacionUtil/9950/88beb45d-ca83-4bab-8162-f94ef2894562/e0c83707-3358-47a9-94d7-508221dad233</x:v>
      </x:c>
      <x:c r="AK495" s="18" t="str">
        <x:v>OCR Windows es-ES sobre PDF oficial</x:v>
      </x:c>
      <x:c r="AL495" s="18" t="n">
        <x:v>100</x:v>
      </x:c>
      <x:c r="AM495" s="18" t="str">
        <x:v>Alta</x:v>
      </x:c>
      <x:c r="AN495" s="18" t="str">
        <x:v>Regla jurídica determinista</x:v>
      </x:c>
      <x:c r="AO495" s="18" t="str">
        <x:v>2026_conv2025_rojo_A-T29</x:v>
      </x:c>
      <x:c r="AP495" s="18" t="n">
        <x:v>1</x:v>
      </x:c>
    </x:row>
    <x:row r="496">
      <x:c r="A496" s="18" t="str">
        <x:v>2026_conv2025_verde_A-T40</x:v>
      </x:c>
      <x:c r="B496" s="18" t="n">
        <x:v>2026</x:v>
      </x:c>
      <x:c r="C496" s="18" t="n">
        <x:v>2025</x:v>
      </x:c>
      <x:c r="D496" s="28" t="n">
        <x:v>46201</x:v>
      </x:c>
      <x:c r="E496" s="18" t="str">
        <x:v>Acceso libre</x:v>
      </x:c>
      <x:c r="F496" s="18" t="str">
        <x:v>Primera parte</x:v>
      </x:c>
      <x:c r="G496" s="18" t="str">
        <x:v>Verde A</x:v>
      </x:c>
      <x:c r="H496" s="18" t="str">
        <x:v>Rojo/Verde A/B</x:v>
      </x:c>
      <x:c r="I496" s="18" t="str">
        <x:v>No</x:v>
      </x:c>
      <x:c r="J496" s="18" t="str">
        <x:v>Los colores y modelos reproducen el mismo conjunto de preguntas con orden y/o opciones permutados; Rojo A es la variante canónica para frecuencias y Verde A se conserva como control de cobertura.</x:v>
      </x:c>
      <x:c r="K496" s="18" t="n">
        <x:v>40</x:v>
      </x:c>
      <x:c r="L496" s="18" t="str">
        <x:v>No</x:v>
      </x:c>
      <x:c r="M496" s="18" t="str">
        <x:v>Conforme al artículo 3 de la Orden de 13 de febrero de 1967 por la que se establecen normas para la aplicación y desarrollo de las prestaciones de muerte y supervivencia del Régimen General de la Seguridad Social, ¿cuál es la fecha en que se entenderá causada la pensión de orfandad en el caso de que eI beneficiario sea un hijo póstumo?</x:v>
      </x:c>
      <x:c r="N496" s="18" t="str">
        <x:v>La fecha de fallecimiento del sujeto causante.</x:v>
      </x:c>
      <x:c r="O496" s="18" t="str">
        <x:v>La fecha de apertura de la herencia.</x:v>
      </x:c>
      <x:c r="P496" s="18" t="str">
        <x:v>La fecha de nacimiento del hijo póstumo.</x:v>
      </x:c>
      <x:c r="Q496" s="18" t="str">
        <x:v>La fecha en que se resuelve el reconocimiento de la pensión.</x:v>
      </x:c>
      <x:c r="R496" s="18" t="str">
        <x:v>S11</x:v>
      </x:c>
      <x:c r="S496" s="18" t="n">
        <x:v>11</x:v>
      </x:c>
      <x:c r="T496" s="18" t="str">
        <x:v>Temario específico Seguridad Social</x:v>
      </x:c>
      <x:c r="U496" s="18" t="str">
        <x:v>La protección por muerte y supervivencia. Hecho causante. Requisitos para las prestaciones de viudedad, orfandad y en favor de familiares. Cuantía de las prestaciones. Compatibilidad. Suspensión y Extinción. Normas específicas en caso de muerte derivada de accidente de trabajo o enfermedad profesional. Efectividad económica de las prestaciones. El auxilio por defunción.</x:v>
      </x:c>
      <x:c r="V496" s="18" t="str">
        <x:v>orfandad</x:v>
      </x:c>
      <x:c r="W496" s="18" t="str"/>
      <x:c r="X496" s="18" t="str">
        <x:v>3</x:v>
      </x:c>
      <x:c r="Y496" s="18" t="str">
        <x:v>Personas beneficiarias</x:v>
      </x:c>
      <x:c r="Z496" s="18" t="str">
        <x:v>Alta</x:v>
      </x:c>
      <x:c r="AA496" s="18" t="str">
        <x:v>orfandad</x:v>
      </x:c>
      <x:c r="AB496" s="18" t="str"/>
      <x:c r="AC496" s="18" t="str"/>
      <x:c r="AD496" s="18" t="str">
        <x:v>No</x:v>
      </x:c>
      <x:c r="AE496" s="18" t="str">
        <x:v>Teórico</x:v>
      </x:c>
      <x:c r="AF496" s="18" t="str">
        <x:v>C</x:v>
      </x:c>
      <x:c r="AG496" s="18" t="str">
        <x:v>C</x:v>
      </x:c>
      <x:c r="AH496" s="18" t="str">
        <x:v>Válida</x:v>
      </x:c>
      <x:c r="AI496" s="18" t="str">
        <x:v>01. Información oficial de la oposición\Exámenes oficiales anteriores\2026 Convocatoria 2025 - Acceso libre Verde A.pdf</x:v>
      </x:c>
      <x:c r="AJ496" s="18" t="str">
        <x:v>https://www.seg-social.es/wps/portal/wss/internet/InformacionUtil/9950/88beb45d-ca83-4bab-8162-f94ef2894562/e0c83707-3358-47a9-94d7-508221dad233</x:v>
      </x:c>
      <x:c r="AK496" s="18" t="str">
        <x:v>OCR Windows es-ES sobre PDF oficial</x:v>
      </x:c>
      <x:c r="AL496" s="18" t="n">
        <x:v>100</x:v>
      </x:c>
      <x:c r="AM496" s="18" t="str">
        <x:v>Alta</x:v>
      </x:c>
      <x:c r="AN496" s="18" t="str">
        <x:v>Regla jurídica determinista</x:v>
      </x:c>
      <x:c r="AO496" s="18" t="str">
        <x:v>2026_conv2025_rojo_A-T60</x:v>
      </x:c>
      <x:c r="AP496" s="18" t="n">
        <x:v>0.9941</x:v>
      </x:c>
    </x:row>
    <x:row r="497">
      <x:c r="A497" s="18" t="str">
        <x:v>2026_conv2025_verde_A-T41</x:v>
      </x:c>
      <x:c r="B497" s="18" t="n">
        <x:v>2026</x:v>
      </x:c>
      <x:c r="C497" s="18" t="n">
        <x:v>2025</x:v>
      </x:c>
      <x:c r="D497" s="28" t="n">
        <x:v>46201</x:v>
      </x:c>
      <x:c r="E497" s="18" t="str">
        <x:v>Acceso libre</x:v>
      </x:c>
      <x:c r="F497" s="18" t="str">
        <x:v>Primera parte</x:v>
      </x:c>
      <x:c r="G497" s="18" t="str">
        <x:v>Verde A</x:v>
      </x:c>
      <x:c r="H497" s="18" t="str">
        <x:v>Rojo/Verde A/B</x:v>
      </x:c>
      <x:c r="I497" s="18" t="str">
        <x:v>No</x:v>
      </x:c>
      <x:c r="J497" s="18" t="str">
        <x:v>Los colores y modelos reproducen el mismo conjunto de preguntas con orden y/o opciones permutados; Rojo A es la variante canónica para frecuencias y Verde A se conserva como control de cobertura.</x:v>
      </x:c>
      <x:c r="K497" s="18" t="n">
        <x:v>41</x:v>
      </x:c>
      <x:c r="L497" s="18" t="str">
        <x:v>No</x:v>
      </x:c>
      <x:c r="M497" s="18" t="str">
        <x:v>Según el artículo 9 del Real Decreto 1221/1992, sobre eI patrimonio de la Seguridad Social, con carácter general, la adquisición a título oneroso de bienes inmuebles por la Tesorería General de la Seguridad Social se realizará mediante:</x:v>
      </x:c>
      <x:c r="N497" s="18" t="str">
        <x:v>Subasta pública.</x:v>
      </x:c>
      <x:c r="O497" s="18" t="str">
        <x:v>Contrato menor.</x:v>
      </x:c>
      <x:c r="P497" s="18" t="str">
        <x:v>Adjudicación directa siempre.</x:v>
      </x:c>
      <x:c r="Q497" s="18" t="str">
        <x:v>Concurso público cualquiera que sea su valor.</x:v>
      </x:c>
      <x:c r="R497" s="18" t="str">
        <x:v>S13</x:v>
      </x:c>
      <x:c r="S497" s="18" t="n">
        <x:v>13</x:v>
      </x:c>
      <x:c r="T497" s="18" t="str">
        <x:v>Temario específico Seguridad Social</x:v>
      </x:c>
      <x:c r="U497" s="18" t="str">
        <x:v>Recursos generales del sistema de la Seguridad Social. El patrimonio único de la seguridad social: titularidad, adscripción, administración y custodia. Los negocios jurídicos patrimoniales: adquisición, enajenación, arrendamiento y cesión. El Fondo de Reserva de la Seguridad Social: constitución, dotación y disposición. Gestión de los recursos financieros: atribución de funciones. Pago de prestaciones de la Seguridad Social.</x:v>
      </x:c>
      <x:c r="V497" s="18" t="str">
        <x:v>S13</x:v>
      </x:c>
      <x:c r="W497" s="18" t="str">
        <x:v>Real Decreto 1221/1992</x:v>
      </x:c>
      <x:c r="X497" s="18" t="str">
        <x:v>9</x:v>
      </x:c>
      <x:c r="Y497" s="18" t="str">
        <x:v>Artículos literales</x:v>
      </x:c>
      <x:c r="Z497" s="18" t="str">
        <x:v>Media</x:v>
      </x:c>
      <x:c r="AA497" s="18" t="str">
        <x:v>S13</x:v>
      </x:c>
      <x:c r="AB497" s="18" t="str">
        <x:v>Tesorería General de la Seguridad Social</x:v>
      </x:c>
      <x:c r="AC497" s="18" t="str"/>
      <x:c r="AD497" s="18" t="str">
        <x:v>No</x:v>
      </x:c>
      <x:c r="AE497" s="18" t="str">
        <x:v>Teórico</x:v>
      </x:c>
      <x:c r="AF497" s="18" t="str">
        <x:v>D</x:v>
      </x:c>
      <x:c r="AG497" s="18" t="str">
        <x:v>D</x:v>
      </x:c>
      <x:c r="AH497" s="18" t="str">
        <x:v>Válida</x:v>
      </x:c>
      <x:c r="AI497" s="18" t="str">
        <x:v>01. Información oficial de la oposición\Exámenes oficiales anteriores\2026 Convocatoria 2025 - Acceso libre Verde A.pdf</x:v>
      </x:c>
      <x:c r="AJ497" s="18" t="str">
        <x:v>https://www.seg-social.es/wps/portal/wss/internet/InformacionUtil/9950/88beb45d-ca83-4bab-8162-f94ef2894562/e0c83707-3358-47a9-94d7-508221dad233</x:v>
      </x:c>
      <x:c r="AK497" s="18" t="str">
        <x:v>OCR Windows es-ES sobre PDF oficial</x:v>
      </x:c>
      <x:c r="AL497" s="18" t="n">
        <x:v>17</x:v>
      </x:c>
      <x:c r="AM497" s="18" t="str">
        <x:v>Alta</x:v>
      </x:c>
      <x:c r="AN497" s="18" t="str">
        <x:v>Ponderación de palabras clave</x:v>
      </x:c>
      <x:c r="AO497" s="18" t="str">
        <x:v>2026_conv2025_rojo_A-T68</x:v>
      </x:c>
      <x:c r="AP497" s="18" t="n">
        <x:v>0.9958</x:v>
      </x:c>
    </x:row>
    <x:row r="498">
      <x:c r="A498" s="18" t="str">
        <x:v>2026_conv2025_verde_A-T42</x:v>
      </x:c>
      <x:c r="B498" s="18" t="n">
        <x:v>2026</x:v>
      </x:c>
      <x:c r="C498" s="18" t="n">
        <x:v>2025</x:v>
      </x:c>
      <x:c r="D498" s="28" t="n">
        <x:v>46201</x:v>
      </x:c>
      <x:c r="E498" s="18" t="str">
        <x:v>Acceso libre</x:v>
      </x:c>
      <x:c r="F498" s="18" t="str">
        <x:v>Primera parte</x:v>
      </x:c>
      <x:c r="G498" s="18" t="str">
        <x:v>Verde A</x:v>
      </x:c>
      <x:c r="H498" s="18" t="str">
        <x:v>Rojo/Verde A/B</x:v>
      </x:c>
      <x:c r="I498" s="18" t="str">
        <x:v>No</x:v>
      </x:c>
      <x:c r="J498" s="18" t="str">
        <x:v>Los colores y modelos reproducen el mismo conjunto de preguntas con orden y/o opciones permutados; Rojo A es la variante canónica para frecuencias y Verde A se conserva como control de cobertura.</x:v>
      </x:c>
      <x:c r="K498" s="18" t="n">
        <x:v>42</x:v>
      </x:c>
      <x:c r="L498" s="18" t="str">
        <x:v>No</x:v>
      </x:c>
      <x:c r="M498" s="18" t="str">
        <x:v>Según el artículo 173 del texto refundido de la Ley General de la Seguridad Social, en caso de accidente de trabajo o enfermedad profesional, eI subsidio se abonará desde:</x:v>
      </x:c>
      <x:c r="N498" s="18" t="str">
        <x:v>EI mismo día al de la baja en eI trabajo, estando a cargo del empresario el salario íntegro correspondiente al día de la baja.</x:v>
      </x:c>
      <x:c r="O498" s="18" t="str">
        <x:v>EI día siguiente al de la baja en el trabajo, estando a cargo del empresario el salario íntegro correspondiente al día de la baja.</x:v>
      </x:c>
      <x:c r="P498" s="18" t="str">
        <x:v>A partir del cuarto día al de baja en el trabajo, estando a cargo del empresario eI salario íntegro correspondiente al día de la baja.</x:v>
      </x:c>
      <x:c r="Q498" s="18" t="str">
        <x:v>A partir del tercer día al de baja en el trabajo, estando a cargo del empresario ei salario íntegro correspondiente al día de la baja.</x:v>
      </x:c>
      <x:c r="R498" s="18" t="str">
        <x:v>S08</x:v>
      </x:c>
      <x:c r="S498" s="18" t="n">
        <x:v>8</x:v>
      </x:c>
      <x:c r="T498" s="18" t="str">
        <x:v>Temario específico Seguridad Social</x:v>
      </x:c>
      <x:c r="U498" s="18" t="str">
        <x:v>Incapacidad temporal: concepto y causas que motivan esta situación. Beneficiarios. Prestación económica: determinación y cuantía. Nacimiento, duración y extinción del derecho al subsidio. Reconocimiento y pago. Control de la incapacidad. Incapacidad permanente contributiva: concepto. Grados de incapacidad. Prestaciones. Determinación y cuantía. Beneficiarios. Nacimiento, duración y extinción del derecho. Lesiones permanentes no incapacitantes. La calificación y revisión de la incapacidad permanente.</x:v>
      </x:c>
      <x:c r="V498" s="18" t="str">
        <x:v>S08</x:v>
      </x:c>
      <x:c r="W498" s="18" t="str">
        <x:v>texto refundido de la Ley General de la Seguridad Social</x:v>
      </x:c>
      <x:c r="X498" s="18" t="str">
        <x:v>173</x:v>
      </x:c>
      <x:c r="Y498" s="18" t="str">
        <x:v>Incapacidad</x:v>
      </x:c>
      <x:c r="Z498" s="18" t="str">
        <x:v>Media</x:v>
      </x:c>
      <x:c r="AA498" s="18" t="str">
        <x:v>S08</x:v>
      </x:c>
      <x:c r="AB498" s="18" t="str"/>
      <x:c r="AC498" s="18" t="str"/>
      <x:c r="AD498" s="18" t="str">
        <x:v>No</x:v>
      </x:c>
      <x:c r="AE498" s="18" t="str">
        <x:v>Teórico</x:v>
      </x:c>
      <x:c r="AF498" s="18" t="str">
        <x:v>B</x:v>
      </x:c>
      <x:c r="AG498" s="18" t="str">
        <x:v>B</x:v>
      </x:c>
      <x:c r="AH498" s="18" t="str">
        <x:v>Válida</x:v>
      </x:c>
      <x:c r="AI498" s="18" t="str">
        <x:v>01. Información oficial de la oposición\Exámenes oficiales anteriores\2026 Convocatoria 2025 - Acceso libre Verde A.pdf</x:v>
      </x:c>
      <x:c r="AJ498" s="18" t="str">
        <x:v>https://www.seg-social.es/wps/portal/wss/internet/InformacionUtil/9950/88beb45d-ca83-4bab-8162-f94ef2894562/e0c83707-3358-47a9-94d7-508221dad233</x:v>
      </x:c>
      <x:c r="AK498" s="18" t="str">
        <x:v>OCR Windows es-ES sobre PDF oficial</x:v>
      </x:c>
      <x:c r="AL498" s="18" t="n">
        <x:v>100</x:v>
      </x:c>
      <x:c r="AM498" s="18" t="str">
        <x:v>Alta</x:v>
      </x:c>
      <x:c r="AN498" s="18" t="str">
        <x:v>Regla jurídica determinista</x:v>
      </x:c>
      <x:c r="AO498" s="18" t="str">
        <x:v>2026_conv2025_rojo_A-T54</x:v>
      </x:c>
      <x:c r="AP498" s="18" t="n">
        <x:v>0.9942</x:v>
      </x:c>
    </x:row>
    <x:row r="499">
      <x:c r="A499" s="18" t="str">
        <x:v>2026_conv2025_verde_A-T43</x:v>
      </x:c>
      <x:c r="B499" s="18" t="n">
        <x:v>2026</x:v>
      </x:c>
      <x:c r="C499" s="18" t="n">
        <x:v>2025</x:v>
      </x:c>
      <x:c r="D499" s="28" t="n">
        <x:v>46201</x:v>
      </x:c>
      <x:c r="E499" s="18" t="str">
        <x:v>Acceso libre</x:v>
      </x:c>
      <x:c r="F499" s="18" t="str">
        <x:v>Primera parte</x:v>
      </x:c>
      <x:c r="G499" s="18" t="str">
        <x:v>Verde A</x:v>
      </x:c>
      <x:c r="H499" s="18" t="str">
        <x:v>Rojo/Verde A/B</x:v>
      </x:c>
      <x:c r="I499" s="18" t="str">
        <x:v>No</x:v>
      </x:c>
      <x:c r="J499" s="18" t="str">
        <x:v>Los colores y modelos reproducen el mismo conjunto de preguntas con orden y/o opciones permutados; Rojo A es la variante canónica para frecuencias y Verde A se conserva como control de cobertura.</x:v>
      </x:c>
      <x:c r="K499" s="18" t="n">
        <x:v>43</x:v>
      </x:c>
      <x:c r="L499" s="18" t="str">
        <x:v>No</x:v>
      </x:c>
      <x:c r="M499" s="18" t="str">
        <x:v>Según los artículos 206 y 206 bis del texto refundido de la Ley General de la Seguridad Social, la edad mínima de acceso a la pensión de jubilación podrá ser reducida:</x:v>
      </x:c>
      <x:c r="N499" s="18" t="str">
        <x:v>En el caso de personas con discapacidad en un grado igual o superior al 45%, siempre que se traten de discapacidades reglamentariamente determinadas.</x:v>
      </x:c>
      <x:c r="O499" s="18" t="str">
        <x:v>Por razón de la actividad en aquellos grupos o actividades profesionales cuyos trabajos sean de naturaleza penosa, tóxica, peligrosa o insalubre y siempre que sea posible la modificación de las condiciones de trabajo.</x:v>
      </x:c>
      <x:c r="P499" s="18" t="str">
        <x:v>En el caso de personas con discapacidad en grado igual o superior al 60%.</x:v>
      </x:c>
      <x:c r="Q499" s="18" t="str">
        <x:v>La aplicación de los coeficientes reductores en ningún caso dará lugar al acceso a la jubilación con una edad inferior a los 54 años.</x:v>
      </x:c>
      <x:c r="R499" s="18" t="str">
        <x:v>S10</x:v>
      </x:c>
      <x:c r="S499" s="18" t="n">
        <x:v>10</x:v>
      </x:c>
      <x:c r="T499" s="18" t="str">
        <x:v>Temario específico Seguridad Social</x:v>
      </x:c>
      <x:c r="U499" s="18" t="str">
        <x:v>Jubilación en la modalidad contributiva: concepto. Jubilación ordinaria: requisitos: especial referencia a la edad de jubilación. Determinación de la cuantía de la prestación: base reguladora y porcentaje. Jubilación anticipada, jubilación parcial y jubilación flexible. Compatibilidad de la pensión de jubilación y el trabajo. Suspensión y extinción de la prestación. Especial referencia a la aplicación de la normativa anterior a la Ley 27/2011.</x:v>
      </x:c>
      <x:c r="V499" s="18" t="str">
        <x:v>jubilación</x:v>
      </x:c>
      <x:c r="W499" s="18" t="str">
        <x:v>texto refundido de la Ley General de la Seguridad Social</x:v>
      </x:c>
      <x:c r="X499" s="18" t="str">
        <x:v>206 y 206</x:v>
      </x:c>
      <x:c r="Y499" s="18" t="str">
        <x:v>Jubilación</x:v>
      </x:c>
      <x:c r="Z499" s="18" t="str">
        <x:v>Media</x:v>
      </x:c>
      <x:c r="AA499" s="18" t="str">
        <x:v>jubilación</x:v>
      </x:c>
      <x:c r="AB499" s="18" t="str"/>
      <x:c r="AC499" s="18" t="str"/>
      <x:c r="AD499" s="18" t="str">
        <x:v>No</x:v>
      </x:c>
      <x:c r="AE499" s="18" t="str">
        <x:v>Teórico</x:v>
      </x:c>
      <x:c r="AF499" s="18" t="str">
        <x:v>A</x:v>
      </x:c>
      <x:c r="AG499" s="18" t="str">
        <x:v>A</x:v>
      </x:c>
      <x:c r="AH499" s="18" t="str">
        <x:v>Válida</x:v>
      </x:c>
      <x:c r="AI499" s="18" t="str">
        <x:v>01. Información oficial de la oposición\Exámenes oficiales anteriores\2026 Convocatoria 2025 - Acceso libre Verde A.pdf</x:v>
      </x:c>
      <x:c r="AJ499" s="18" t="str">
        <x:v>https://www.seg-social.es/wps/portal/wss/internet/InformacionUtil/9950/88beb45d-ca83-4bab-8162-f94ef2894562/e0c83707-3358-47a9-94d7-508221dad233</x:v>
      </x:c>
      <x:c r="AK499" s="18" t="str">
        <x:v>OCR Windows es-ES sobre PDF oficial</x:v>
      </x:c>
      <x:c r="AL499" s="18" t="n">
        <x:v>100</x:v>
      </x:c>
      <x:c r="AM499" s="18" t="str">
        <x:v>Alta</x:v>
      </x:c>
      <x:c r="AN499" s="18" t="str">
        <x:v>Regla jurídica determinista</x:v>
      </x:c>
      <x:c r="AO499" s="18" t="str">
        <x:v>2026_conv2025_rojo_A-T59</x:v>
      </x:c>
      <x:c r="AP499" s="18" t="n">
        <x:v>1</x:v>
      </x:c>
    </x:row>
    <x:row r="500">
      <x:c r="A500" s="18" t="str">
        <x:v>2026_conv2025_verde_A-T44</x:v>
      </x:c>
      <x:c r="B500" s="18" t="n">
        <x:v>2026</x:v>
      </x:c>
      <x:c r="C500" s="18" t="n">
        <x:v>2025</x:v>
      </x:c>
      <x:c r="D500" s="28" t="n">
        <x:v>46201</x:v>
      </x:c>
      <x:c r="E500" s="18" t="str">
        <x:v>Acceso libre</x:v>
      </x:c>
      <x:c r="F500" s="18" t="str">
        <x:v>Primera parte</x:v>
      </x:c>
      <x:c r="G500" s="18" t="str">
        <x:v>Verde A</x:v>
      </x:c>
      <x:c r="H500" s="18" t="str">
        <x:v>Rojo/Verde A/B</x:v>
      </x:c>
      <x:c r="I500" s="18" t="str">
        <x:v>No</x:v>
      </x:c>
      <x:c r="J500" s="18" t="str">
        <x:v>Los colores y modelos reproducen el mismo conjunto de preguntas con orden y/o opciones permutados; Rojo A es la variante canónica para frecuencias y Verde A se conserva como control de cobertura.</x:v>
      </x:c>
      <x:c r="K500" s="18" t="n">
        <x:v>44</x:v>
      </x:c>
      <x:c r="L500" s="18" t="str">
        <x:v>No</x:v>
      </x:c>
      <x:c r="M500" s="18" t="str">
        <x:v>Señale la respuesta correcta en base a 10 previsto en el artículo 12 del texto refundido de la Ley General de la Seguridad Social, sobre los familiares del empresario/a:</x:v>
      </x:c>
      <x:c r="N500" s="18" t="str">
        <x:v>No tendrán la consideración de trabajadores/as por cuenta ajena, salvo prueba en contrario: parientes del empresario/a, por consanguinidad o afinidad hasta el tercer grado inclusive y, en su caso, por adopción, ocupados en su centro o centros de trabajo, cuando convivan en su hogar y estén a su cargo.</x:v>
      </x:c>
      <x:c r="O500" s="18" t="str">
        <x:v>Los trabajadore/as autónomos podrán contratar, como trabajadores por cuenta ajena, a los hijos/as menores de 30 años, aunque convivan con ellos, quedando incluida la cobertura por desempleo dentro de la acción protectora dispensada.</x:v>
      </x:c>
      <x:c r="P500" s="18" t="str">
        <x:v>Los trabajadores/as autónomos podrán contratar, como trabajadores/as por cuenta ajena, a los hijos/as que, aun siendo mayores de 30 años, convivan con ellos y tengan especiales dificultades para su inserción laboral.</x:v>
      </x:c>
      <x:c r="Q500" s="18" t="str">
        <x:v>Tendrá la consideración de trabajador/a por cuenta ajena, en todo caso, el cónyuge del empresario/a.</x:v>
      </x:c>
      <x:c r="R500" s="18" t="str">
        <x:v>S02</x:v>
      </x:c>
      <x:c r="S500" s="18" t="n">
        <x:v>2</x:v>
      </x:c>
      <x:c r="T500" s="18" t="str">
        <x:v>Temario específico Seguridad Social</x:v>
      </x:c>
      <x:c r="U500" s="18" t="str">
        <x:v>Campo de aplicación y composición del sistema de la Seguridad Social. Régimen general: ámbito subjetivo de aplicación, inclusiones y exclusiones. Regímenes especiales: enumeración, características generales, altas, bajas y cotización. Particularidades de la acción protectora. Sistemas especiales: enumeración y características generales. Altas, bajas y cotización. Particularidades de la acción protectora.</x:v>
      </x:c>
      <x:c r="V500" s="18" t="str">
        <x:v>S02</x:v>
      </x:c>
      <x:c r="W500" s="18" t="str">
        <x:v>texto refundido de la Ley General de la Seguridad Social</x:v>
      </x:c>
      <x:c r="X500" s="18" t="str">
        <x:v>12</x:v>
      </x:c>
      <x:c r="Y500" s="18" t="str">
        <x:v>Artículos literales</x:v>
      </x:c>
      <x:c r="Z500" s="18" t="str">
        <x:v>Media</x:v>
      </x:c>
      <x:c r="AA500" s="18" t="str">
        <x:v>S02</x:v>
      </x:c>
      <x:c r="AB500" s="18" t="str"/>
      <x:c r="AC500" s="18" t="str"/>
      <x:c r="AD500" s="18" t="str">
        <x:v>No</x:v>
      </x:c>
      <x:c r="AE500" s="18" t="str">
        <x:v>Teórico</x:v>
      </x:c>
      <x:c r="AF500" s="18" t="str">
        <x:v>C</x:v>
      </x:c>
      <x:c r="AG500" s="18" t="str">
        <x:v>C</x:v>
      </x:c>
      <x:c r="AH500" s="18" t="str">
        <x:v>Válida</x:v>
      </x:c>
      <x:c r="AI500" s="18" t="str">
        <x:v>01. Información oficial de la oposición\Exámenes oficiales anteriores\2026 Convocatoria 2025 - Acceso libre Verde A.pdf</x:v>
      </x:c>
      <x:c r="AJ500" s="18" t="str">
        <x:v>https://www.seg-social.es/wps/portal/wss/internet/InformacionUtil/9950/88beb45d-ca83-4bab-8162-f94ef2894562/e0c83707-3358-47a9-94d7-508221dad233</x:v>
      </x:c>
      <x:c r="AK500" s="18" t="str">
        <x:v>OCR Windows es-ES sobre PDF oficial</x:v>
      </x:c>
      <x:c r="AL500" s="18" t="n">
        <x:v>100</x:v>
      </x:c>
      <x:c r="AM500" s="18" t="str">
        <x:v>Alta</x:v>
      </x:c>
      <x:c r="AN500" s="18" t="str">
        <x:v>Regla jurídica determinista</x:v>
      </x:c>
      <x:c r="AO500" s="18" t="str">
        <x:v>2026_conv2025_rojo_A-T32</x:v>
      </x:c>
      <x:c r="AP500" s="18" t="n">
        <x:v>1</x:v>
      </x:c>
    </x:row>
    <x:row r="501">
      <x:c r="A501" s="18" t="str">
        <x:v>2026_conv2025_verde_A-T45</x:v>
      </x:c>
      <x:c r="B501" s="18" t="n">
        <x:v>2026</x:v>
      </x:c>
      <x:c r="C501" s="18" t="n">
        <x:v>2025</x:v>
      </x:c>
      <x:c r="D501" s="28" t="n">
        <x:v>46201</x:v>
      </x:c>
      <x:c r="E501" s="18" t="str">
        <x:v>Acceso libre</x:v>
      </x:c>
      <x:c r="F501" s="18" t="str">
        <x:v>Primera parte</x:v>
      </x:c>
      <x:c r="G501" s="18" t="str">
        <x:v>Verde A</x:v>
      </x:c>
      <x:c r="H501" s="18" t="str">
        <x:v>Rojo/Verde A/B</x:v>
      </x:c>
      <x:c r="I501" s="18" t="str">
        <x:v>No</x:v>
      </x:c>
      <x:c r="J501" s="18" t="str">
        <x:v>Los colores y modelos reproducen el mismo conjunto de preguntas con orden y/o opciones permutados; Rojo A es la variante canónica para frecuencias y Verde A se conserva como control de cobertura.</x:v>
      </x:c>
      <x:c r="K501" s="18" t="n">
        <x:v>45</x:v>
      </x:c>
      <x:c r="L501" s="18" t="str">
        <x:v>No</x:v>
      </x:c>
      <x:c r="M501" s="18" t="str">
        <x:v>Conforme a la Orden TAS/2865/2003, ¿qué requisito es imprescindible para suscribir un convenio Especial con 'a Seguridad Social?</x:v>
      </x:c>
      <x:c r="N501" s="18" t="str">
        <x:v>Los diputados y senadores de las Cortes Generales para poder suscribir un Convenio Especial deben tener cubierto un período mínimo de cotización de ciento ochenta días en cualquiera de los Regímenes que integran la Seguridad Social.</x:v>
      </x:c>
      <x:c r="O501" s="18" t="str">
        <x:v>Solicitar su suscripción ante la Dirección Provincial de la Tesorería General de la Seguridad Social o administración de la Seguridad Social correspondiente al domicilio del solicitante en eI plazo de un año, que se computará de la forma prevista en eI artículo 3 de la citada Orden.</x:v>
      </x:c>
      <x:c r="P501" s="18" t="str">
        <x:v>Tener cubierto, en la fecha de solicitud del convenio especial, un período de mil ochenta días de cotización al Sistema de la Seguridad Social en los quince años inmediatamente anteriores a la baja en el Régimen de la Seguridad Social de que se trate.</x:v>
      </x:c>
      <x:c r="Q501" s="18" t="str">
        <x:v>Solicitar la suscripción del convenio especial en el plazo máximo de nueve meses contados desde la resolución administrativa o judicial firme para aquellos trabajadores que causen baja en el correspondiente Régimen de la SS por haber solicitado una pensión y esta les sea posteriormente denegada.</x:v>
      </x:c>
      <x:c r="R501" s="18" t="str">
        <x:v>S03</x:v>
      </x:c>
      <x:c r="S501" s="18" t="n">
        <x:v>3</x:v>
      </x:c>
      <x:c r="T501" s="18" t="str">
        <x:v>Temario específico Seguridad Social</x:v>
      </x:c>
      <x:c r="U501" s="18" t="str">
        <x:v>Normas sobre afiliación. Altas y bajas en el régimen general. Procedimiento y efectos. El convenio especial y otras situaciones asimiladas a la del alta. Encuadramiento e inscripción.</x:v>
      </x:c>
      <x:c r="V501" s="18" t="str">
        <x:v>S03</x:v>
      </x:c>
      <x:c r="W501" s="18" t="str"/>
      <x:c r="X501" s="18" t="str"/>
      <x:c r="Y501" s="18" t="str">
        <x:v>Requisitos</x:v>
      </x:c>
      <x:c r="Z501" s="18" t="str">
        <x:v>Media</x:v>
      </x:c>
      <x:c r="AA501" s="18" t="str">
        <x:v>S03</x:v>
      </x:c>
      <x:c r="AB501" s="18" t="str"/>
      <x:c r="AC501" s="18" t="str"/>
      <x:c r="AD501" s="18" t="str">
        <x:v>No</x:v>
      </x:c>
      <x:c r="AE501" s="18" t="str">
        <x:v>Teórico</x:v>
      </x:c>
      <x:c r="AF501" s="18" t="str">
        <x:v>B</x:v>
      </x:c>
      <x:c r="AG501" s="18" t="str">
        <x:v>B</x:v>
      </x:c>
      <x:c r="AH501" s="18" t="str">
        <x:v>Válida</x:v>
      </x:c>
      <x:c r="AI501" s="18" t="str">
        <x:v>01. Información oficial de la oposición\Exámenes oficiales anteriores\2026 Convocatoria 2025 - Acceso libre Verde A.pdf</x:v>
      </x:c>
      <x:c r="AJ501" s="18" t="str">
        <x:v>https://www.seg-social.es/wps/portal/wss/internet/InformacionUtil/9950/88beb45d-ca83-4bab-8162-f94ef2894562/e0c83707-3358-47a9-94d7-508221dad233</x:v>
      </x:c>
      <x:c r="AK501" s="18" t="str">
        <x:v>OCR Windows es-ES sobre PDF oficial</x:v>
      </x:c>
      <x:c r="AL501" s="18" t="n">
        <x:v>100</x:v>
      </x:c>
      <x:c r="AM501" s="18" t="str">
        <x:v>Alta</x:v>
      </x:c>
      <x:c r="AN501" s="18" t="str">
        <x:v>Regla jurídica determinista</x:v>
      </x:c>
      <x:c r="AO501" s="18" t="str">
        <x:v>2026_conv2025_rojo_A-T37</x:v>
      </x:c>
      <x:c r="AP501" s="18" t="n">
        <x:v>0.9922</x:v>
      </x:c>
    </x:row>
    <x:row r="502">
      <x:c r="A502" s="18" t="str">
        <x:v>2026_conv2025_verde_A-T46</x:v>
      </x:c>
      <x:c r="B502" s="18" t="n">
        <x:v>2026</x:v>
      </x:c>
      <x:c r="C502" s="18" t="n">
        <x:v>2025</x:v>
      </x:c>
      <x:c r="D502" s="28" t="n">
        <x:v>46201</x:v>
      </x:c>
      <x:c r="E502" s="18" t="str">
        <x:v>Acceso libre</x:v>
      </x:c>
      <x:c r="F502" s="18" t="str">
        <x:v>Primera parte</x:v>
      </x:c>
      <x:c r="G502" s="18" t="str">
        <x:v>Verde A</x:v>
      </x:c>
      <x:c r="H502" s="18" t="str">
        <x:v>Rojo/Verde A/B</x:v>
      </x:c>
      <x:c r="I502" s="18" t="str">
        <x:v>No</x:v>
      </x:c>
      <x:c r="J502" s="18" t="str">
        <x:v>Los colores y modelos reproducen el mismo conjunto de preguntas con orden y/o opciones permutados; Rojo A es la variante canónica para frecuencias y Verde A se conserva como control de cobertura.</x:v>
      </x:c>
      <x:c r="K502" s="18" t="n">
        <x:v>46</x:v>
      </x:c>
      <x:c r="L502" s="18" t="str">
        <x:v>No</x:v>
      </x:c>
      <x:c r="M502" s="18" t="str">
        <x:v>Según 10 prescrito en el artículo 220 del texto refundido de la Ley General de la Seguridad Social, en caso de concurrencia de beneficiarios con derecho a pensión de viudedad:</x:v>
      </x:c>
      <x:c r="N502" s="18" t="str">
        <x:v>Esta se reconocerá únicamente en favor del cónyuge superviviente.</x:v>
      </x:c>
      <x:c r="O502" s="18" t="str">
        <x:v>Se reconocerá en cuantía proporcional al tiempo vivido por cada uno de ellos con el causante, garantizándose, en todo caso, el 40 por ciento a favor del cónyuge superviviente.</x:v>
      </x:c>
      <x:c r="P502" s="18" t="str">
        <x:v>Se reconocerá en cuantía proporcional al tiempo vivido por cada uno de ellos con el causante, garantizándose, en todo caso, el 60 por ciento a favor del cónyuge superviviente.</x:v>
      </x:c>
      <x:c r="Q502" s="18" t="str">
        <x:v>Se reconocerá dividiendo el importe correspondiente en cuantías iguales a favor de cada uno de los beneficiarios, con independencia del tiempo de cc.nvivencia con e' causante.</x:v>
      </x:c>
      <x:c r="R502" s="18" t="str">
        <x:v>S11</x:v>
      </x:c>
      <x:c r="S502" s="18" t="n">
        <x:v>11</x:v>
      </x:c>
      <x:c r="T502" s="18" t="str">
        <x:v>Temario específico Seguridad Social</x:v>
      </x:c>
      <x:c r="U502" s="18" t="str">
        <x:v>La protección por muerte y supervivencia. Hecho causante. Requisitos para las prestaciones de viudedad, orfandad y en favor de familiares. Cuantía de las prestaciones. Compatibilidad. Suspensión y Extinción. Normas específicas en caso de muerte derivada de accidente de trabajo o enfermedad profesional. Efectividad económica de las prestaciones. El auxilio por defunción.</x:v>
      </x:c>
      <x:c r="V502" s="18" t="str">
        <x:v>viudedad</x:v>
      </x:c>
      <x:c r="W502" s="18" t="str">
        <x:v>texto refundido de la Ley General de la Seguridad Social</x:v>
      </x:c>
      <x:c r="X502" s="18" t="str">
        <x:v>220</x:v>
      </x:c>
      <x:c r="Y502" s="18" t="str">
        <x:v>Personas beneficiarias</x:v>
      </x:c>
      <x:c r="Z502" s="18" t="str">
        <x:v>Media</x:v>
      </x:c>
      <x:c r="AA502" s="18" t="str">
        <x:v>viudedad</x:v>
      </x:c>
      <x:c r="AB502" s="18" t="str"/>
      <x:c r="AC502" s="18" t="str"/>
      <x:c r="AD502" s="18" t="str">
        <x:v>No</x:v>
      </x:c>
      <x:c r="AE502" s="18" t="str">
        <x:v>Teórico</x:v>
      </x:c>
      <x:c r="AF502" s="18" t="str">
        <x:v>B</x:v>
      </x:c>
      <x:c r="AG502" s="18" t="str">
        <x:v>B</x:v>
      </x:c>
      <x:c r="AH502" s="18" t="str">
        <x:v>Válida</x:v>
      </x:c>
      <x:c r="AI502" s="18" t="str">
        <x:v>01. Información oficial de la oposición\Exámenes oficiales anteriores\2026 Convocatoria 2025 - Acceso libre Verde A.pdf</x:v>
      </x:c>
      <x:c r="AJ502" s="18" t="str">
        <x:v>https://www.seg-social.es/wps/portal/wss/internet/InformacionUtil/9950/88beb45d-ca83-4bab-8162-f94ef2894562/e0c83707-3358-47a9-94d7-508221dad233</x:v>
      </x:c>
      <x:c r="AK502" s="18" t="str">
        <x:v>OCR Windows es-ES sobre PDF oficial</x:v>
      </x:c>
      <x:c r="AL502" s="18" t="n">
        <x:v>100</x:v>
      </x:c>
      <x:c r="AM502" s="18" t="str">
        <x:v>Alta</x:v>
      </x:c>
      <x:c r="AN502" s="18" t="str">
        <x:v>Regla jurídica determinista</x:v>
      </x:c>
      <x:c r="AO502" s="18" t="str">
        <x:v>2026_conv2025_rojo_A-T61</x:v>
      </x:c>
      <x:c r="AP502" s="18" t="n">
        <x:v>0.9943</x:v>
      </x:c>
    </x:row>
    <x:row r="503">
      <x:c r="A503" s="18" t="str">
        <x:v>2026_conv2025_verde_A-T47</x:v>
      </x:c>
      <x:c r="B503" s="18" t="n">
        <x:v>2026</x:v>
      </x:c>
      <x:c r="C503" s="18" t="n">
        <x:v>2025</x:v>
      </x:c>
      <x:c r="D503" s="28" t="n">
        <x:v>46201</x:v>
      </x:c>
      <x:c r="E503" s="18" t="str">
        <x:v>Acceso libre</x:v>
      </x:c>
      <x:c r="F503" s="18" t="str">
        <x:v>Primera parte</x:v>
      </x:c>
      <x:c r="G503" s="18" t="str">
        <x:v>Verde A</x:v>
      </x:c>
      <x:c r="H503" s="18" t="str">
        <x:v>Rojo/Verde A/B</x:v>
      </x:c>
      <x:c r="I503" s="18" t="str">
        <x:v>No</x:v>
      </x:c>
      <x:c r="J503" s="18" t="str">
        <x:v>Los colores y modelos reproducen el mismo conjunto de preguntas con orden y/o opciones permutados; Rojo A es la variante canónica para frecuencias y Verde A se conserva como control de cobertura.</x:v>
      </x:c>
      <x:c r="K503" s="18" t="n">
        <x:v>47</x:v>
      </x:c>
      <x:c r="L503" s="18" t="str">
        <x:v>No</x:v>
      </x:c>
      <x:c r="M503" s="18" t="str">
        <x:v>Según el artículo 127 del texto refundido de la Ley General de la Seguridad Social, ¿cuál de las siguientes afirmaciones sobre eI Mecanismo de Equidad Intergeneracional es correcta?</x:v>
      </x:c>
      <x:c r="N503" s="18" t="str">
        <x:v>Es una cotización computable a efectos del cálculo de las prestaciones contributivas de jubilación.</x:v>
      </x:c>
      <x:c r="O503" s="18" t="str">
        <x:v>Es una cotización aplicable exclusivamente al Régimen General de la Seguridad Social.</x:v>
      </x:c>
      <x:c r="P503" s="18" t="str">
        <x:v>Es una cotización finalista, aplicable en todos los regímenes y en todos los supuestos en los que se cotice por la contingencia de jubilación, sin efectos sobre las prestaciones.</x:v>
      </x:c>
      <x:c r="Q503" s="18" t="str">
        <x:v>Es una cotización susceptible de bonificación o reducción en función de la modalidad contractual o del colectivo protegido.</x:v>
      </x:c>
      <x:c r="R503" s="18" t="str">
        <x:v>S13</x:v>
      </x:c>
      <x:c r="S503" s="18" t="n">
        <x:v>13</x:v>
      </x:c>
      <x:c r="T503" s="18" t="str">
        <x:v>Temario específico Seguridad Social</x:v>
      </x:c>
      <x:c r="U503" s="18" t="str">
        <x:v>Recursos generales del sistema de la Seguridad Social. El patrimonio único de la seguridad social: titularidad, adscripción, administración y custodia. Los negocios jurídicos patrimoniales: adquisición, enajenación, arrendamiento y cesión. El Fondo de Reserva de la Seguridad Social: constitución, dotación y disposición. Gestión de los recursos financieros: atribución de funciones. Pago de prestaciones de la Seguridad Social.</x:v>
      </x:c>
      <x:c r="V503" s="18" t="str">
        <x:v>S13</x:v>
      </x:c>
      <x:c r="W503" s="18" t="str">
        <x:v>texto refundido de la Ley General de la Seguridad Social</x:v>
      </x:c>
      <x:c r="X503" s="18" t="str">
        <x:v>127</x:v>
      </x:c>
      <x:c r="Y503" s="18" t="str">
        <x:v>Artículos literales</x:v>
      </x:c>
      <x:c r="Z503" s="18" t="str">
        <x:v>Media</x:v>
      </x:c>
      <x:c r="AA503" s="18" t="str">
        <x:v>S13</x:v>
      </x:c>
      <x:c r="AB503" s="18" t="str">
        <x:v>ISM</x:v>
      </x:c>
      <x:c r="AC503" s="18" t="str"/>
      <x:c r="AD503" s="18" t="str">
        <x:v>No</x:v>
      </x:c>
      <x:c r="AE503" s="18" t="str">
        <x:v>Teórico</x:v>
      </x:c>
      <x:c r="AF503" s="18" t="str">
        <x:v>C</x:v>
      </x:c>
      <x:c r="AG503" s="18" t="str">
        <x:v>C</x:v>
      </x:c>
      <x:c r="AH503" s="18" t="str">
        <x:v>Válida</x:v>
      </x:c>
      <x:c r="AI503" s="18" t="str">
        <x:v>01. Información oficial de la oposición\Exámenes oficiales anteriores\2026 Convocatoria 2025 - Acceso libre Verde A.pdf</x:v>
      </x:c>
      <x:c r="AJ503" s="18" t="str">
        <x:v>https://www.seg-social.es/wps/portal/wss/internet/InformacionUtil/9950/88beb45d-ca83-4bab-8162-f94ef2894562/e0c83707-3358-47a9-94d7-508221dad233</x:v>
      </x:c>
      <x:c r="AK503" s="18" t="str">
        <x:v>OCR Windows es-ES sobre PDF oficial</x:v>
      </x:c>
      <x:c r="AL503" s="18" t="n">
        <x:v>100</x:v>
      </x:c>
      <x:c r="AM503" s="18" t="str">
        <x:v>Alta</x:v>
      </x:c>
      <x:c r="AN503" s="18" t="str">
        <x:v>Regla jurídica determinista</x:v>
      </x:c>
      <x:c r="AO503" s="18" t="str">
        <x:v>2026_conv2025_rojo_A-T70</x:v>
      </x:c>
      <x:c r="AP503" s="18" t="n">
        <x:v>0.9945</x:v>
      </x:c>
    </x:row>
    <x:row r="504">
      <x:c r="A504" s="18" t="str">
        <x:v>2026_conv2025_verde_A-T48</x:v>
      </x:c>
      <x:c r="B504" s="18" t="n">
        <x:v>2026</x:v>
      </x:c>
      <x:c r="C504" s="18" t="n">
        <x:v>2025</x:v>
      </x:c>
      <x:c r="D504" s="28" t="n">
        <x:v>46201</x:v>
      </x:c>
      <x:c r="E504" s="18" t="str">
        <x:v>Acceso libre</x:v>
      </x:c>
      <x:c r="F504" s="18" t="str">
        <x:v>Primera parte</x:v>
      </x:c>
      <x:c r="G504" s="18" t="str">
        <x:v>Verde A</x:v>
      </x:c>
      <x:c r="H504" s="18" t="str">
        <x:v>Rojo/Verde A/B</x:v>
      </x:c>
      <x:c r="I504" s="18" t="str">
        <x:v>No</x:v>
      </x:c>
      <x:c r="J504" s="18" t="str">
        <x:v>Los colores y modelos reproducen el mismo conjunto de preguntas con orden y/o opciones permutados; Rojo A es la variante canónica para frecuencias y Verde A se conserva como control de cobertura.</x:v>
      </x:c>
      <x:c r="K504" s="18" t="n">
        <x:v>48</x:v>
      </x:c>
      <x:c r="L504" s="18" t="str">
        <x:v>No</x:v>
      </x:c>
      <x:c r="M504" s="18" t="str">
        <x:v>De acuerdo con el artículo 7 del Real Decreto 1335/2005, por el que se regulan las prestaciones familiares de la seguridad social, la base de cotización estará constituida por eI promedio de las bases de cotización del beneficiario correspondiente a:</x:v>
      </x:c>
      <x:c r="N504" s="18" t="str">
        <x:v>Los nueve meses inmediatamente anteriores al inicio del periodo de excedencia laboral para eI cuidado del hijo, del menor acogido o de otros familiares.</x:v>
      </x:c>
      <x:c r="O504" s="18" t="str">
        <x:v>Los tres meses inmediatamente anteriores al inicio del periodo de excedencia laboral para el cuidado del hijo, del menor acogido o de otros familiares.</x:v>
      </x:c>
      <x:c r="P504" s="18" t="str">
        <x:v>Los doce meses inmediatamente anteriores al inicio del periodo de excedencia laborar para eI cuidado del hijo, del menor acogido o de otros familiares.</x:v>
      </x:c>
      <x:c r="Q504" s="18" t="str">
        <x:v>Los seis meses inmediatamente anteriores al inicio del periodo de excedencia laboral para el cuidado del hijo, del menor acogido o de otros familiares.</x:v>
      </x:c>
      <x:c r="R504" s="18" t="str">
        <x:v>S12</x:v>
      </x:c>
      <x:c r="S504" s="18" t="n">
        <x:v>12</x:v>
      </x:c>
      <x:c r="T504" s="18" t="str">
        <x:v>Temario específico Seguridad Social</x:v>
      </x:c>
      <x:c r="U504" s="18" t="str">
        <x:v>Prestaciones no contributivas y asistenciales. El ingreso mínimo vital: beneficiarios, requisitos y duración. Obligaciones de las personas beneficiarias. Cuantía, pago, reintegro de prestaciones indebidas. Prestaciones familiares múltiples. Prestaciones familiares en la modalidad contributiva. Las pensiones no contributivas: Invalidez no contributiva: Jubilación no contributiva.</x:v>
      </x:c>
      <x:c r="V504" s="18" t="str">
        <x:v>base de cotización</x:v>
      </x:c>
      <x:c r="W504" s="18" t="str">
        <x:v>Real Decreto 1335/2005</x:v>
      </x:c>
      <x:c r="X504" s="18" t="str">
        <x:v>7</x:v>
      </x:c>
      <x:c r="Y504" s="18" t="str">
        <x:v>Personas beneficiarias</x:v>
      </x:c>
      <x:c r="Z504" s="18" t="str">
        <x:v>Media</x:v>
      </x:c>
      <x:c r="AA504" s="18" t="str">
        <x:v>base de cotización</x:v>
      </x:c>
      <x:c r="AB504" s="18" t="str"/>
      <x:c r="AC504" s="18" t="str"/>
      <x:c r="AD504" s="18" t="str">
        <x:v>No</x:v>
      </x:c>
      <x:c r="AE504" s="18" t="str">
        <x:v>Teórico</x:v>
      </x:c>
      <x:c r="AF504" s="18" t="str">
        <x:v>D</x:v>
      </x:c>
      <x:c r="AG504" s="18" t="str">
        <x:v>D</x:v>
      </x:c>
      <x:c r="AH504" s="18" t="str">
        <x:v>Válida</x:v>
      </x:c>
      <x:c r="AI504" s="18" t="str">
        <x:v>01. Información oficial de la oposición\Exámenes oficiales anteriores\2026 Convocatoria 2025 - Acceso libre Verde A.pdf</x:v>
      </x:c>
      <x:c r="AJ504" s="18" t="str">
        <x:v>https://www.seg-social.es/wps/portal/wss/internet/InformacionUtil/9950/88beb45d-ca83-4bab-8162-f94ef2894562/e0c83707-3358-47a9-94d7-508221dad233</x:v>
      </x:c>
      <x:c r="AK504" s="18" t="str">
        <x:v>OCR Windows es-ES sobre PDF oficial</x:v>
      </x:c>
      <x:c r="AL504" s="18" t="n">
        <x:v>100</x:v>
      </x:c>
      <x:c r="AM504" s="18" t="str">
        <x:v>Alta</x:v>
      </x:c>
      <x:c r="AN504" s="18" t="str">
        <x:v>Revisión jurídica individual</x:v>
      </x:c>
      <x:c r="AO504" s="18" t="str">
        <x:v>2026_conv2025_rojo_A-T65</x:v>
      </x:c>
      <x:c r="AP504" s="18" t="n">
        <x:v>0.992</x:v>
      </x:c>
    </x:row>
    <x:row r="505">
      <x:c r="A505" s="18" t="str">
        <x:v>2026_conv2025_verde_A-T49</x:v>
      </x:c>
      <x:c r="B505" s="18" t="n">
        <x:v>2026</x:v>
      </x:c>
      <x:c r="C505" s="18" t="n">
        <x:v>2025</x:v>
      </x:c>
      <x:c r="D505" s="28" t="n">
        <x:v>46201</x:v>
      </x:c>
      <x:c r="E505" s="18" t="str">
        <x:v>Acceso libre</x:v>
      </x:c>
      <x:c r="F505" s="18" t="str">
        <x:v>Primera parte</x:v>
      </x:c>
      <x:c r="G505" s="18" t="str">
        <x:v>Verde A</x:v>
      </x:c>
      <x:c r="H505" s="18" t="str">
        <x:v>Rojo/Verde A/B</x:v>
      </x:c>
      <x:c r="I505" s="18" t="str">
        <x:v>No</x:v>
      </x:c>
      <x:c r="J505" s="18" t="str">
        <x:v>Los colores y modelos reproducen el mismo conjunto de preguntas con orden y/o opciones permutados; Rojo A es la variante canónica para frecuencias y Verde A se conserva como control de cobertura.</x:v>
      </x:c>
      <x:c r="K505" s="18" t="n">
        <x:v>49</x:v>
      </x:c>
      <x:c r="L505" s="18" t="str">
        <x:v>No</x:v>
      </x:c>
      <x:c r="M505" s="18" t="str">
        <x:v>Están obligatoriamente incluidos en el campo de aplicación del Régimen Especial de la Seguridad Social de los Trabajadores por Cuenta Propia o Autónomos:</x:v>
      </x:c>
      <x:c r="N505" s="18" t="str">
        <x:v>Los trabajadores incluidos en e' Sistema Especial para Trabajadores por Cuenta Ajena Agrarios.</x:v>
      </x:c>
      <x:c r="O505" s="18" t="str">
        <x:v>Los trabajadores autónomos económicamente dependientes a los que se refiere la Ley 20/2007, de II de julio.</x:v>
      </x:c>
      <x:c r="P505" s="18" t="str">
        <x:v>Los miembros del Cuerpo de Registradores de la Propiedad, Mercantiles y de Bienes Muebles, excluidos los del Cuerpo de Aspirantes.</x:v>
      </x:c>
      <x:c r="Q505" s="18" t="str">
        <x:v>Los socios trabajadores de las cooperativas de trabajo asociado dedicados a la venta ambulante siempre que no perciban ingresos directamente de los compradores.</x:v>
      </x:c>
      <x:c r="R505" s="18" t="str">
        <x:v>S02</x:v>
      </x:c>
      <x:c r="S505" s="18" t="n">
        <x:v>2</x:v>
      </x:c>
      <x:c r="T505" s="18" t="str">
        <x:v>Temario específico Seguridad Social</x:v>
      </x:c>
      <x:c r="U505" s="18" t="str">
        <x:v>Campo de aplicación y composición del sistema de la Seguridad Social. Régimen general: ámbito subjetivo de aplicación, inclusiones y exclusiones. Regímenes especiales: enumeración, características generales, altas, bajas y cotización. Particularidades de la acción protectora. Sistemas especiales: enumeración y características generales. Altas, bajas y cotización. Particularidades de la acción protectora.</x:v>
      </x:c>
      <x:c r="V505" s="18" t="str">
        <x:v>S02</x:v>
      </x:c>
      <x:c r="W505" s="18" t="str"/>
      <x:c r="X505" s="18" t="str"/>
      <x:c r="Y505" s="18" t="str">
        <x:v>Artículos literales</x:v>
      </x:c>
      <x:c r="Z505" s="18" t="str">
        <x:v>Media</x:v>
      </x:c>
      <x:c r="AA505" s="18" t="str">
        <x:v>S02</x:v>
      </x:c>
      <x:c r="AB505" s="18" t="str"/>
      <x:c r="AC505" s="18" t="str"/>
      <x:c r="AD505" s="18" t="str">
        <x:v>No</x:v>
      </x:c>
      <x:c r="AE505" s="18" t="str">
        <x:v>Teórico</x:v>
      </x:c>
      <x:c r="AF505" s="18" t="str">
        <x:v>B</x:v>
      </x:c>
      <x:c r="AG505" s="18" t="str">
        <x:v>B</x:v>
      </x:c>
      <x:c r="AH505" s="18" t="str">
        <x:v>Válida</x:v>
      </x:c>
      <x:c r="AI505" s="18" t="str">
        <x:v>01. Información oficial de la oposición\Exámenes oficiales anteriores\2026 Convocatoria 2025 - Acceso libre Verde A.pdf</x:v>
      </x:c>
      <x:c r="AJ505" s="18" t="str">
        <x:v>https://www.seg-social.es/wps/portal/wss/internet/InformacionUtil/9950/88beb45d-ca83-4bab-8162-f94ef2894562/e0c83707-3358-47a9-94d7-508221dad233</x:v>
      </x:c>
      <x:c r="AK505" s="18" t="str">
        <x:v>OCR Windows es-ES sobre PDF oficial</x:v>
      </x:c>
      <x:c r="AL505" s="18" t="n">
        <x:v>100</x:v>
      </x:c>
      <x:c r="AM505" s="18" t="str">
        <x:v>Alta</x:v>
      </x:c>
      <x:c r="AN505" s="18" t="str">
        <x:v>Regla jurídica determinista</x:v>
      </x:c>
      <x:c r="AO505" s="18" t="str">
        <x:v>2026_conv2025_rojo_A-T33</x:v>
      </x:c>
      <x:c r="AP505" s="18" t="n">
        <x:v>0.9935</x:v>
      </x:c>
    </x:row>
    <x:row r="506">
      <x:c r="A506" s="18" t="str">
        <x:v>2026_conv2025_verde_A-T50</x:v>
      </x:c>
      <x:c r="B506" s="18" t="n">
        <x:v>2026</x:v>
      </x:c>
      <x:c r="C506" s="18" t="n">
        <x:v>2025</x:v>
      </x:c>
      <x:c r="D506" s="28" t="n">
        <x:v>46201</x:v>
      </x:c>
      <x:c r="E506" s="18" t="str">
        <x:v>Acceso libre</x:v>
      </x:c>
      <x:c r="F506" s="18" t="str">
        <x:v>Primera parte</x:v>
      </x:c>
      <x:c r="G506" s="18" t="str">
        <x:v>Verde A</x:v>
      </x:c>
      <x:c r="H506" s="18" t="str">
        <x:v>Rojo/Verde A/B</x:v>
      </x:c>
      <x:c r="I506" s="18" t="str">
        <x:v>No</x:v>
      </x:c>
      <x:c r="J506" s="18" t="str">
        <x:v>Los colores y modelos reproducen el mismo conjunto de preguntas con orden y/o opciones permutados; Rojo A es la variante canónica para frecuencias y Verde A se conserva como control de cobertura.</x:v>
      </x:c>
      <x:c r="K506" s="18" t="n">
        <x:v>50</x:v>
      </x:c>
      <x:c r="L506" s="18" t="str">
        <x:v>No</x:v>
      </x:c>
      <x:c r="M506" s="18" t="str">
        <x:v>¿Cuántas disposiciones adicionales tiene el texto refundido de la Ley General de la Seguridad Social?</x:v>
      </x:c>
      <x:c r="N506" s="18" t="str">
        <x:v>54.</x:v>
      </x:c>
      <x:c r="O506" s="18" t="str">
        <x:v>61.</x:v>
      </x:c>
      <x:c r="P506" s="18" t="str">
        <x:v>373</x:v>
      </x:c>
      <x:c r="Q506" s="18" t="str">
        <x:v>60.</x:v>
      </x:c>
      <x:c r="R506" s="18" t="str">
        <x:v>S01</x:v>
      </x:c>
      <x:c r="S506" s="18" t="n">
        <x:v>1</x:v>
      </x:c>
      <x:c r="T506" s="18" t="str">
        <x:v>Temario específico Seguridad Social</x:v>
      </x:c>
      <x:c r="U506" s="18" t="str">
        <x:v>La Seguridad Social en la Constitución española de 1978. El texto refundido de la Ley General de la Seguridad Social.</x:v>
      </x:c>
      <x:c r="V506" s="18" t="str">
        <x:v>S01</x:v>
      </x:c>
      <x:c r="W506" s="18" t="str">
        <x:v>texto refundido de la Ley General de la Seguridad Social</x:v>
      </x:c>
      <x:c r="X506" s="18" t="str"/>
      <x:c r="Y506" s="18" t="str">
        <x:v>Artículos literales</x:v>
      </x:c>
      <x:c r="Z506" s="18" t="str">
        <x:v>Básica</x:v>
      </x:c>
      <x:c r="AA506" s="18" t="str">
        <x:v>S01</x:v>
      </x:c>
      <x:c r="AB506" s="18" t="str"/>
      <x:c r="AC506" s="18" t="str"/>
      <x:c r="AD506" s="18" t="str">
        <x:v>No</x:v>
      </x:c>
      <x:c r="AE506" s="18" t="str">
        <x:v>Teórico</x:v>
      </x:c>
      <x:c r="AF506" s="18" t="str">
        <x:v>B</x:v>
      </x:c>
      <x:c r="AG506" s="18" t="str">
        <x:v>B</x:v>
      </x:c>
      <x:c r="AH506" s="18" t="str">
        <x:v>Válida</x:v>
      </x:c>
      <x:c r="AI506" s="18" t="str">
        <x:v>01. Información oficial de la oposición\Exámenes oficiales anteriores\2026 Convocatoria 2025 - Acceso libre Verde A.pdf</x:v>
      </x:c>
      <x:c r="AJ506" s="18" t="str">
        <x:v>https://www.seg-social.es/wps/portal/wss/internet/InformacionUtil/9950/88beb45d-ca83-4bab-8162-f94ef2894562/e0c83707-3358-47a9-94d7-508221dad233</x:v>
      </x:c>
      <x:c r="AK506" s="18" t="str">
        <x:v>OCR Windows es-ES sobre PDF oficial</x:v>
      </x:c>
      <x:c r="AL506" s="18" t="n">
        <x:v>100</x:v>
      </x:c>
      <x:c r="AM506" s="18" t="str">
        <x:v>Alta</x:v>
      </x:c>
      <x:c r="AN506" s="18" t="str">
        <x:v>Regla jurídica determinista</x:v>
      </x:c>
      <x:c r="AO506" s="18" t="str">
        <x:v>2026_conv2025_rojo_A-T30</x:v>
      </x:c>
      <x:c r="AP506" s="18" t="n">
        <x:v>0.9901</x:v>
      </x:c>
    </x:row>
    <x:row r="507">
      <x:c r="A507" s="18" t="str">
        <x:v>2026_conv2025_verde_A-T51</x:v>
      </x:c>
      <x:c r="B507" s="18" t="n">
        <x:v>2026</x:v>
      </x:c>
      <x:c r="C507" s="18" t="n">
        <x:v>2025</x:v>
      </x:c>
      <x:c r="D507" s="28" t="n">
        <x:v>46201</x:v>
      </x:c>
      <x:c r="E507" s="18" t="str">
        <x:v>Acceso libre</x:v>
      </x:c>
      <x:c r="F507" s="18" t="str">
        <x:v>Primera parte</x:v>
      </x:c>
      <x:c r="G507" s="18" t="str">
        <x:v>Verde A</x:v>
      </x:c>
      <x:c r="H507" s="18" t="str">
        <x:v>Rojo/Verde A/B</x:v>
      </x:c>
      <x:c r="I507" s="18" t="str">
        <x:v>No</x:v>
      </x:c>
      <x:c r="J507" s="18" t="str">
        <x:v>Los colores y modelos reproducen el mismo conjunto de preguntas con orden y/o opciones permutados; Rojo A es la variante canónica para frecuencias y Verde A se conserva como control de cobertura.</x:v>
      </x:c>
      <x:c r="K507" s="18" t="n">
        <x:v>51</x:v>
      </x:c>
      <x:c r="L507" s="18" t="str">
        <x:v>No</x:v>
      </x:c>
      <x:c r="M507" s="18" t="str">
        <x:v>De conformidad con el artículo 12 del Real Decreto 1221/1992, sobre eI patrimonio de la Seguridad Social, las mejoras realizadas en un inmueble del patrimonio de la Seguridad Social durante el periodo de adscripción:</x:v>
      </x:c>
      <x:c r="N507" s="18" t="str">
        <x:v>Generan derecho a indemnización.</x:v>
      </x:c>
      <x:c r="O507" s="18" t="str">
        <x:v>Se compensan económicamente al finalizar la adscripción.</x:v>
      </x:c>
      <x:c r="P507" s="18" t="str">
        <x:v>Permanecen en favor de la entidad adscrita.</x:v>
      </x:c>
      <x:c r="Q507" s="18" t="str">
        <x:v>Se integrarán en eI patrimonio de la Tesorería General de la Seguridad Social sin indemnización.</x:v>
      </x:c>
      <x:c r="R507" s="18" t="str">
        <x:v>S13</x:v>
      </x:c>
      <x:c r="S507" s="18" t="n">
        <x:v>13</x:v>
      </x:c>
      <x:c r="T507" s="18" t="str">
        <x:v>Temario específico Seguridad Social</x:v>
      </x:c>
      <x:c r="U507" s="18" t="str">
        <x:v>Recursos generales del sistema de la Seguridad Social. El patrimonio único de la seguridad social: titularidad, adscripción, administración y custodia. Los negocios jurídicos patrimoniales: adquisición, enajenación, arrendamiento y cesión. El Fondo de Reserva de la Seguridad Social: constitución, dotación y disposición. Gestión de los recursos financieros: atribución de funciones. Pago de prestaciones de la Seguridad Social.</x:v>
      </x:c>
      <x:c r="V507" s="18" t="str">
        <x:v>S13</x:v>
      </x:c>
      <x:c r="W507" s="18" t="str">
        <x:v>Real Decreto 1221/1992</x:v>
      </x:c>
      <x:c r="X507" s="18" t="str">
        <x:v>12</x:v>
      </x:c>
      <x:c r="Y507" s="18" t="str">
        <x:v>Artículos literales</x:v>
      </x:c>
      <x:c r="Z507" s="18" t="str">
        <x:v>Media</x:v>
      </x:c>
      <x:c r="AA507" s="18" t="str">
        <x:v>S13</x:v>
      </x:c>
      <x:c r="AB507" s="18" t="str"/>
      <x:c r="AC507" s="18" t="str"/>
      <x:c r="AD507" s="18" t="str">
        <x:v>No</x:v>
      </x:c>
      <x:c r="AE507" s="18" t="str">
        <x:v>Teórico</x:v>
      </x:c>
      <x:c r="AF507" s="18" t="str">
        <x:v>D</x:v>
      </x:c>
      <x:c r="AG507" s="18" t="str">
        <x:v>D</x:v>
      </x:c>
      <x:c r="AH507" s="18" t="str">
        <x:v>Válida</x:v>
      </x:c>
      <x:c r="AI507" s="18" t="str">
        <x:v>01. Información oficial de la oposición\Exámenes oficiales anteriores\2026 Convocatoria 2025 - Acceso libre Verde A.pdf</x:v>
      </x:c>
      <x:c r="AJ507" s="18" t="str">
        <x:v>https://www.seg-social.es/wps/portal/wss/internet/InformacionUtil/9950/88beb45d-ca83-4bab-8162-f94ef2894562/e0c83707-3358-47a9-94d7-508221dad233</x:v>
      </x:c>
      <x:c r="AK507" s="18" t="str">
        <x:v>OCR Windows es-ES sobre PDF oficial</x:v>
      </x:c>
      <x:c r="AL507" s="18" t="n">
        <x:v>12</x:v>
      </x:c>
      <x:c r="AM507" s="18" t="str">
        <x:v>Alta</x:v>
      </x:c>
      <x:c r="AN507" s="18" t="str">
        <x:v>Ponderación de palabras clave</x:v>
      </x:c>
      <x:c r="AO507" s="18" t="str">
        <x:v>2026_conv2025_rojo_A-T69</x:v>
      </x:c>
      <x:c r="AP507" s="18" t="n">
        <x:v>0.9907</x:v>
      </x:c>
    </x:row>
    <x:row r="508">
      <x:c r="A508" s="18" t="str">
        <x:v>2026_conv2025_verde_A-T52</x:v>
      </x:c>
      <x:c r="B508" s="18" t="n">
        <x:v>2026</x:v>
      </x:c>
      <x:c r="C508" s="18" t="n">
        <x:v>2025</x:v>
      </x:c>
      <x:c r="D508" s="28" t="n">
        <x:v>46201</x:v>
      </x:c>
      <x:c r="E508" s="18" t="str">
        <x:v>Acceso libre</x:v>
      </x:c>
      <x:c r="F508" s="18" t="str">
        <x:v>Primera parte</x:v>
      </x:c>
      <x:c r="G508" s="18" t="str">
        <x:v>Verde A</x:v>
      </x:c>
      <x:c r="H508" s="18" t="str">
        <x:v>Rojo/Verde A/B</x:v>
      </x:c>
      <x:c r="I508" s="18" t="str">
        <x:v>No</x:v>
      </x:c>
      <x:c r="J508" s="18" t="str">
        <x:v>Los colores y modelos reproducen el mismo conjunto de preguntas con orden y/o opciones permutados; Rojo A es la variante canónica para frecuencias y Verde A se conserva como control de cobertura.</x:v>
      </x:c>
      <x:c r="K508" s="18" t="n">
        <x:v>52</x:v>
      </x:c>
      <x:c r="L508" s="18" t="str">
        <x:v>No</x:v>
      </x:c>
      <x:c r="M508" s="18" t="str">
        <x:v>Según eI articulo 15 de la ley 19/2021, por la que se establece eI ingreso mínimo vital, todas las personas beneficiarias, integradas o no en una unidad de convivencia, estarán obligadas a poner en conocimiento de la entidad gestora competente aquellas circunstancias que afecten al cumplimiento de los requisitos o de las obligaciones establecidos en esta ley, en eI plazo máximo de:</x:v>
      </x:c>
      <x:c r="N508" s="18" t="str">
        <x:v>Treinta días hábiles.</x:v>
      </x:c>
      <x:c r="O508" s="18" t="str">
        <x:v>Treinta días naturales.</x:v>
      </x:c>
      <x:c r="P508" s="18" t="str">
        <x:v>Quince días hábiles.</x:v>
      </x:c>
      <x:c r="Q508" s="18" t="str">
        <x:v>Quince días naturales.</x:v>
      </x:c>
      <x:c r="R508" s="18" t="str">
        <x:v>S12</x:v>
      </x:c>
      <x:c r="S508" s="18" t="n">
        <x:v>12</x:v>
      </x:c>
      <x:c r="T508" s="18" t="str">
        <x:v>Temario específico Seguridad Social</x:v>
      </x:c>
      <x:c r="U508" s="18" t="str">
        <x:v>Prestaciones no contributivas y asistenciales. El ingreso mínimo vital: beneficiarios, requisitos y duración. Obligaciones de las personas beneficiarias. Cuantía, pago, reintegro de prestaciones indebidas. Prestaciones familiares múltiples. Prestaciones familiares en la modalidad contributiva. Las pensiones no contributivas: Invalidez no contributiva: Jubilación no contributiva.</x:v>
      </x:c>
      <x:c r="V508" s="18" t="str">
        <x:v>ingreso mínimo vital</x:v>
      </x:c>
      <x:c r="W508" s="18" t="str">
        <x:v>ley 19/2021</x:v>
      </x:c>
      <x:c r="X508" s="18" t="str">
        <x:v>15</x:v>
      </x:c>
      <x:c r="Y508" s="18" t="str">
        <x:v>Plazos</x:v>
      </x:c>
      <x:c r="Z508" s="18" t="str">
        <x:v>Alta</x:v>
      </x:c>
      <x:c r="AA508" s="18" t="str">
        <x:v>ingreso mínimo vital</x:v>
      </x:c>
      <x:c r="AB508" s="18" t="str"/>
      <x:c r="AC508" s="18" t="str"/>
      <x:c r="AD508" s="18" t="str">
        <x:v>No</x:v>
      </x:c>
      <x:c r="AE508" s="18" t="str">
        <x:v>Teórico</x:v>
      </x:c>
      <x:c r="AF508" s="18" t="str">
        <x:v>B</x:v>
      </x:c>
      <x:c r="AG508" s="18" t="str">
        <x:v>B</x:v>
      </x:c>
      <x:c r="AH508" s="18" t="str">
        <x:v>Válida</x:v>
      </x:c>
      <x:c r="AI508" s="18" t="str">
        <x:v>01. Información oficial de la oposición\Exámenes oficiales anteriores\2026 Convocatoria 2025 - Acceso libre Verde A.pdf</x:v>
      </x:c>
      <x:c r="AJ508" s="18" t="str">
        <x:v>https://www.seg-social.es/wps/portal/wss/internet/InformacionUtil/9950/88beb45d-ca83-4bab-8162-f94ef2894562/e0c83707-3358-47a9-94d7-508221dad233</x:v>
      </x:c>
      <x:c r="AK508" s="18" t="str">
        <x:v>OCR Windows es-ES sobre PDF oficial</x:v>
      </x:c>
      <x:c r="AL508" s="18" t="n">
        <x:v>100</x:v>
      </x:c>
      <x:c r="AM508" s="18" t="str">
        <x:v>Alta</x:v>
      </x:c>
      <x:c r="AN508" s="18" t="str">
        <x:v>Regla jurídica determinista</x:v>
      </x:c>
      <x:c r="AO508" s="18" t="str">
        <x:v>2026_conv2025_rojo_A-T63</x:v>
      </x:c>
      <x:c r="AP508" s="18" t="n">
        <x:v>0.9922</x:v>
      </x:c>
    </x:row>
    <x:row r="509">
      <x:c r="A509" s="18" t="str">
        <x:v>2026_conv2025_verde_A-T53</x:v>
      </x:c>
      <x:c r="B509" s="18" t="n">
        <x:v>2026</x:v>
      </x:c>
      <x:c r="C509" s="18" t="n">
        <x:v>2025</x:v>
      </x:c>
      <x:c r="D509" s="28" t="n">
        <x:v>46201</x:v>
      </x:c>
      <x:c r="E509" s="18" t="str">
        <x:v>Acceso libre</x:v>
      </x:c>
      <x:c r="F509" s="18" t="str">
        <x:v>Primera parte</x:v>
      </x:c>
      <x:c r="G509" s="18" t="str">
        <x:v>Verde A</x:v>
      </x:c>
      <x:c r="H509" s="18" t="str">
        <x:v>Rojo/Verde A/B</x:v>
      </x:c>
      <x:c r="I509" s="18" t="str">
        <x:v>No</x:v>
      </x:c>
      <x:c r="J509" s="18" t="str">
        <x:v>Los colores y modelos reproducen el mismo conjunto de preguntas con orden y/o opciones permutados; Rojo A es la variante canónica para frecuencias y Verde A se conserva como control de cobertura.</x:v>
      </x:c>
      <x:c r="K509" s="18" t="n">
        <x:v>53</x:v>
      </x:c>
      <x:c r="L509" s="18" t="str">
        <x:v>No</x:v>
      </x:c>
      <x:c r="M509" s="18" t="str">
        <x:v>De acuerdo con eI artículo 185 del texto refundido de la Ley General de la Seguridad Social, la prestación económica por ejercicio corresponsable del cuidado de lactante se extinguirá cuando:</x:v>
      </x:c>
      <x:c r="N509" s="18" t="str">
        <x:v>EI o la menor cumpla nueve meses de edad.</x:v>
      </x:c>
      <x:c r="O509" s="18" t="str">
        <x:v>EI o la menor cumpla doce meses de edad.</x:v>
      </x:c>
      <x:c r="P509" s="18" t="str">
        <x:v>EI o la menor cumpla dieciocho meses de edad.</x:v>
      </x:c>
      <x:c r="Q509" s="18" t="str">
        <x:v>EI o la menor cumpla seis meses de edad.</x:v>
      </x:c>
      <x:c r="R509" s="18" t="str">
        <x:v>S09</x:v>
      </x:c>
      <x:c r="S509" s="18" t="n">
        <x:v>9</x:v>
      </x:c>
      <x:c r="T509" s="18" t="str">
        <x:v>Temario específico Seguridad Social</x:v>
      </x:c>
      <x:c r="U509" s="18" t="str">
        <x:v>Nacimiento y cuidado de menor. Ejercicio corresponsable del cuidado del lactante. Prestación por riesgo durante el embarazo. Prestación por riesgo durante la lactancia natural. Asignación económica por hijo o menor acogido a cargo. Prestación económica por nacimiento o adopción de hijo en supuestos de familias numerosas o monoparentales y en los casos de madres o padres con discapacidad. Prestación por parto o adopción Subsidio por cuidado de menores afectados por cáncer u otra enfermedad grave.</x:v>
      </x:c>
      <x:c r="V509" s="18" t="str">
        <x:v>S09</x:v>
      </x:c>
      <x:c r="W509" s="18" t="str">
        <x:v>texto refundido de la Ley General de la Seguridad Social</x:v>
      </x:c>
      <x:c r="X509" s="18" t="str">
        <x:v>185</x:v>
      </x:c>
      <x:c r="Y509" s="18" t="str">
        <x:v>Prestaciones familiares</x:v>
      </x:c>
      <x:c r="Z509" s="18" t="str">
        <x:v>Media</x:v>
      </x:c>
      <x:c r="AA509" s="18" t="str">
        <x:v>S09</x:v>
      </x:c>
      <x:c r="AB509" s="18" t="str"/>
      <x:c r="AC509" s="18" t="str"/>
      <x:c r="AD509" s="18" t="str">
        <x:v>No</x:v>
      </x:c>
      <x:c r="AE509" s="18" t="str">
        <x:v>Teórico</x:v>
      </x:c>
      <x:c r="AF509" s="18" t="str">
        <x:v>B</x:v>
      </x:c>
      <x:c r="AG509" s="18" t="str">
        <x:v>B</x:v>
      </x:c>
      <x:c r="AH509" s="18" t="str">
        <x:v>Válida</x:v>
      </x:c>
      <x:c r="AI509" s="18" t="str">
        <x:v>01. Información oficial de la oposición\Exámenes oficiales anteriores\2026 Convocatoria 2025 - Acceso libre Verde A.pdf</x:v>
      </x:c>
      <x:c r="AJ509" s="18" t="str">
        <x:v>https://www.seg-social.es/wps/portal/wss/internet/InformacionUtil/9950/88beb45d-ca83-4bab-8162-f94ef2894562/e0c83707-3358-47a9-94d7-508221dad233</x:v>
      </x:c>
      <x:c r="AK509" s="18" t="str">
        <x:v>OCR Windows es-ES sobre PDF oficial</x:v>
      </x:c>
      <x:c r="AL509" s="18" t="n">
        <x:v>100</x:v>
      </x:c>
      <x:c r="AM509" s="18" t="str">
        <x:v>Alta</x:v>
      </x:c>
      <x:c r="AN509" s="18" t="str">
        <x:v>Regla jurídica determinista</x:v>
      </x:c>
      <x:c r="AO509" s="18" t="str">
        <x:v>2026_conv2025_rojo_A-T55</x:v>
      </x:c>
      <x:c r="AP509" s="18" t="n">
        <x:v>0.9948</x:v>
      </x:c>
    </x:row>
    <x:row r="510">
      <x:c r="A510" s="18" t="str">
        <x:v>2026_conv2025_verde_A-T54</x:v>
      </x:c>
      <x:c r="B510" s="18" t="n">
        <x:v>2026</x:v>
      </x:c>
      <x:c r="C510" s="18" t="n">
        <x:v>2025</x:v>
      </x:c>
      <x:c r="D510" s="28" t="n">
        <x:v>46201</x:v>
      </x:c>
      <x:c r="E510" s="18" t="str">
        <x:v>Acceso libre</x:v>
      </x:c>
      <x:c r="F510" s="18" t="str">
        <x:v>Primera parte</x:v>
      </x:c>
      <x:c r="G510" s="18" t="str">
        <x:v>Verde A</x:v>
      </x:c>
      <x:c r="H510" s="18" t="str">
        <x:v>Rojo/Verde A/B</x:v>
      </x:c>
      <x:c r="I510" s="18" t="str">
        <x:v>No</x:v>
      </x:c>
      <x:c r="J510" s="18" t="str">
        <x:v>Los colores y modelos reproducen el mismo conjunto de preguntas con orden y/o opciones permutados; Rojo A es la variante canónica para frecuencias y Verde A se conserva como control de cobertura.</x:v>
      </x:c>
      <x:c r="K510" s="18" t="n">
        <x:v>54</x:v>
      </x:c>
      <x:c r="L510" s="18" t="str">
        <x:v>No</x:v>
      </x:c>
      <x:c r="M510" s="18" t="str">
        <x:v>Según 10 establecido en el artículo 48 del Estatuto de Trabajadores, el nacimiento, en los casos de parto prematuro con falta de peso y en aquellos otros en que eI neonato precise, por alguna condición clinica, hospitalización a continuación del parto, por un periodo superior a siete días, el periodo de suspensión se ampliará en tantos días como eI nacido se encuentre hospitalizado, con un máximo de:</x:v>
      </x:c>
      <x:c r="N510" s="18" t="str">
        <x:v>Diez semanas adicionales.</x:v>
      </x:c>
      <x:c r="O510" s="18" t="str">
        <x:v>Dieciséis semanas adicionales.</x:v>
      </x:c>
      <x:c r="P510" s="18" t="str">
        <x:v>Siete semanas adicionales.</x:v>
      </x:c>
      <x:c r="Q510" s="18" t="str">
        <x:v>Trece semanas adicionales.</x:v>
      </x:c>
      <x:c r="R510" s="18" t="str">
        <x:v>S09</x:v>
      </x:c>
      <x:c r="S510" s="18" t="n">
        <x:v>9</x:v>
      </x:c>
      <x:c r="T510" s="18" t="str">
        <x:v>Temario específico Seguridad Social</x:v>
      </x:c>
      <x:c r="U510" s="18" t="str">
        <x:v>Nacimiento y cuidado de menor. Ejercicio corresponsable del cuidado del lactante. Prestación por riesgo durante el embarazo. Prestación por riesgo durante la lactancia natural. Asignación económica por hijo o menor acogido a cargo. Prestación económica por nacimiento o adopción de hijo en supuestos de familias numerosas o monoparentales y en los casos de madres o padres con discapacidad. Prestación por parto o adopción Subsidio por cuidado de menores afectados por cáncer u otra enfermedad grave.</x:v>
      </x:c>
      <x:c r="V510" s="18" t="str">
        <x:v>S09</x:v>
      </x:c>
      <x:c r="W510" s="18" t="str"/>
      <x:c r="X510" s="18" t="str">
        <x:v>48</x:v>
      </x:c>
      <x:c r="Y510" s="18" t="str">
        <x:v>Plazos</x:v>
      </x:c>
      <x:c r="Z510" s="18" t="str">
        <x:v>Alta</x:v>
      </x:c>
      <x:c r="AA510" s="18" t="str">
        <x:v>S09</x:v>
      </x:c>
      <x:c r="AB510" s="18" t="str"/>
      <x:c r="AC510" s="18" t="str"/>
      <x:c r="AD510" s="18" t="str">
        <x:v>No</x:v>
      </x:c>
      <x:c r="AE510" s="18" t="str">
        <x:v>Teórico</x:v>
      </x:c>
      <x:c r="AF510" s="18" t="str">
        <x:v>D</x:v>
      </x:c>
      <x:c r="AG510" s="18" t="str">
        <x:v>D</x:v>
      </x:c>
      <x:c r="AH510" s="18" t="str">
        <x:v>Válida</x:v>
      </x:c>
      <x:c r="AI510" s="18" t="str">
        <x:v>01. Información oficial de la oposición\Exámenes oficiales anteriores\2026 Convocatoria 2025 - Acceso libre Verde A.pdf</x:v>
      </x:c>
      <x:c r="AJ510" s="18" t="str">
        <x:v>https://www.seg-social.es/wps/portal/wss/internet/InformacionUtil/9950/88beb45d-ca83-4bab-8162-f94ef2894562/e0c83707-3358-47a9-94d7-508221dad233</x:v>
      </x:c>
      <x:c r="AK510" s="18" t="str">
        <x:v>OCR Windows es-ES sobre PDF oficial</x:v>
      </x:c>
      <x:c r="AL510" s="18" t="n">
        <x:v>100</x:v>
      </x:c>
      <x:c r="AM510" s="18" t="str">
        <x:v>Alta</x:v>
      </x:c>
      <x:c r="AN510" s="18" t="str">
        <x:v>Revisión jurídica individual</x:v>
      </x:c>
      <x:c r="AO510" s="18" t="str">
        <x:v>2026_conv2025_rojo_A-T58</x:v>
      </x:c>
      <x:c r="AP510" s="18" t="n">
        <x:v>0.9926</x:v>
      </x:c>
    </x:row>
    <x:row r="511">
      <x:c r="A511" s="18" t="str">
        <x:v>2026_conv2025_verde_A-T55</x:v>
      </x:c>
      <x:c r="B511" s="18" t="n">
        <x:v>2026</x:v>
      </x:c>
      <x:c r="C511" s="18" t="n">
        <x:v>2025</x:v>
      </x:c>
      <x:c r="D511" s="28" t="n">
        <x:v>46201</x:v>
      </x:c>
      <x:c r="E511" s="18" t="str">
        <x:v>Acceso libre</x:v>
      </x:c>
      <x:c r="F511" s="18" t="str">
        <x:v>Primera parte</x:v>
      </x:c>
      <x:c r="G511" s="18" t="str">
        <x:v>Verde A</x:v>
      </x:c>
      <x:c r="H511" s="18" t="str">
        <x:v>Rojo/Verde A/B</x:v>
      </x:c>
      <x:c r="I511" s="18" t="str">
        <x:v>No</x:v>
      </x:c>
      <x:c r="J511" s="18" t="str">
        <x:v>Los colores y modelos reproducen el mismo conjunto de preguntas con orden y/o opciones permutados; Rojo A es la variante canónica para frecuencias y Verde A se conserva como control de cobertura.</x:v>
      </x:c>
      <x:c r="K511" s="18" t="n">
        <x:v>55</x:v>
      </x:c>
      <x:c r="L511" s="18" t="str">
        <x:v>No</x:v>
      </x:c>
      <x:c r="M511" s="18" t="str">
        <x:v>Conforme al artículo 103 del texto refundido de la Ley General de la Seguridad Social, el patrimonio de la Seguridad Social:</x:v>
      </x:c>
      <x:c r="N511" s="18" t="str">
        <x:v>Es un patrimonio único, afecto a sus fines y distinto del patrimonio del Estado.</x:v>
      </x:c>
      <x:c r="O511" s="18" t="str">
        <x:v>Tiene carácter embargable.</x:v>
      </x:c>
      <x:c r="P511" s="18" t="str">
        <x:v>Forma parte del patrimonio del Estado.</x:v>
      </x:c>
      <x:c r="Q511" s="18" t="str">
        <x:v>Pertenece a las entidades gestoras.</x:v>
      </x:c>
      <x:c r="R511" s="18" t="str">
        <x:v>S13</x:v>
      </x:c>
      <x:c r="S511" s="18" t="n">
        <x:v>13</x:v>
      </x:c>
      <x:c r="T511" s="18" t="str">
        <x:v>Temario específico Seguridad Social</x:v>
      </x:c>
      <x:c r="U511" s="18" t="str">
        <x:v>Recursos generales del sistema de la Seguridad Social. El patrimonio único de la seguridad social: titularidad, adscripción, administración y custodia. Los negocios jurídicos patrimoniales: adquisición, enajenación, arrendamiento y cesión. El Fondo de Reserva de la Seguridad Social: constitución, dotación y disposición. Gestión de los recursos financieros: atribución de funciones. Pago de prestaciones de la Seguridad Social.</x:v>
      </x:c>
      <x:c r="V511" s="18" t="str">
        <x:v>S13</x:v>
      </x:c>
      <x:c r="W511" s="18" t="str">
        <x:v>texto refundido de la Ley General de la Seguridad Social</x:v>
      </x:c>
      <x:c r="X511" s="18" t="str">
        <x:v>103</x:v>
      </x:c>
      <x:c r="Y511" s="18" t="str">
        <x:v>Artículos literales</x:v>
      </x:c>
      <x:c r="Z511" s="18" t="str">
        <x:v>Media</x:v>
      </x:c>
      <x:c r="AA511" s="18" t="str">
        <x:v>S13</x:v>
      </x:c>
      <x:c r="AB511" s="18" t="str"/>
      <x:c r="AC511" s="18" t="str"/>
      <x:c r="AD511" s="18" t="str">
        <x:v>No</x:v>
      </x:c>
      <x:c r="AE511" s="18" t="str">
        <x:v>Teórico</x:v>
      </x:c>
      <x:c r="AF511" s="18" t="str">
        <x:v>A</x:v>
      </x:c>
      <x:c r="AG511" s="18" t="str">
        <x:v>A</x:v>
      </x:c>
      <x:c r="AH511" s="18" t="str">
        <x:v>Válida</x:v>
      </x:c>
      <x:c r="AI511" s="18" t="str">
        <x:v>01. Información oficial de la oposición\Exámenes oficiales anteriores\2026 Convocatoria 2025 - Acceso libre Verde A.pdf</x:v>
      </x:c>
      <x:c r="AJ511" s="18" t="str">
        <x:v>https://www.seg-social.es/wps/portal/wss/internet/InformacionUtil/9950/88beb45d-ca83-4bab-8162-f94ef2894562/e0c83707-3358-47a9-94d7-508221dad233</x:v>
      </x:c>
      <x:c r="AK511" s="18" t="str">
        <x:v>OCR Windows es-ES sobre PDF oficial</x:v>
      </x:c>
      <x:c r="AL511" s="18" t="n">
        <x:v>100</x:v>
      </x:c>
      <x:c r="AM511" s="18" t="str">
        <x:v>Alta</x:v>
      </x:c>
      <x:c r="AN511" s="18" t="str">
        <x:v>Regla jurídica determinista</x:v>
      </x:c>
      <x:c r="AO511" s="18" t="str">
        <x:v>2026_conv2025_rojo_A-T67</x:v>
      </x:c>
      <x:c r="AP511" s="18" t="n">
        <x:v>1</x:v>
      </x:c>
    </x:row>
    <x:row r="512">
      <x:c r="A512" s="18" t="str">
        <x:v>2026_conv2025_verde_A-T56</x:v>
      </x:c>
      <x:c r="B512" s="18" t="n">
        <x:v>2026</x:v>
      </x:c>
      <x:c r="C512" s="18" t="n">
        <x:v>2025</x:v>
      </x:c>
      <x:c r="D512" s="28" t="n">
        <x:v>46201</x:v>
      </x:c>
      <x:c r="E512" s="18" t="str">
        <x:v>Acceso libre</x:v>
      </x:c>
      <x:c r="F512" s="18" t="str">
        <x:v>Primera parte</x:v>
      </x:c>
      <x:c r="G512" s="18" t="str">
        <x:v>Verde A</x:v>
      </x:c>
      <x:c r="H512" s="18" t="str">
        <x:v>Rojo/Verde A/B</x:v>
      </x:c>
      <x:c r="I512" s="18" t="str">
        <x:v>No</x:v>
      </x:c>
      <x:c r="J512" s="18" t="str">
        <x:v>Los colores y modelos reproducen el mismo conjunto de preguntas con orden y/o opciones permutados; Rojo A es la variante canónica para frecuencias y Verde A se conserva como control de cobertura.</x:v>
      </x:c>
      <x:c r="K512" s="18" t="n">
        <x:v>56</x:v>
      </x:c>
      <x:c r="L512" s="18" t="str">
        <x:v>No</x:v>
      </x:c>
      <x:c r="M512" s="18" t="str">
        <x:v>EI Estatuto de los Trabajadores contempla en su artículo 37 que quien por razones de guarda legal tenga a su cuidado directo algún menor de doce años o una persona con discapacidad que no desempeñe una actividad retribuida tendrá derecho a:</x:v>
      </x:c>
      <x:c r="N512" s="18" t="str">
        <x:v>Una reducción de la jornada de trabajo diaria, con la disminución proporcional del salario entre, al menos, un sexto y un máximo de la mitad de la duración de aquella.</x:v>
      </x:c>
      <x:c r="O512" s="18" t="str">
        <x:v>Una reducción de la jornada de trabajo diaria, con la disminución proporcional del salario entre, al menos, un cuarto y un máximo de la mitad de la duración de aquella.</x:v>
      </x:c>
      <x:c r="P512" s="18" t="str">
        <x:v>una reducción de la jornada de trabajo diaria, con la disminución proporcional del salario entre, al menos, un quinto y un máximo de la mitad de la duración de aquella.</x:v>
      </x:c>
      <x:c r="Q512" s="18" t="str">
        <x:v>Una reducción de la jornada de trabajo diaria, con la disminución proporcional del salario entre, al menos, un octavo y un máximo de la mitad de la duración de aquella.</x:v>
      </x:c>
      <x:c r="R512" s="18" t="str">
        <x:v>G21</x:v>
      </x:c>
      <x:c r="S512" s="18" t="n">
        <x:v>21</x:v>
      </x:c>
      <x:c r="T512" s="18" t="str">
        <x:v>Temario general</x:v>
      </x:c>
      <x:c r="U512" s="18" t="str">
        <x:v>Políticas de igualdad y contra la violencia de género. Discapacidad y dependencia: régimen jurídico. La Ley 4/2023, de 28 de febrero, para la igualdad real y efectiva de las personas trans y para la garantía de los derechos de las personas LGTBI.</x:v>
      </x:c>
      <x:c r="V512" s="18" t="str">
        <x:v>G21</x:v>
      </x:c>
      <x:c r="W512" s="18" t="str"/>
      <x:c r="X512" s="18" t="str">
        <x:v>37</x:v>
      </x:c>
      <x:c r="Y512" s="18" t="str">
        <x:v>Artículos literales</x:v>
      </x:c>
      <x:c r="Z512" s="18" t="str">
        <x:v>Media</x:v>
      </x:c>
      <x:c r="AA512" s="18" t="str">
        <x:v>G21</x:v>
      </x:c>
      <x:c r="AB512" s="18" t="str"/>
      <x:c r="AC512" s="18" t="str"/>
      <x:c r="AD512" s="18" t="str">
        <x:v>No</x:v>
      </x:c>
      <x:c r="AE512" s="18" t="str">
        <x:v>Teórico</x:v>
      </x:c>
      <x:c r="AF512" s="18" t="str">
        <x:v>D</x:v>
      </x:c>
      <x:c r="AG512" s="18" t="str">
        <x:v>D</x:v>
      </x:c>
      <x:c r="AH512" s="18" t="str">
        <x:v>Válida</x:v>
      </x:c>
      <x:c r="AI512" s="18" t="str">
        <x:v>01. Información oficial de la oposición\Exámenes oficiales anteriores\2026 Convocatoria 2025 - Acceso libre Verde A.pdf</x:v>
      </x:c>
      <x:c r="AJ512" s="18" t="str">
        <x:v>https://www.seg-social.es/wps/portal/wss/internet/InformacionUtil/9950/88beb45d-ca83-4bab-8162-f94ef2894562/e0c83707-3358-47a9-94d7-508221dad233</x:v>
      </x:c>
      <x:c r="AK512" s="18" t="str">
        <x:v>OCR Windows es-ES sobre PDF oficial</x:v>
      </x:c>
      <x:c r="AL512" s="18" t="n">
        <x:v>9</x:v>
      </x:c>
      <x:c r="AM512" s="18" t="str">
        <x:v>Media</x:v>
      </x:c>
      <x:c r="AN512" s="18" t="str">
        <x:v>Ponderación de palabras clave</x:v>
      </x:c>
      <x:c r="AO512" s="18" t="str">
        <x:v>2026_conv2025_rojo_A-T66</x:v>
      </x:c>
      <x:c r="AP512" s="18" t="n">
        <x:v>1</x:v>
      </x:c>
    </x:row>
    <x:row r="513">
      <x:c r="A513" s="18" t="str">
        <x:v>2026_conv2025_verde_A-T57</x:v>
      </x:c>
      <x:c r="B513" s="18" t="n">
        <x:v>2026</x:v>
      </x:c>
      <x:c r="C513" s="18" t="n">
        <x:v>2025</x:v>
      </x:c>
      <x:c r="D513" s="28" t="n">
        <x:v>46201</x:v>
      </x:c>
      <x:c r="E513" s="18" t="str">
        <x:v>Acceso libre</x:v>
      </x:c>
      <x:c r="F513" s="18" t="str">
        <x:v>Primera parte</x:v>
      </x:c>
      <x:c r="G513" s="18" t="str">
        <x:v>Verde A</x:v>
      </x:c>
      <x:c r="H513" s="18" t="str">
        <x:v>Rojo/Verde A/B</x:v>
      </x:c>
      <x:c r="I513" s="18" t="str">
        <x:v>No</x:v>
      </x:c>
      <x:c r="J513" s="18" t="str">
        <x:v>Los colores y modelos reproducen el mismo conjunto de preguntas con orden y/o opciones permutados; Rojo A es la variante canónica para frecuencias y Verde A se conserva como control de cobertura.</x:v>
      </x:c>
      <x:c r="K513" s="18" t="n">
        <x:v>57</x:v>
      </x:c>
      <x:c r="L513" s="18" t="str">
        <x:v>No</x:v>
      </x:c>
      <x:c r="M513" s="18" t="str">
        <x:v>Atendiendo al artículo 4 de la ley 19/2021, por la que se establece eI ingreso mínimo vital, señale la respuesta correcta:</x:v>
      </x:c>
      <x:c r="N513" s="18" t="str">
        <x:v>Podrán ser beneficiarias las personas de al menos veintitrés años que no se integren en una unidad de convivencia y que no estén unidas a otra por vínculo matrimonial o pareja de hecho.</x:v>
      </x:c>
      <x:c r="O513" s="18" t="str">
        <x:v>No se exigirá el requisito de edad a aquellas personas que provengan de un centro penitenciario por haber sido liberados de prisión, siempre que la privación de libertad haya sido por tiempo superior a tres meses.</x:v>
      </x:c>
      <x:c r="P513" s="18" t="str">
        <x:v>No podrán ser beneficiarias de la prestación del ingreso mínimo vital las personas que temporalmente sean usuarias de una prestación de servicio residencial, de carácter socia', sanitario o socio-sanitario.</x:v>
      </x:c>
      <x:c r="Q513" s="18" t="str">
        <x:v>Podrán ser beneficiarias las personas de al menos veintitrés años que no se integren en una unidad de convivencia, aunque estén unidas a otra por vínculo matrimonial o pareja de hecho y no hayan iniciado los trámites de separación o divorcio.</x:v>
      </x:c>
      <x:c r="R513" s="18" t="str">
        <x:v>S12</x:v>
      </x:c>
      <x:c r="S513" s="18" t="n">
        <x:v>12</x:v>
      </x:c>
      <x:c r="T513" s="18" t="str">
        <x:v>Temario específico Seguridad Social</x:v>
      </x:c>
      <x:c r="U513" s="18" t="str">
        <x:v>Prestaciones no contributivas y asistenciales. El ingreso mínimo vital: beneficiarios, requisitos y duración. Obligaciones de las personas beneficiarias. Cuantía, pago, reintegro de prestaciones indebidas. Prestaciones familiares múltiples. Prestaciones familiares en la modalidad contributiva. Las pensiones no contributivas: Invalidez no contributiva: Jubilación no contributiva.</x:v>
      </x:c>
      <x:c r="V513" s="18" t="str">
        <x:v>ingreso mínimo vital</x:v>
      </x:c>
      <x:c r="W513" s="18" t="str">
        <x:v>ley 19/2021</x:v>
      </x:c>
      <x:c r="X513" s="18" t="str">
        <x:v>4</x:v>
      </x:c>
      <x:c r="Y513" s="18" t="str">
        <x:v>Prestaciones no contributivas</x:v>
      </x:c>
      <x:c r="Z513" s="18" t="str">
        <x:v>Media</x:v>
      </x:c>
      <x:c r="AA513" s="18" t="str">
        <x:v>ingreso mínimo vital</x:v>
      </x:c>
      <x:c r="AB513" s="18" t="str"/>
      <x:c r="AC513" s="18" t="str"/>
      <x:c r="AD513" s="18" t="str">
        <x:v>No</x:v>
      </x:c>
      <x:c r="AE513" s="18" t="str">
        <x:v>Teórico</x:v>
      </x:c>
      <x:c r="AF513" s="18" t="str">
        <x:v>A</x:v>
      </x:c>
      <x:c r="AG513" s="18" t="str">
        <x:v>A</x:v>
      </x:c>
      <x:c r="AH513" s="18" t="str">
        <x:v>Válida</x:v>
      </x:c>
      <x:c r="AI513" s="18" t="str">
        <x:v>01. Información oficial de la oposición\Exámenes oficiales anteriores\2026 Convocatoria 2025 - Acceso libre Verde A.pdf</x:v>
      </x:c>
      <x:c r="AJ513" s="18" t="str">
        <x:v>https://www.seg-social.es/wps/portal/wss/internet/InformacionUtil/9950/88beb45d-ca83-4bab-8162-f94ef2894562/e0c83707-3358-47a9-94d7-508221dad233</x:v>
      </x:c>
      <x:c r="AK513" s="18" t="str">
        <x:v>OCR Windows es-ES sobre PDF oficial</x:v>
      </x:c>
      <x:c r="AL513" s="18" t="n">
        <x:v>100</x:v>
      </x:c>
      <x:c r="AM513" s="18" t="str">
        <x:v>Alta</x:v>
      </x:c>
      <x:c r="AN513" s="18" t="str">
        <x:v>Regla jurídica determinista</x:v>
      </x:c>
      <x:c r="AO513" s="18" t="str">
        <x:v>2026_conv2025_rojo_A-T64</x:v>
      </x:c>
      <x:c r="AP513" s="18" t="n">
        <x:v>0.9918</x:v>
      </x:c>
    </x:row>
    <x:row r="514">
      <x:c r="A514" s="18" t="str">
        <x:v>2026_conv2025_verde_A-T58</x:v>
      </x:c>
      <x:c r="B514" s="18" t="n">
        <x:v>2026</x:v>
      </x:c>
      <x:c r="C514" s="18" t="n">
        <x:v>2025</x:v>
      </x:c>
      <x:c r="D514" s="28" t="n">
        <x:v>46201</x:v>
      </x:c>
      <x:c r="E514" s="18" t="str">
        <x:v>Acceso libre</x:v>
      </x:c>
      <x:c r="F514" s="18" t="str">
        <x:v>Primera parte</x:v>
      </x:c>
      <x:c r="G514" s="18" t="str">
        <x:v>Verde A</x:v>
      </x:c>
      <x:c r="H514" s="18" t="str">
        <x:v>Rojo/Verde A/B</x:v>
      </x:c>
      <x:c r="I514" s="18" t="str">
        <x:v>No</x:v>
      </x:c>
      <x:c r="J514" s="18" t="str">
        <x:v>Los colores y modelos reproducen el mismo conjunto de preguntas con orden y/o opciones permutados; Rojo A es la variante canónica para frecuencias y Verde A se conserva como control de cobertura.</x:v>
      </x:c>
      <x:c r="K514" s="18" t="n">
        <x:v>58</x:v>
      </x:c>
      <x:c r="L514" s="18" t="str">
        <x:v>No</x:v>
      </x:c>
      <x:c r="M514" s="18" t="str">
        <x:v>De acuerdo con el artículo 190 del texto refundido de la Ley General de la Seguridad Social, la prestación económica por cuidado de menores afectados por cáncer u otra enfermedad grave se mantendrá hasta los 26 años:</x:v>
      </x:c>
      <x:c r="N514" s="18" t="str">
        <x:v>Si el causante antes de alcanzar los 23 años acreditara, además, un grado de discapacidad igual o superior al 65 por ciento.</x:v>
      </x:c>
      <x:c r="O514" s="18" t="str">
        <x:v>Si el causante antes de alcanzar los 18 años acreditara, además, un grado de discapacidad igual o superior al 65 por ciento.</x:v>
      </x:c>
      <x:c r="P514" s="18" t="str">
        <x:v>Si el causante antes de alcanzar los 23 años acreditara, además, un grado de discapacidad igual o superior al 33 por ciento.</x:v>
      </x:c>
      <x:c r="Q514" s="18" t="str">
        <x:v>Si eI causante antes de alcanzar los 21 años acreditara, además, un grado de discapacidad igual o superior al 33 por ciento.</x:v>
      </x:c>
      <x:c r="R514" s="18" t="str">
        <x:v>S09</x:v>
      </x:c>
      <x:c r="S514" s="18" t="n">
        <x:v>9</x:v>
      </x:c>
      <x:c r="T514" s="18" t="str">
        <x:v>Temario específico Seguridad Social</x:v>
      </x:c>
      <x:c r="U514" s="18" t="str">
        <x:v>Nacimiento y cuidado de menor. Ejercicio corresponsable del cuidado del lactante. Prestación por riesgo durante el embarazo. Prestación por riesgo durante la lactancia natural. Asignación económica por hijo o menor acogido a cargo. Prestación económica por nacimiento o adopción de hijo en supuestos de familias numerosas o monoparentales y en los casos de madres o padres con discapacidad. Prestación por parto o adopción Subsidio por cuidado de menores afectados por cáncer u otra enfermedad grave.</x:v>
      </x:c>
      <x:c r="V514" s="18" t="str">
        <x:v>S09</x:v>
      </x:c>
      <x:c r="W514" s="18" t="str">
        <x:v>texto refundido de la Ley General de la Seguridad Social</x:v>
      </x:c>
      <x:c r="X514" s="18" t="str">
        <x:v>190</x:v>
      </x:c>
      <x:c r="Y514" s="18" t="str">
        <x:v>Prestaciones familiares</x:v>
      </x:c>
      <x:c r="Z514" s="18" t="str">
        <x:v>Media</x:v>
      </x:c>
      <x:c r="AA514" s="18" t="str">
        <x:v>S09</x:v>
      </x:c>
      <x:c r="AB514" s="18" t="str"/>
      <x:c r="AC514" s="18" t="str">
        <x:v>26 años</x:v>
      </x:c>
      <x:c r="AD514" s="18" t="str">
        <x:v>No</x:v>
      </x:c>
      <x:c r="AE514" s="18" t="str">
        <x:v>Teórico</x:v>
      </x:c>
      <x:c r="AF514" s="18" t="str">
        <x:v>A</x:v>
      </x:c>
      <x:c r="AG514" s="18" t="str">
        <x:v>A</x:v>
      </x:c>
      <x:c r="AH514" s="18" t="str">
        <x:v>Válida</x:v>
      </x:c>
      <x:c r="AI514" s="18" t="str">
        <x:v>01. Información oficial de la oposición\Exámenes oficiales anteriores\2026 Convocatoria 2025 - Acceso libre Verde A.pdf</x:v>
      </x:c>
      <x:c r="AJ514" s="18" t="str">
        <x:v>https://www.seg-social.es/wps/portal/wss/internet/InformacionUtil/9950/88beb45d-ca83-4bab-8162-f94ef2894562/e0c83707-3358-47a9-94d7-508221dad233</x:v>
      </x:c>
      <x:c r="AK514" s="18" t="str">
        <x:v>OCR Windows es-ES sobre PDF oficial</x:v>
      </x:c>
      <x:c r="AL514" s="18" t="n">
        <x:v>100</x:v>
      </x:c>
      <x:c r="AM514" s="18" t="str">
        <x:v>Alta</x:v>
      </x:c>
      <x:c r="AN514" s="18" t="str">
        <x:v>Regla jurídica determinista</x:v>
      </x:c>
      <x:c r="AO514" s="18" t="str">
        <x:v>2026_conv2025_rojo_A-T57</x:v>
      </x:c>
      <x:c r="AP514" s="18" t="n">
        <x:v>1</x:v>
      </x:c>
    </x:row>
    <x:row r="515">
      <x:c r="A515" s="18" t="str">
        <x:v>2026_conv2025_verde_A-T59</x:v>
      </x:c>
      <x:c r="B515" s="18" t="n">
        <x:v>2026</x:v>
      </x:c>
      <x:c r="C515" s="18" t="n">
        <x:v>2025</x:v>
      </x:c>
      <x:c r="D515" s="28" t="n">
        <x:v>46201</x:v>
      </x:c>
      <x:c r="E515" s="18" t="str">
        <x:v>Acceso libre</x:v>
      </x:c>
      <x:c r="F515" s="18" t="str">
        <x:v>Primera parte</x:v>
      </x:c>
      <x:c r="G515" s="18" t="str">
        <x:v>Verde A</x:v>
      </x:c>
      <x:c r="H515" s="18" t="str">
        <x:v>Rojo/Verde A/B</x:v>
      </x:c>
      <x:c r="I515" s="18" t="str">
        <x:v>No</x:v>
      </x:c>
      <x:c r="J515" s="18" t="str">
        <x:v>Los colores y modelos reproducen el mismo conjunto de preguntas con orden y/o opciones permutados; Rojo A es la variante canónica para frecuencias y Verde A se conserva como control de cobertura.</x:v>
      </x:c>
      <x:c r="K515" s="18" t="n">
        <x:v>59</x:v>
      </x:c>
      <x:c r="L515" s="18" t="str">
        <x:v>No</x:v>
      </x:c>
      <x:c r="M515" s="18" t="str">
        <x:v>¿Cuál es eI porcentaje general que se aplicará a la base reguladora para calcular la cuantía de las pensiones de viudedad, de acuerdo con eI artículo 31 del Decreto 3158/1966, de 23 de diciembre, por eI que se aprueba el Reglamento General que determina la cuantía de las prestaciones económicas del Régimen General de la Seguridad Social y condiciones para el derecho a las mismas?</x:v>
      </x:c>
      <x:c r="N515" s="18" t="str">
        <x:v>52%.</x:v>
      </x:c>
      <x:c r="O515" s="18" t="str">
        <x:v>40%.</x:v>
      </x:c>
      <x:c r="P515" s="18" t="str">
        <x:v>50%.</x:v>
      </x:c>
      <x:c r="Q515" s="18" t="str">
        <x:v>55%.</x:v>
      </x:c>
      <x:c r="R515" s="18" t="str">
        <x:v>S11</x:v>
      </x:c>
      <x:c r="S515" s="18" t="n">
        <x:v>11</x:v>
      </x:c>
      <x:c r="T515" s="18" t="str">
        <x:v>Temario específico Seguridad Social</x:v>
      </x:c>
      <x:c r="U515" s="18" t="str">
        <x:v>La protección por muerte y supervivencia. Hecho causante. Requisitos para las prestaciones de viudedad, orfandad y en favor de familiares. Cuantía de las prestaciones. Compatibilidad. Suspensión y Extinción. Normas específicas en caso de muerte derivada de accidente de trabajo o enfermedad profesional. Efectividad económica de las prestaciones. El auxilio por defunción.</x:v>
      </x:c>
      <x:c r="V515" s="18" t="str">
        <x:v>viudedad</x:v>
      </x:c>
      <x:c r="W515" s="18" t="str"/>
      <x:c r="X515" s="18" t="str">
        <x:v>31</x:v>
      </x:c>
      <x:c r="Y515" s="18" t="str">
        <x:v>Cálculos</x:v>
      </x:c>
      <x:c r="Z515" s="18" t="str">
        <x:v>Alta</x:v>
      </x:c>
      <x:c r="AA515" s="18" t="str">
        <x:v>viudedad</x:v>
      </x:c>
      <x:c r="AB515" s="18" t="str">
        <x:v>ISM</x:v>
      </x:c>
      <x:c r="AC515" s="18" t="str"/>
      <x:c r="AD515" s="18" t="str">
        <x:v>No</x:v>
      </x:c>
      <x:c r="AE515" s="18" t="str">
        <x:v>Teórico</x:v>
      </x:c>
      <x:c r="AF515" s="18" t="str">
        <x:v>A</x:v>
      </x:c>
      <x:c r="AG515" s="18" t="str">
        <x:v>A</x:v>
      </x:c>
      <x:c r="AH515" s="18" t="str">
        <x:v>Válida</x:v>
      </x:c>
      <x:c r="AI515" s="18" t="str">
        <x:v>01. Información oficial de la oposición\Exámenes oficiales anteriores\2026 Convocatoria 2025 - Acceso libre Verde A.pdf</x:v>
      </x:c>
      <x:c r="AJ515" s="18" t="str">
        <x:v>https://www.seg-social.es/wps/portal/wss/internet/InformacionUtil/9950/88beb45d-ca83-4bab-8162-f94ef2894562/e0c83707-3358-47a9-94d7-508221dad233</x:v>
      </x:c>
      <x:c r="AK515" s="18" t="str">
        <x:v>OCR Windows es-ES sobre PDF oficial</x:v>
      </x:c>
      <x:c r="AL515" s="18" t="n">
        <x:v>100</x:v>
      </x:c>
      <x:c r="AM515" s="18" t="str">
        <x:v>Alta</x:v>
      </x:c>
      <x:c r="AN515" s="18" t="str">
        <x:v>Regla jurídica determinista</x:v>
      </x:c>
      <x:c r="AO515" s="18" t="str">
        <x:v>2026_conv2025_rojo_A-T62</x:v>
      </x:c>
      <x:c r="AP515" s="18" t="n">
        <x:v>0.9869</x:v>
      </x:c>
    </x:row>
    <x:row r="516">
      <x:c r="A516" s="18" t="str">
        <x:v>2026_conv2025_verde_A-T60</x:v>
      </x:c>
      <x:c r="B516" s="18" t="n">
        <x:v>2026</x:v>
      </x:c>
      <x:c r="C516" s="18" t="n">
        <x:v>2025</x:v>
      </x:c>
      <x:c r="D516" s="28" t="n">
        <x:v>46201</x:v>
      </x:c>
      <x:c r="E516" s="18" t="str">
        <x:v>Acceso libre</x:v>
      </x:c>
      <x:c r="F516" s="18" t="str">
        <x:v>Primera parte</x:v>
      </x:c>
      <x:c r="G516" s="18" t="str">
        <x:v>Verde A</x:v>
      </x:c>
      <x:c r="H516" s="18" t="str">
        <x:v>Rojo/Verde A/B</x:v>
      </x:c>
      <x:c r="I516" s="18" t="str">
        <x:v>No</x:v>
      </x:c>
      <x:c r="J516" s="18" t="str">
        <x:v>Los colores y modelos reproducen el mismo conjunto de preguntas con orden y/o opciones permutados; Rojo A es la variante canónica para frecuencias y Verde A se conserva como control de cobertura.</x:v>
      </x:c>
      <x:c r="K516" s="18" t="n">
        <x:v>60</x:v>
      </x:c>
      <x:c r="L516" s="18" t="str">
        <x:v>No</x:v>
      </x:c>
      <x:c r="M516" s="18" t="str">
        <x:v>De acuerdo con el artículo 119 del Real Decreto 1415/2004, de 11 de junio, por el que se aprueba el Reglamento General de Recaudación de la Seguridad Social, en las mesas de subasta actuará como secretario:</x:v>
      </x:c>
      <x:c r="N516" s="18" t="str">
        <x:v>La persona titular de la Dirección Provincial o titular del órgano o unidad en quien delegue.</x:v>
      </x:c>
      <x:c r="O516" s="18" t="str">
        <x:v>La persona funcionaria que a tal efecto designe la persona titular de la Dirección Provincial.</x:v>
      </x:c>
      <x:c r="P516" s="18" t="str">
        <x:v>La persona titular de la Unidad de Recaudación Ejecutiva que tenga a su cargo el expediente ejecutivo.</x:v>
      </x:c>
      <x:c r="Q516" s="18" t="str">
        <x:v>La persona titular de la Intervención Delegada en la Dirección Provincial.</x:v>
      </x:c>
      <x:c r="R516" s="18" t="str">
        <x:v>S06</x:v>
      </x:c>
      <x:c r="S516" s="18" t="n">
        <x:v>6</x:v>
      </x:c>
      <x:c r="T516" s="18" t="str">
        <x:v>Temario específico Seguridad Social</x:v>
      </x:c>
      <x:c r="U516" s="18" t="str">
        <x:v>La recaudación en vía ejecutiva. Normas generales. Iniciación y título ejecutivo. La providencia de apremio. Oposición y efectos. El embargo de bienes. Enajenación de bienes: modalidades. Créditos incobrables. Tercerías.</x:v>
      </x:c>
      <x:c r="V516" s="18" t="str">
        <x:v>S06</x:v>
      </x:c>
      <x:c r="W516" s="18" t="str">
        <x:v>Real Decreto 1415/2004</x:v>
      </x:c>
      <x:c r="X516" s="18" t="str">
        <x:v>119</x:v>
      </x:c>
      <x:c r="Y516" s="18" t="str">
        <x:v>Recaudación ejecutiva</x:v>
      </x:c>
      <x:c r="Z516" s="18" t="str">
        <x:v>Media</x:v>
      </x:c>
      <x:c r="AA516" s="18" t="str">
        <x:v>S06</x:v>
      </x:c>
      <x:c r="AB516" s="18" t="str"/>
      <x:c r="AC516" s="18" t="str"/>
      <x:c r="AD516" s="18" t="str">
        <x:v>No</x:v>
      </x:c>
      <x:c r="AE516" s="18" t="str">
        <x:v>Teórico</x:v>
      </x:c>
      <x:c r="AF516" s="18" t="str">
        <x:v>B</x:v>
      </x:c>
      <x:c r="AG516" s="18" t="str">
        <x:v>B</x:v>
      </x:c>
      <x:c r="AH516" s="18" t="str">
        <x:v>Válida</x:v>
      </x:c>
      <x:c r="AI516" s="18" t="str">
        <x:v>01. Información oficial de la oposición\Exámenes oficiales anteriores\2026 Convocatoria 2025 - Acceso libre Verde A.pdf</x:v>
      </x:c>
      <x:c r="AJ516" s="18" t="str">
        <x:v>https://www.seg-social.es/wps/portal/wss/internet/InformacionUtil/9950/88beb45d-ca83-4bab-8162-f94ef2894562/e0c83707-3358-47a9-94d7-508221dad233</x:v>
      </x:c>
      <x:c r="AK516" s="18" t="str">
        <x:v>OCR Windows es-ES sobre PDF oficial</x:v>
      </x:c>
      <x:c r="AL516" s="18" t="n">
        <x:v>100</x:v>
      </x:c>
      <x:c r="AM516" s="18" t="str">
        <x:v>Alta</x:v>
      </x:c>
      <x:c r="AN516" s="18" t="str">
        <x:v>Regla jurídica determinista</x:v>
      </x:c>
      <x:c r="AO516" s="18" t="str">
        <x:v>2026_conv2025_rojo_A-T48</x:v>
      </x:c>
      <x:c r="AP516" s="18" t="n">
        <x:v>0.9903</x:v>
      </x:c>
    </x:row>
    <x:row r="517">
      <x:c r="A517" s="18" t="str">
        <x:v>2026_conv2025_verde_A-T61</x:v>
      </x:c>
      <x:c r="B517" s="18" t="n">
        <x:v>2026</x:v>
      </x:c>
      <x:c r="C517" s="18" t="n">
        <x:v>2025</x:v>
      </x:c>
      <x:c r="D517" s="28" t="n">
        <x:v>46201</x:v>
      </x:c>
      <x:c r="E517" s="18" t="str">
        <x:v>Acceso libre</x:v>
      </x:c>
      <x:c r="F517" s="18" t="str">
        <x:v>Primera parte</x:v>
      </x:c>
      <x:c r="G517" s="18" t="str">
        <x:v>Verde A</x:v>
      </x:c>
      <x:c r="H517" s="18" t="str">
        <x:v>Rojo/Verde A/B</x:v>
      </x:c>
      <x:c r="I517" s="18" t="str">
        <x:v>No</x:v>
      </x:c>
      <x:c r="J517" s="18" t="str">
        <x:v>Los colores y modelos reproducen el mismo conjunto de preguntas con orden y/o opciones permutados; Rojo A es la variante canónica para frecuencias y Verde A se conserva como control de cobertura.</x:v>
      </x:c>
      <x:c r="K517" s="18" t="n">
        <x:v>61</x:v>
      </x:c>
      <x:c r="L517" s="18" t="str">
        <x:v>No</x:v>
      </x:c>
      <x:c r="M517" s="18" t="str">
        <x:v>De conformidad con el artículo 18 del Real Decreto 2064/1995, de 22 de diciembre, por eI que se aprueba el Reglamento General sobre Cotización y Liquidación de otros Derechos de la Seguridad Social, en el sistema de liquidación simplificada:</x:v>
      </x:c>
      <x:c r="N517" s="18" t="str">
        <x:v>La Tesorería General de la Seguridad Social practicará la liquidación de las cuotas de la Seguridad Social correspondientes a cada período sin necesidad de solicitud previa por parte del sujeto responsable.</x:v>
      </x:c>
      <x:c r="O517" s="18" t="str">
        <x:v>EI Instituto Nacional de la Seguridad Social practicará la liquidación de las cuotas de la Seguridad Social correspondientes a cada período sin necesidad de comunicación previa al trabajador.</x:v>
      </x:c>
      <x:c r="P517" s="18" t="str">
        <x:v>EI sujeto responsable practicará la liquidación de las cuotas de la Seguridad Social correspondientes a cada período sin necesidad de solicitud previa por parte de la Tesorería General de la Seguridad Social.</x:v>
      </x:c>
      <x:c r="Q517" s="18" t="str">
        <x:v>EI sujeto responsable practicará la liquidación de las cuotas de la Seguridad Social correspondientes a cada período sin necesidad de comunicación previa al trabajador.</x:v>
      </x:c>
      <x:c r="R517" s="18" t="str">
        <x:v>S04</x:v>
      </x:c>
      <x:c r="S517" s="18" t="n">
        <x:v>4</x:v>
      </x:c>
      <x:c r="T517" s="18" t="str">
        <x:v>Temario específico Seguridad Social</x:v>
      </x:c>
      <x:c r="U517" s="18" t="str">
        <x:v>La cotización a la Seguridad Social: normas comunes del sistema. La liquidación de cuotas. El régimen general de la Seguridad Social. Supuestos especiales. Bases y tipos de cotización. Liquidación de otras deudas.</x:v>
      </x:c>
      <x:c r="V517" s="18" t="str">
        <x:v>S04</x:v>
      </x:c>
      <x:c r="W517" s="18" t="str">
        <x:v>Real Decreto 2064/1995</x:v>
      </x:c>
      <x:c r="X517" s="18" t="str">
        <x:v>18</x:v>
      </x:c>
      <x:c r="Y517" s="18" t="str">
        <x:v>Cotización</x:v>
      </x:c>
      <x:c r="Z517" s="18" t="str">
        <x:v>Media</x:v>
      </x:c>
      <x:c r="AA517" s="18" t="str">
        <x:v>S04</x:v>
      </x:c>
      <x:c r="AB517" s="18" t="str"/>
      <x:c r="AC517" s="18" t="str"/>
      <x:c r="AD517" s="18" t="str">
        <x:v>No</x:v>
      </x:c>
      <x:c r="AE517" s="18" t="str">
        <x:v>Teórico</x:v>
      </x:c>
      <x:c r="AF517" s="18" t="str">
        <x:v>A</x:v>
      </x:c>
      <x:c r="AG517" s="18" t="str">
        <x:v>A</x:v>
      </x:c>
      <x:c r="AH517" s="18" t="str">
        <x:v>Válida</x:v>
      </x:c>
      <x:c r="AI517" s="18" t="str">
        <x:v>01. Información oficial de la oposición\Exámenes oficiales anteriores\2026 Convocatoria 2025 - Acceso libre Verde A.pdf</x:v>
      </x:c>
      <x:c r="AJ517" s="18" t="str">
        <x:v>https://www.seg-social.es/wps/portal/wss/internet/InformacionUtil/9950/88beb45d-ca83-4bab-8162-f94ef2894562/e0c83707-3358-47a9-94d7-508221dad233</x:v>
      </x:c>
      <x:c r="AK517" s="18" t="str">
        <x:v>OCR Windows es-ES sobre PDF oficial</x:v>
      </x:c>
      <x:c r="AL517" s="18" t="n">
        <x:v>100</x:v>
      </x:c>
      <x:c r="AM517" s="18" t="str">
        <x:v>Alta</x:v>
      </x:c>
      <x:c r="AN517" s="18" t="str">
        <x:v>Regla jurídica determinista</x:v>
      </x:c>
      <x:c r="AO517" s="18" t="str">
        <x:v>2026_conv2025_rojo_A-T39</x:v>
      </x:c>
      <x:c r="AP517" s="18" t="n">
        <x:v>0.9834</x:v>
      </x:c>
    </x:row>
    <x:row r="518">
      <x:c r="A518" s="18" t="str">
        <x:v>2026_conv2025_verde_A-T62</x:v>
      </x:c>
      <x:c r="B518" s="18" t="n">
        <x:v>2026</x:v>
      </x:c>
      <x:c r="C518" s="18" t="n">
        <x:v>2025</x:v>
      </x:c>
      <x:c r="D518" s="28" t="n">
        <x:v>46201</x:v>
      </x:c>
      <x:c r="E518" s="18" t="str">
        <x:v>Acceso libre</x:v>
      </x:c>
      <x:c r="F518" s="18" t="str">
        <x:v>Primera parte</x:v>
      </x:c>
      <x:c r="G518" s="18" t="str">
        <x:v>Verde A</x:v>
      </x:c>
      <x:c r="H518" s="18" t="str">
        <x:v>Rojo/Verde A/B</x:v>
      </x:c>
      <x:c r="I518" s="18" t="str">
        <x:v>No</x:v>
      </x:c>
      <x:c r="J518" s="18" t="str">
        <x:v>Los colores y modelos reproducen el mismo conjunto de preguntas con orden y/o opciones permutados; Rojo A es la variante canónica para frecuencias y Verde A se conserva como control de cobertura.</x:v>
      </x:c>
      <x:c r="K518" s="18" t="n">
        <x:v>62</x:v>
      </x:c>
      <x:c r="L518" s="18" t="str">
        <x:v>No</x:v>
      </x:c>
      <x:c r="M518" s="18" t="str">
        <x:v>En relación con eI cambio de base de cotización por los trabajadores incluidos en eI Régimen Especial de la Seguridad Social de los Trabajadores por Cuenta Propia o Autónomos:</x:v>
      </x:c>
      <x:c r="N518" s="18" t="str">
        <x:v>Podrán cambiar hasta cuatro veces al año la base por la que vengan obligados a cotizar.</x:v>
      </x:c>
      <x:c r="O518" s="18" t="str">
        <x:v>Podrán elegir otra dentro de los límites mínimo y máximo aplicables en el ejercicio inmediatamente anterior.</x:v>
      </x:c>
      <x:c r="P518" s="18" t="str">
        <x:v>Lo tendrán que solicitar a la Dirección Provincial del Instituto Nacional de la Seguridad Social que corresponda según territorio.</x:v>
      </x:c>
      <x:c r="Q518" s="18" t="str">
        <x:v>EI cambio de base de cotización tendrá efecto el 1 de marzo, si la solicitud se formula entre eI 1 de enero y el último día natural del mes de febrero.</x:v>
      </x:c>
      <x:c r="R518" s="18" t="str">
        <x:v>S04</x:v>
      </x:c>
      <x:c r="S518" s="18" t="n">
        <x:v>4</x:v>
      </x:c>
      <x:c r="T518" s="18" t="str">
        <x:v>Temario específico Seguridad Social</x:v>
      </x:c>
      <x:c r="U518" s="18" t="str">
        <x:v>La cotización a la Seguridad Social: normas comunes del sistema. La liquidación de cuotas. El régimen general de la Seguridad Social. Supuestos especiales. Bases y tipos de cotización. Liquidación de otras deudas.</x:v>
      </x:c>
      <x:c r="V518" s="18" t="str">
        <x:v>base de cotización</x:v>
      </x:c>
      <x:c r="W518" s="18" t="str"/>
      <x:c r="X518" s="18" t="str"/>
      <x:c r="Y518" s="18" t="str">
        <x:v>Cotización</x:v>
      </x:c>
      <x:c r="Z518" s="18" t="str">
        <x:v>Media</x:v>
      </x:c>
      <x:c r="AA518" s="18" t="str">
        <x:v>base de cotización</x:v>
      </x:c>
      <x:c r="AB518" s="18" t="str"/>
      <x:c r="AC518" s="18" t="str"/>
      <x:c r="AD518" s="18" t="str">
        <x:v>No</x:v>
      </x:c>
      <x:c r="AE518" s="18" t="str">
        <x:v>Teórico</x:v>
      </x:c>
      <x:c r="AF518" s="18" t="str">
        <x:v>D</x:v>
      </x:c>
      <x:c r="AG518" s="18" t="str">
        <x:v>D</x:v>
      </x:c>
      <x:c r="AH518" s="18" t="str">
        <x:v>Válida</x:v>
      </x:c>
      <x:c r="AI518" s="18" t="str">
        <x:v>01. Información oficial de la oposición\Exámenes oficiales anteriores\2026 Convocatoria 2025 - Acceso libre Verde A.pdf</x:v>
      </x:c>
      <x:c r="AJ518" s="18" t="str">
        <x:v>https://www.seg-social.es/wps/portal/wss/internet/InformacionUtil/9950/88beb45d-ca83-4bab-8162-f94ef2894562/e0c83707-3358-47a9-94d7-508221dad233</x:v>
      </x:c>
      <x:c r="AK518" s="18" t="str">
        <x:v>OCR Windows es-ES sobre PDF oficial</x:v>
      </x:c>
      <x:c r="AL518" s="18" t="n">
        <x:v>100</x:v>
      </x:c>
      <x:c r="AM518" s="18" t="str">
        <x:v>Alta</x:v>
      </x:c>
      <x:c r="AN518" s="18" t="str">
        <x:v>Regla jurídica determinista</x:v>
      </x:c>
      <x:c r="AO518" s="18" t="str">
        <x:v>2026_conv2025_rojo_A-T34</x:v>
      </x:c>
      <x:c r="AP518" s="18" t="n">
        <x:v>0.9943</x:v>
      </x:c>
    </x:row>
    <x:row r="519">
      <x:c r="A519" s="18" t="str">
        <x:v>2026_conv2025_verde_A-T63</x:v>
      </x:c>
      <x:c r="B519" s="18" t="n">
        <x:v>2026</x:v>
      </x:c>
      <x:c r="C519" s="18" t="n">
        <x:v>2025</x:v>
      </x:c>
      <x:c r="D519" s="28" t="n">
        <x:v>46201</x:v>
      </x:c>
      <x:c r="E519" s="18" t="str">
        <x:v>Acceso libre</x:v>
      </x:c>
      <x:c r="F519" s="18" t="str">
        <x:v>Primera parte</x:v>
      </x:c>
      <x:c r="G519" s="18" t="str">
        <x:v>Verde A</x:v>
      </x:c>
      <x:c r="H519" s="18" t="str">
        <x:v>Rojo/Verde A/B</x:v>
      </x:c>
      <x:c r="I519" s="18" t="str">
        <x:v>No</x:v>
      </x:c>
      <x:c r="J519" s="18" t="str">
        <x:v>Los colores y modelos reproducen el mismo conjunto de preguntas con orden y/o opciones permutados; Rojo A es la variante canónica para frecuencias y Verde A se conserva como control de cobertura.</x:v>
      </x:c>
      <x:c r="K519" s="18" t="n">
        <x:v>63</x:v>
      </x:c>
      <x:c r="L519" s="18" t="str">
        <x:v>No</x:v>
      </x:c>
      <x:c r="M519" s="18" t="str">
        <x:v>Conforme al artículo 87 del Real Decreto 1415/2004, de II de junio, por eI que se aprueba el Reglamento General de Recaudación de la Seguridad Social, las actuaciones del procedimiento de apremio podrán prever, en concepto de previsión de costas e intereses, un incremento sobre la cuantía exigible de hasta:</x:v>
      </x:c>
      <x:c r="N519" s="18" t="str">
        <x:v>Un 5 por ciento.</x:v>
      </x:c>
      <x:c r="O519" s="18" t="str">
        <x:v>Un 10 por ciento.</x:v>
      </x:c>
      <x:c r="P519" s="18" t="str">
        <x:v>un 7 por ciento.</x:v>
      </x:c>
      <x:c r="Q519" s="18" t="str">
        <x:v>Un 3 por ciento.</x:v>
      </x:c>
      <x:c r="R519" s="18" t="str">
        <x:v>S06</x:v>
      </x:c>
      <x:c r="S519" s="18" t="n">
        <x:v>6</x:v>
      </x:c>
      <x:c r="T519" s="18" t="str">
        <x:v>Temario específico Seguridad Social</x:v>
      </x:c>
      <x:c r="U519" s="18" t="str">
        <x:v>La recaudación en vía ejecutiva. Normas generales. Iniciación y título ejecutivo. La providencia de apremio. Oposición y efectos. El embargo de bienes. Enajenación de bienes: modalidades. Créditos incobrables. Tercerías.</x:v>
      </x:c>
      <x:c r="V519" s="18" t="str">
        <x:v>S06</x:v>
      </x:c>
      <x:c r="W519" s="18" t="str">
        <x:v>Real Decreto 1415/2004</x:v>
      </x:c>
      <x:c r="X519" s="18" t="str">
        <x:v>87</x:v>
      </x:c>
      <x:c r="Y519" s="18" t="str">
        <x:v>Cálculos</x:v>
      </x:c>
      <x:c r="Z519" s="18" t="str">
        <x:v>Media</x:v>
      </x:c>
      <x:c r="AA519" s="18" t="str">
        <x:v>S06</x:v>
      </x:c>
      <x:c r="AB519" s="18" t="str"/>
      <x:c r="AC519" s="18" t="str"/>
      <x:c r="AD519" s="18" t="str">
        <x:v>No</x:v>
      </x:c>
      <x:c r="AE519" s="18" t="str">
        <x:v>Teórico</x:v>
      </x:c>
      <x:c r="AF519" s="18" t="str">
        <x:v>B</x:v>
      </x:c>
      <x:c r="AG519" s="18" t="str">
        <x:v>B</x:v>
      </x:c>
      <x:c r="AH519" s="18" t="str">
        <x:v>Válida</x:v>
      </x:c>
      <x:c r="AI519" s="18" t="str">
        <x:v>01. Información oficial de la oposición\Exámenes oficiales anteriores\2026 Convocatoria 2025 - Acceso libre Verde A.pdf</x:v>
      </x:c>
      <x:c r="AJ519" s="18" t="str">
        <x:v>https://www.seg-social.es/wps/portal/wss/internet/InformacionUtil/9950/88beb45d-ca83-4bab-8162-f94ef2894562/e0c83707-3358-47a9-94d7-508221dad233</x:v>
      </x:c>
      <x:c r="AK519" s="18" t="str">
        <x:v>OCR Windows es-ES sobre PDF oficial</x:v>
      </x:c>
      <x:c r="AL519" s="18" t="n">
        <x:v>100</x:v>
      </x:c>
      <x:c r="AM519" s="18" t="str">
        <x:v>Alta</x:v>
      </x:c>
      <x:c r="AN519" s="18" t="str">
        <x:v>Regla jurídica determinista</x:v>
      </x:c>
      <x:c r="AO519" s="18" t="str">
        <x:v>2026_conv2025_rojo_A-T46</x:v>
      </x:c>
      <x:c r="AP519" s="18" t="n">
        <x:v>0.9838</x:v>
      </x:c>
    </x:row>
    <x:row r="520">
      <x:c r="A520" s="18" t="str">
        <x:v>2026_conv2025_verde_A-T64</x:v>
      </x:c>
      <x:c r="B520" s="18" t="n">
        <x:v>2026</x:v>
      </x:c>
      <x:c r="C520" s="18" t="n">
        <x:v>2025</x:v>
      </x:c>
      <x:c r="D520" s="28" t="n">
        <x:v>46201</x:v>
      </x:c>
      <x:c r="E520" s="18" t="str">
        <x:v>Acceso libre</x:v>
      </x:c>
      <x:c r="F520" s="18" t="str">
        <x:v>Primera parte</x:v>
      </x:c>
      <x:c r="G520" s="18" t="str">
        <x:v>Verde A</x:v>
      </x:c>
      <x:c r="H520" s="18" t="str">
        <x:v>Rojo/Verde A/B</x:v>
      </x:c>
      <x:c r="I520" s="18" t="str">
        <x:v>No</x:v>
      </x:c>
      <x:c r="J520" s="18" t="str">
        <x:v>Los colores y modelos reproducen el mismo conjunto de preguntas con orden y/o opciones permutados; Rojo A es la variante canónica para frecuencias y Verde A se conserva como control de cobertura.</x:v>
      </x:c>
      <x:c r="K520" s="18" t="n">
        <x:v>64</x:v>
      </x:c>
      <x:c r="L520" s="18" t="str">
        <x:v>No</x:v>
      </x:c>
      <x:c r="M520" s="18" t="str">
        <x:v>En relación con los trabajadores contratados a tiempo parcial, el artículo 246 del texto refundido de la Ley General de la Seguridad Social establece que la base de cotización a la Seguridad Social y de las aportaciones que se recaudan conjuntamente con las cuotas de aquella:</x:v>
      </x:c>
      <x:c r="N520" s="18" t="str">
        <x:v>Será siempre mensual y estará constituida por las retribuciones efectivamente percibidas en función de las horas ordinarias trabajadas.</x:v>
      </x:c>
      <x:c r="O520" s="18" t="str">
        <x:v>Será siempre mensual y estará constituida por las retribuciones efectivamente percibidas en función de las horas trabajadas, tanto ordinarias corno complementarias.</x:v>
      </x:c>
      <x:c r="P520" s="18" t="str">
        <x:v>Será mensual o semanal, en función del tipo de contrato, y estará constituida por las retribuciones efectivamente percibidas en función de las horas trabajadas, tanto ordinarias como complementarias.</x:v>
      </x:c>
      <x:c r="Q520" s="18" t="str">
        <x:v>Será mensual o semanal, en función del tipo de contrato, y estará constituida por las retribuciones efectivamente percibidas en función de las horas ordinarias trabajadas.</x:v>
      </x:c>
      <x:c r="R520" s="18" t="str">
        <x:v>S04</x:v>
      </x:c>
      <x:c r="S520" s="18" t="n">
        <x:v>4</x:v>
      </x:c>
      <x:c r="T520" s="18" t="str">
        <x:v>Temario específico Seguridad Social</x:v>
      </x:c>
      <x:c r="U520" s="18" t="str">
        <x:v>La cotización a la Seguridad Social: normas comunes del sistema. La liquidación de cuotas. El régimen general de la Seguridad Social. Supuestos especiales. Bases y tipos de cotización. Liquidación de otras deudas.</x:v>
      </x:c>
      <x:c r="V520" s="18" t="str">
        <x:v>base de cotización</x:v>
      </x:c>
      <x:c r="W520" s="18" t="str">
        <x:v>texto refundido de la Ley General de la Seguridad Social</x:v>
      </x:c>
      <x:c r="X520" s="18" t="str">
        <x:v>246</x:v>
      </x:c>
      <x:c r="Y520" s="18" t="str">
        <x:v>Cotización</x:v>
      </x:c>
      <x:c r="Z520" s="18" t="str">
        <x:v>Media</x:v>
      </x:c>
      <x:c r="AA520" s="18" t="str">
        <x:v>base de cotización</x:v>
      </x:c>
      <x:c r="AB520" s="18" t="str"/>
      <x:c r="AC520" s="18" t="str"/>
      <x:c r="AD520" s="18" t="str">
        <x:v>No</x:v>
      </x:c>
      <x:c r="AE520" s="18" t="str">
        <x:v>Teórico</x:v>
      </x:c>
      <x:c r="AF520" s="18" t="str">
        <x:v>B</x:v>
      </x:c>
      <x:c r="AG520" s="18" t="str">
        <x:v>B</x:v>
      </x:c>
      <x:c r="AH520" s="18" t="str">
        <x:v>Válida</x:v>
      </x:c>
      <x:c r="AI520" s="18" t="str">
        <x:v>01. Información oficial de la oposición\Exámenes oficiales anteriores\2026 Convocatoria 2025 - Acceso libre Verde A.pdf</x:v>
      </x:c>
      <x:c r="AJ520" s="18" t="str">
        <x:v>https://www.seg-social.es/wps/portal/wss/internet/InformacionUtil/9950/88beb45d-ca83-4bab-8162-f94ef2894562/e0c83707-3358-47a9-94d7-508221dad233</x:v>
      </x:c>
      <x:c r="AK520" s="18" t="str">
        <x:v>OCR Windows es-ES sobre PDF oficial</x:v>
      </x:c>
      <x:c r="AL520" s="18" t="n">
        <x:v>100</x:v>
      </x:c>
      <x:c r="AM520" s="18" t="str">
        <x:v>Alta</x:v>
      </x:c>
      <x:c r="AN520" s="18" t="str">
        <x:v>Regla jurídica determinista</x:v>
      </x:c>
      <x:c r="AO520" s="18" t="str">
        <x:v>2026_conv2025_rojo_A-T41</x:v>
      </x:c>
      <x:c r="AP520" s="18" t="n">
        <x:v>1</x:v>
      </x:c>
    </x:row>
    <x:row r="521">
      <x:c r="A521" s="18" t="str">
        <x:v>2026_conv2025_verde_A-T65</x:v>
      </x:c>
      <x:c r="B521" s="18" t="n">
        <x:v>2026</x:v>
      </x:c>
      <x:c r="C521" s="18" t="n">
        <x:v>2025</x:v>
      </x:c>
      <x:c r="D521" s="28" t="n">
        <x:v>46201</x:v>
      </x:c>
      <x:c r="E521" s="18" t="str">
        <x:v>Acceso libre</x:v>
      </x:c>
      <x:c r="F521" s="18" t="str">
        <x:v>Primera parte</x:v>
      </x:c>
      <x:c r="G521" s="18" t="str">
        <x:v>Verde A</x:v>
      </x:c>
      <x:c r="H521" s="18" t="str">
        <x:v>Rojo/Verde A/B</x:v>
      </x:c>
      <x:c r="I521" s="18" t="str">
        <x:v>No</x:v>
      </x:c>
      <x:c r="J521" s="18" t="str">
        <x:v>Los colores y modelos reproducen el mismo conjunto de preguntas con orden y/o opciones permutados; Rojo A es la variante canónica para frecuencias y Verde A se conserva como control de cobertura.</x:v>
      </x:c>
      <x:c r="K521" s="18" t="n">
        <x:v>65</x:v>
      </x:c>
      <x:c r="L521" s="18" t="str">
        <x:v>No</x:v>
      </x:c>
      <x:c r="M521" s="18" t="str">
        <x:v>De acuerdo con 10 estipulado en el artículo 58 del texto refundido de la Ley General de la Seguridad Social, para mantener eI poder adquisitivo de las pensiones de Seguridad Social, en su modalidad contributiva, incluido el complemento de brecha de género, las pensiones se revalorizarán al comienzo de cada año:</x:v>
      </x:c>
      <x:c r="N521" s="18" t="str">
        <x:v>En el porcentaje equivalente al valor expresado en tanto por ciento del índice de Precios al Consumo del mes de diciembre del año anterior.</x:v>
      </x:c>
      <x:c r="O521" s="18" t="str">
        <x:v>En eI 0,25 por ciento.</x:v>
      </x:c>
      <x:c r="P521" s="18" t="str">
        <x:v>En el porcentaje equivalente al valor expresado en tanto por ciento del índice de Precios al Consumo del mes de noviembre del año anterior.</x:v>
      </x:c>
      <x:c r="Q521" s="18" t="str">
        <x:v>En eI porcentaje equivalente al valor medio de las tasas de variación interanual expresadas en tanto por ciento del Índice de Precios al Consumo de los doce meses previos a diciembre del año anterior.</x:v>
      </x:c>
      <x:c r="R521" s="18" t="str">
        <x:v>S07</x:v>
      </x:c>
      <x:c r="S521" s="18" t="n">
        <x:v>7</x:v>
      </x:c>
      <x:c r="T521" s="18" t="str">
        <x:v>Temario específico Seguridad Social</x:v>
      </x:c>
      <x:c r="U521" s="18" t="str">
        <x:v>Acción protectora. Contenido y clasificación de las prestaciones. Caracteres de las prestaciones. Incompatibilidades. Reintegro de las prestaciones indebidas. Requisitos generales del derecho a las prestaciones. Responsabilidades en orden a las prestaciones por incumplimiento de las obligaciones de afiliación, altas, bajas y cotización. Automaticidad y anticipo de prestaciones. Riesgo protegido: contingencias comunes y profesionales.</x:v>
      </x:c>
      <x:c r="V521" s="18" t="str">
        <x:v>S07</x:v>
      </x:c>
      <x:c r="W521" s="18" t="str">
        <x:v>texto refundido de la Ley General de la Seguridad Social</x:v>
      </x:c>
      <x:c r="X521" s="18" t="str">
        <x:v>58</x:v>
      </x:c>
      <x:c r="Y521" s="18" t="str">
        <x:v>Artículos literales</x:v>
      </x:c>
      <x:c r="Z521" s="18" t="str">
        <x:v>Media</x:v>
      </x:c>
      <x:c r="AA521" s="18" t="str">
        <x:v>S07</x:v>
      </x:c>
      <x:c r="AB521" s="18" t="str"/>
      <x:c r="AC521" s="18" t="str"/>
      <x:c r="AD521" s="18" t="str">
        <x:v>No</x:v>
      </x:c>
      <x:c r="AE521" s="18" t="str">
        <x:v>Teórico</x:v>
      </x:c>
      <x:c r="AF521" s="18" t="str">
        <x:v>D</x:v>
      </x:c>
      <x:c r="AG521" s="18" t="str">
        <x:v>D</x:v>
      </x:c>
      <x:c r="AH521" s="18" t="str">
        <x:v>Válida</x:v>
      </x:c>
      <x:c r="AI521" s="18" t="str">
        <x:v>01. Información oficial de la oposición\Exámenes oficiales anteriores\2026 Convocatoria 2025 - Acceso libre Verde A.pdf</x:v>
      </x:c>
      <x:c r="AJ521" s="18" t="str">
        <x:v>https://www.seg-social.es/wps/portal/wss/internet/InformacionUtil/9950/88beb45d-ca83-4bab-8162-f94ef2894562/e0c83707-3358-47a9-94d7-508221dad233</x:v>
      </x:c>
      <x:c r="AK521" s="18" t="str">
        <x:v>OCR Windows es-ES sobre PDF oficial</x:v>
      </x:c>
      <x:c r="AL521" s="18" t="n">
        <x:v>100</x:v>
      </x:c>
      <x:c r="AM521" s="18" t="str">
        <x:v>Alta</x:v>
      </x:c>
      <x:c r="AN521" s="18" t="str">
        <x:v>Regla jurídica determinista</x:v>
      </x:c>
      <x:c r="AO521" s="18" t="str">
        <x:v>2026_conv2025_rojo_A-T52</x:v>
      </x:c>
      <x:c r="AP521" s="18" t="n">
        <x:v>0.9968</x:v>
      </x:c>
    </x:row>
    <x:row r="522">
      <x:c r="A522" s="18" t="str">
        <x:v>2026_conv2025_verde_A-T66</x:v>
      </x:c>
      <x:c r="B522" s="18" t="n">
        <x:v>2026</x:v>
      </x:c>
      <x:c r="C522" s="18" t="n">
        <x:v>2025</x:v>
      </x:c>
      <x:c r="D522" s="28" t="n">
        <x:v>46201</x:v>
      </x:c>
      <x:c r="E522" s="18" t="str">
        <x:v>Acceso libre</x:v>
      </x:c>
      <x:c r="F522" s="18" t="str">
        <x:v>Primera parte</x:v>
      </x:c>
      <x:c r="G522" s="18" t="str">
        <x:v>Verde A</x:v>
      </x:c>
      <x:c r="H522" s="18" t="str">
        <x:v>Rojo/Verde A/B</x:v>
      </x:c>
      <x:c r="I522" s="18" t="str">
        <x:v>No</x:v>
      </x:c>
      <x:c r="J522" s="18" t="str">
        <x:v>Los colores y modelos reproducen el mismo conjunto de preguntas con orden y/o opciones permutados; Rojo A es la variante canónica para frecuencias y Verde A se conserva como control de cobertura.</x:v>
      </x:c>
      <x:c r="K522" s="18" t="n">
        <x:v>66</x:v>
      </x:c>
      <x:c r="L522" s="18" t="str">
        <x:v>No</x:v>
      </x:c>
      <x:c r="M522" s="18" t="str">
        <x:v>EI texto refundido de la Ley General de la Seguridad Social menciona distintos supuestos de incompatibilidad. Señale la afirmación INCORRECTA:</x:v>
      </x:c>
      <x:c r="N522" s="18" t="str">
        <x:v>Son incompatibles entre sí los complementos de pensiones contributivas para la reducción de la brecha de género que pudieran ser reconocidos en cualquiera de los regímenes de Seguridad Social siendo abonado en eI régimen en el que el causante de la pensión tenga más periodos de alta.</x:v>
      </x:c>
      <x:c r="O522" s="18" t="str">
        <x:v>Son incompatibles las indemnizaciones a tanto alzado de lesiones permanentes no incapacitantes con las prestaciones económicas de incapacidad temporal, aunque las lesiones sean totalmente independientes.</x:v>
      </x:c>
      <x:c r="P522" s="18" t="str">
        <x:v>Son incompatibles la prestación y eI subsidio por desempleo con la obtención de prestaciones de carácter económico de la Seguridad Social, salvo que estas hubieran sido compatibles con el trabajo que originó la prestación o el subsidio.</x:v>
      </x:c>
      <x:c r="Q522" s="18" t="str">
        <x:v>Es incompatible la prestación económica por cese de actividad con la obtención de pensiones o prestaciones de carácter económico del sistema de la Seguridad Social, salvo que estas hubieran sido compatibles con el trabajo que dio lugar a la prestación por cese de actividad.</x:v>
      </x:c>
      <x:c r="R522" s="18" t="str">
        <x:v>S07</x:v>
      </x:c>
      <x:c r="S522" s="18" t="n">
        <x:v>7</x:v>
      </x:c>
      <x:c r="T522" s="18" t="str">
        <x:v>Temario específico Seguridad Social</x:v>
      </x:c>
      <x:c r="U522" s="18" t="str">
        <x:v>Acción protectora. Contenido y clasificación de las prestaciones. Caracteres de las prestaciones. Incompatibilidades. Reintegro de las prestaciones indebidas. Requisitos generales del derecho a las prestaciones. Responsabilidades en orden a las prestaciones por incumplimiento de las obligaciones de afiliación, altas, bajas y cotización. Automaticidad y anticipo de prestaciones. Riesgo protegido: contingencias comunes y profesionales.</x:v>
      </x:c>
      <x:c r="V522" s="18" t="str">
        <x:v>S07</x:v>
      </x:c>
      <x:c r="W522" s="18" t="str">
        <x:v>texto refundido de la Ley General de la Seguridad Social</x:v>
      </x:c>
      <x:c r="X522" s="18" t="str"/>
      <x:c r="Y522" s="18" t="str">
        <x:v>Artículos literales</x:v>
      </x:c>
      <x:c r="Z522" s="18" t="str">
        <x:v>Alta</x:v>
      </x:c>
      <x:c r="AA522" s="18" t="str">
        <x:v>S07</x:v>
      </x:c>
      <x:c r="AB522" s="18" t="str"/>
      <x:c r="AC522" s="18" t="str"/>
      <x:c r="AD522" s="18" t="str">
        <x:v>Sí</x:v>
      </x:c>
      <x:c r="AE522" s="18" t="str">
        <x:v>Teórico</x:v>
      </x:c>
      <x:c r="AF522" s="18" t="str">
        <x:v>B</x:v>
      </x:c>
      <x:c r="AG522" s="18" t="str">
        <x:v>B</x:v>
      </x:c>
      <x:c r="AH522" s="18" t="str">
        <x:v>Válida</x:v>
      </x:c>
      <x:c r="AI522" s="18" t="str">
        <x:v>01. Información oficial de la oposición\Exámenes oficiales anteriores\2026 Convocatoria 2025 - Acceso libre Verde A.pdf</x:v>
      </x:c>
      <x:c r="AJ522" s="18" t="str">
        <x:v>https://www.seg-social.es/wps/portal/wss/internet/InformacionUtil/9950/88beb45d-ca83-4bab-8162-f94ef2894562/e0c83707-3358-47a9-94d7-508221dad233</x:v>
      </x:c>
      <x:c r="AK522" s="18" t="str">
        <x:v>OCR Windows es-ES sobre PDF oficial</x:v>
      </x:c>
      <x:c r="AL522" s="18" t="n">
        <x:v>100</x:v>
      </x:c>
      <x:c r="AM522" s="18" t="str">
        <x:v>Alta</x:v>
      </x:c>
      <x:c r="AN522" s="18" t="str">
        <x:v>Revisión jurídica individual</x:v>
      </x:c>
      <x:c r="AO522" s="18" t="str">
        <x:v>2026_conv2025_rojo_A-T51</x:v>
      </x:c>
      <x:c r="AP522" s="18" t="n">
        <x:v>1</x:v>
      </x:c>
    </x:row>
    <x:row r="523">
      <x:c r="A523" s="18" t="str">
        <x:v>2026_conv2025_verde_A-T67</x:v>
      </x:c>
      <x:c r="B523" s="18" t="n">
        <x:v>2026</x:v>
      </x:c>
      <x:c r="C523" s="18" t="n">
        <x:v>2025</x:v>
      </x:c>
      <x:c r="D523" s="28" t="n">
        <x:v>46201</x:v>
      </x:c>
      <x:c r="E523" s="18" t="str">
        <x:v>Acceso libre</x:v>
      </x:c>
      <x:c r="F523" s="18" t="str">
        <x:v>Primera parte</x:v>
      </x:c>
      <x:c r="G523" s="18" t="str">
        <x:v>Verde A</x:v>
      </x:c>
      <x:c r="H523" s="18" t="str">
        <x:v>Rojo/Verde A/B</x:v>
      </x:c>
      <x:c r="I523" s="18" t="str">
        <x:v>No</x:v>
      </x:c>
      <x:c r="J523" s="18" t="str">
        <x:v>Los colores y modelos reproducen el mismo conjunto de preguntas con orden y/o opciones permutados; Rojo A es la variante canónica para frecuencias y Verde A se conserva como control de cobertura.</x:v>
      </x:c>
      <x:c r="K523" s="18" t="n">
        <x:v>67</x:v>
      </x:c>
      <x:c r="L523" s="18" t="str">
        <x:v>No</x:v>
      </x:c>
      <x:c r="M523" s="18" t="str">
        <x:v>Según establece el artículo 64 del Real Decreto 141512004, de II de junio, por el que se aprueba eI Reglamento General de Recaudación de la Seguridad Social, los importes exigidos en las reclamaciones de deuda por cuotas y conceptos de recaudación conjunta notificadas entre los días I y 15 de cada mes deberán hacerse efectivos dentro del siguiente plazo:</x:v>
      </x:c>
      <x:c r="N523" s="18" t="str">
        <x:v>Desde la fecha de la notificación hasta el día 15 del mes siguiente o eI inmediato hábil posterior.</x:v>
      </x:c>
      <x:c r="O523" s="18" t="str">
        <x:v>Desde la fecha de la notificación hasta el último día hábil del mismo mes.</x:v>
      </x:c>
      <x:c r="P523" s="18" t="str">
        <x:v>Desde la fecha de la notificación hasta eI día 5 del mes siguiente o eI inmediato hábil posterior.</x:v>
      </x:c>
      <x:c r="Q523" s="18" t="str">
        <x:v>Desde la fecha de la notificación hasta el día 10 del mes siguiente o el inmediato hábil posterior.</x:v>
      </x:c>
      <x:c r="R523" s="18" t="str">
        <x:v>S05</x:v>
      </x:c>
      <x:c r="S523" s="18" t="n">
        <x:v>5</x:v>
      </x:c>
      <x:c r="T523" s="18" t="str">
        <x:v>Temario específico Seguridad Social</x:v>
      </x:c>
      <x:c r="U523" s="18" t="str">
        <x:v>La gestión recaudatoria: concepto, competencia y objeto. Responsables del pago. Requisitos para el pago. Medios de pago. Control de recaudación. Revisión de los actos de gestión recaudatoria. La recaudación en periodo voluntario. Efectos de la falta de cotización en período reglamentario. Recaudación de otros recursos. Aplazamientos. Devolución de ingresos indebidos. Capital coste de pensiones.</x:v>
      </x:c>
      <x:c r="V523" s="18" t="str">
        <x:v>S05</x:v>
      </x:c>
      <x:c r="W523" s="18" t="str"/>
      <x:c r="X523" s="18" t="str">
        <x:v>64</x:v>
      </x:c>
      <x:c r="Y523" s="18" t="str">
        <x:v>Cálculos</x:v>
      </x:c>
      <x:c r="Z523" s="18" t="str">
        <x:v>Alta</x:v>
      </x:c>
      <x:c r="AA523" s="18" t="str">
        <x:v>S05</x:v>
      </x:c>
      <x:c r="AB523" s="18" t="str"/>
      <x:c r="AC523" s="18" t="str"/>
      <x:c r="AD523" s="18" t="str">
        <x:v>No</x:v>
      </x:c>
      <x:c r="AE523" s="18" t="str">
        <x:v>Teórico</x:v>
      </x:c>
      <x:c r="AF523" s="18" t="str">
        <x:v>C</x:v>
      </x:c>
      <x:c r="AG523" s="18" t="str">
        <x:v>C</x:v>
      </x:c>
      <x:c r="AH523" s="18" t="str">
        <x:v>Válida</x:v>
      </x:c>
      <x:c r="AI523" s="18" t="str">
        <x:v>01. Información oficial de la oposición\Exámenes oficiales anteriores\2026 Convocatoria 2025 - Acceso libre Verde A.pdf</x:v>
      </x:c>
      <x:c r="AJ523" s="18" t="str">
        <x:v>https://www.seg-social.es/wps/portal/wss/internet/InformacionUtil/9950/88beb45d-ca83-4bab-8162-f94ef2894562/e0c83707-3358-47a9-94d7-508221dad233</x:v>
      </x:c>
      <x:c r="AK523" s="18" t="str">
        <x:v>OCR Windows es-ES sobre PDF oficial</x:v>
      </x:c>
      <x:c r="AL523" s="18" t="n">
        <x:v>100</x:v>
      </x:c>
      <x:c r="AM523" s="18" t="str">
        <x:v>Alta</x:v>
      </x:c>
      <x:c r="AN523" s="18" t="str">
        <x:v>Regla jurídica determinista</x:v>
      </x:c>
      <x:c r="AO523" s="18" t="str">
        <x:v>2026_conv2025_rojo_A-T45</x:v>
      </x:c>
      <x:c r="AP523" s="18" t="n">
        <x:v>0.9888</x:v>
      </x:c>
    </x:row>
    <x:row r="524">
      <x:c r="A524" s="18" t="str">
        <x:v>2026_conv2025_verde_A-T68</x:v>
      </x:c>
      <x:c r="B524" s="18" t="n">
        <x:v>2026</x:v>
      </x:c>
      <x:c r="C524" s="18" t="n">
        <x:v>2025</x:v>
      </x:c>
      <x:c r="D524" s="28" t="n">
        <x:v>46201</x:v>
      </x:c>
      <x:c r="E524" s="18" t="str">
        <x:v>Acceso libre</x:v>
      </x:c>
      <x:c r="F524" s="18" t="str">
        <x:v>Primera parte</x:v>
      </x:c>
      <x:c r="G524" s="18" t="str">
        <x:v>Verde A</x:v>
      </x:c>
      <x:c r="H524" s="18" t="str">
        <x:v>Rojo/Verde A/B</x:v>
      </x:c>
      <x:c r="I524" s="18" t="str">
        <x:v>No</x:v>
      </x:c>
      <x:c r="J524" s="18" t="str">
        <x:v>Los colores y modelos reproducen el mismo conjunto de preguntas con orden y/o opciones permutados; Rojo A es la variante canónica para frecuencias y Verde A se conserva como control de cobertura.</x:v>
      </x:c>
      <x:c r="K524" s="18" t="n">
        <x:v>68</x:v>
      </x:c>
      <x:c r="L524" s="18" t="str">
        <x:v>No</x:v>
      </x:c>
      <x:c r="M524" s="18" t="str">
        <x:v>De acuerdo con el Real Decreto 84/1996, en las situaciones de pluriactividad y pluriempleo:</x:v>
      </x:c>
      <x:c r="N524" s="18" t="str">
        <x:v>Se considera pluriactividad la situación del trabajador por cuenta propia y/o ajena cuyas actividades den lugar a su alta obligatoria en dos o más Regímenes distintos del sistema de la Seguridad Social.</x:v>
      </x:c>
      <x:c r="O524" s="18" t="str">
        <x:v>Se entenderá por pluriempleo la situación del trabajador por cuenta ajena contratado por dos o más empresas y que además ejerza servicios profesionales encuadrados dentro del Régimen Especial de Trabajadores Autónomos.</x:v>
      </x:c>
      <x:c r="P524" s="18" t="str">
        <x:v>Los empresarios que conozcan la situación de pluriempleo de sus trabajadores pueden comunicar las altas y las bajas de estos en eI plazo de los 90 días siguientes al inicio de la actividad.</x:v>
      </x:c>
      <x:c r="Q524" s="18" t="str">
        <x:v>Si una de las actividades determinase la inclusión en eI Sistema Especial de Trabajadores por Cuenta Propia Agrarios, eI alta se practicará por dicha actividad y la Tesorería podrá pedir un informe de la Intervención General de la Seguridad Social.</x:v>
      </x:c>
      <x:c r="R524" s="18" t="str">
        <x:v>S03</x:v>
      </x:c>
      <x:c r="S524" s="18" t="n">
        <x:v>3</x:v>
      </x:c>
      <x:c r="T524" s="18" t="str">
        <x:v>Temario específico Seguridad Social</x:v>
      </x:c>
      <x:c r="U524" s="18" t="str">
        <x:v>Normas sobre afiliación. Altas y bajas en el régimen general. Procedimiento y efectos. El convenio especial y otras situaciones asimiladas a la del alta. Encuadramiento e inscripción.</x:v>
      </x:c>
      <x:c r="V524" s="18" t="str">
        <x:v>S03</x:v>
      </x:c>
      <x:c r="W524" s="18" t="str">
        <x:v>Real Decreto 84/1996</x:v>
      </x:c>
      <x:c r="X524" s="18" t="str"/>
      <x:c r="Y524" s="18" t="str">
        <x:v>Afiliación, altas y bajas</x:v>
      </x:c>
      <x:c r="Z524" s="18" t="str">
        <x:v>Media</x:v>
      </x:c>
      <x:c r="AA524" s="18" t="str">
        <x:v>S03</x:v>
      </x:c>
      <x:c r="AB524" s="18" t="str"/>
      <x:c r="AC524" s="18" t="str"/>
      <x:c r="AD524" s="18" t="str">
        <x:v>No</x:v>
      </x:c>
      <x:c r="AE524" s="18" t="str">
        <x:v>Teórico</x:v>
      </x:c>
      <x:c r="AF524" s="18" t="str">
        <x:v>A</x:v>
      </x:c>
      <x:c r="AG524" s="18" t="str">
        <x:v>A</x:v>
      </x:c>
      <x:c r="AH524" s="18" t="str">
        <x:v>Válida</x:v>
      </x:c>
      <x:c r="AI524" s="18" t="str">
        <x:v>01. Información oficial de la oposición\Exámenes oficiales anteriores\2026 Convocatoria 2025 - Acceso libre Verde A.pdf</x:v>
      </x:c>
      <x:c r="AJ524" s="18" t="str">
        <x:v>https://www.seg-social.es/wps/portal/wss/internet/InformacionUtil/9950/88beb45d-ca83-4bab-8162-f94ef2894562/e0c83707-3358-47a9-94d7-508221dad233</x:v>
      </x:c>
      <x:c r="AK524" s="18" t="str">
        <x:v>OCR Windows es-ES sobre PDF oficial</x:v>
      </x:c>
      <x:c r="AL524" s="18" t="n">
        <x:v>100</x:v>
      </x:c>
      <x:c r="AM524" s="18" t="str">
        <x:v>Alta</x:v>
      </x:c>
      <x:c r="AN524" s="18" t="str">
        <x:v>Regla jurídica determinista</x:v>
      </x:c>
      <x:c r="AO524" s="18" t="str">
        <x:v>2026_conv2025_rojo_A-T38</x:v>
      </x:c>
      <x:c r="AP524" s="18" t="n">
        <x:v>1</x:v>
      </x:c>
    </x:row>
    <x:row r="525">
      <x:c r="A525" s="18" t="str">
        <x:v>2026_conv2025_verde_A-T69</x:v>
      </x:c>
      <x:c r="B525" s="18" t="n">
        <x:v>2026</x:v>
      </x:c>
      <x:c r="C525" s="18" t="n">
        <x:v>2025</x:v>
      </x:c>
      <x:c r="D525" s="28" t="n">
        <x:v>46201</x:v>
      </x:c>
      <x:c r="E525" s="18" t="str">
        <x:v>Acceso libre</x:v>
      </x:c>
      <x:c r="F525" s="18" t="str">
        <x:v>Primera parte</x:v>
      </x:c>
      <x:c r="G525" s="18" t="str">
        <x:v>Verde A</x:v>
      </x:c>
      <x:c r="H525" s="18" t="str">
        <x:v>Rojo/Verde A/B</x:v>
      </x:c>
      <x:c r="I525" s="18" t="str">
        <x:v>No</x:v>
      </x:c>
      <x:c r="J525" s="18" t="str">
        <x:v>Los colores y modelos reproducen el mismo conjunto de preguntas con orden y/o opciones permutados; Rojo A es la variante canónica para frecuencias y Verde A se conserva como control de cobertura.</x:v>
      </x:c>
      <x:c r="K525" s="18" t="n">
        <x:v>69</x:v>
      </x:c>
      <x:c r="L525" s="18" t="str">
        <x:v>No</x:v>
      </x:c>
      <x:c r="M525" s="18" t="str">
        <x:v>De acuerdo con el artículo 7 del Real Decreto 1415/2004, de 11 de junio, por el que se aprueba el Reglamento General de Recaudación de la Seguridad Social, los actos de la Tesorería General de la Seguridad Social para la determinación y recaudación de la deuda con la Seguridad Social:</x:v>
      </x:c>
      <x:c r="N525" s="18" t="str">
        <x:v>Gozan de presunción de legalidad y son inmediatamente ejecutivos.</x:v>
      </x:c>
      <x:c r="O525" s="18" t="str">
        <x:v>Gozan de presunción de validez y son inmediatamente ejecutivos.</x:v>
      </x:c>
      <x:c r="P525" s="18" t="str">
        <x:v>Gozan de presunción de legalidad y son ejecutivos cuando adquieren firmeza en vía administrativa.</x:v>
      </x:c>
      <x:c r="Q525" s="18" t="str">
        <x:v>Gozan de presunción de validez y son ejecutivos cuando adquieren firmeza en vía administrativa.</x:v>
      </x:c>
      <x:c r="R525" s="18" t="str">
        <x:v>S05</x:v>
      </x:c>
      <x:c r="S525" s="18" t="n">
        <x:v>5</x:v>
      </x:c>
      <x:c r="T525" s="18" t="str">
        <x:v>Temario específico Seguridad Social</x:v>
      </x:c>
      <x:c r="U525" s="18" t="str">
        <x:v>La gestión recaudatoria: concepto, competencia y objeto. Responsables del pago. Requisitos para el pago. Medios de pago. Control de recaudación. Revisión de los actos de gestión recaudatoria. La recaudación en periodo voluntario. Efectos de la falta de cotización en período reglamentario. Recaudación de otros recursos. Aplazamientos. Devolución de ingresos indebidos. Capital coste de pensiones.</x:v>
      </x:c>
      <x:c r="V525" s="18" t="str">
        <x:v>S05</x:v>
      </x:c>
      <x:c r="W525" s="18" t="str">
        <x:v>Real Decreto 1415/2004</x:v>
      </x:c>
      <x:c r="X525" s="18" t="str">
        <x:v>7</x:v>
      </x:c>
      <x:c r="Y525" s="18" t="str">
        <x:v>Recaudación</x:v>
      </x:c>
      <x:c r="Z525" s="18" t="str">
        <x:v>Media</x:v>
      </x:c>
      <x:c r="AA525" s="18" t="str">
        <x:v>S05</x:v>
      </x:c>
      <x:c r="AB525" s="18" t="str">
        <x:v>Tesorería General de la Seguridad Social</x:v>
      </x:c>
      <x:c r="AC525" s="18" t="str"/>
      <x:c r="AD525" s="18" t="str">
        <x:v>No</x:v>
      </x:c>
      <x:c r="AE525" s="18" t="str">
        <x:v>Teórico</x:v>
      </x:c>
      <x:c r="AF525" s="18" t="str">
        <x:v>A</x:v>
      </x:c>
      <x:c r="AG525" s="18" t="str">
        <x:v>A</x:v>
      </x:c>
      <x:c r="AH525" s="18" t="str">
        <x:v>Válida</x:v>
      </x:c>
      <x:c r="AI525" s="18" t="str">
        <x:v>01. Información oficial de la oposición\Exámenes oficiales anteriores\2026 Convocatoria 2025 - Acceso libre Verde A.pdf</x:v>
      </x:c>
      <x:c r="AJ525" s="18" t="str">
        <x:v>https://www.seg-social.es/wps/portal/wss/internet/InformacionUtil/9950/88beb45d-ca83-4bab-8162-f94ef2894562/e0c83707-3358-47a9-94d7-508221dad233</x:v>
      </x:c>
      <x:c r="AK525" s="18" t="str">
        <x:v>OCR Windows es-ES sobre PDF oficial</x:v>
      </x:c>
      <x:c r="AL525" s="18" t="n">
        <x:v>100</x:v>
      </x:c>
      <x:c r="AM525" s="18" t="str">
        <x:v>Alta</x:v>
      </x:c>
      <x:c r="AN525" s="18" t="str">
        <x:v>Regla jurídica determinista</x:v>
      </x:c>
      <x:c r="AO525" s="18" t="str">
        <x:v>2026_conv2025_rojo_A-T42</x:v>
      </x:c>
      <x:c r="AP525" s="18" t="n">
        <x:v>0.9965</x:v>
      </x:c>
    </x:row>
    <x:row r="526">
      <x:c r="A526" s="18" t="str">
        <x:v>2026_conv2025_verde_A-T70</x:v>
      </x:c>
      <x:c r="B526" s="18" t="n">
        <x:v>2026</x:v>
      </x:c>
      <x:c r="C526" s="18" t="n">
        <x:v>2025</x:v>
      </x:c>
      <x:c r="D526" s="28" t="n">
        <x:v>46201</x:v>
      </x:c>
      <x:c r="E526" s="18" t="str">
        <x:v>Acceso libre</x:v>
      </x:c>
      <x:c r="F526" s="18" t="str">
        <x:v>Primera parte</x:v>
      </x:c>
      <x:c r="G526" s="18" t="str">
        <x:v>Verde A</x:v>
      </x:c>
      <x:c r="H526" s="18" t="str">
        <x:v>Rojo/Verde A/B</x:v>
      </x:c>
      <x:c r="I526" s="18" t="str">
        <x:v>No</x:v>
      </x:c>
      <x:c r="J526" s="18" t="str">
        <x:v>Los colores y modelos reproducen el mismo conjunto de preguntas con orden y/o opciones permutados; Rojo A es la variante canónica para frecuencias y Verde A se conserva como control de cobertura.</x:v>
      </x:c>
      <x:c r="K526" s="18" t="n">
        <x:v>70</x:v>
      </x:c>
      <x:c r="L526" s="18" t="str">
        <x:v>No</x:v>
      </x:c>
      <x:c r="M526" s="18" t="str">
        <x:v>Según establece el artículo 123 bis del Real Decreto 1415/2004, de II de junio, por el que se aprueba el Reglamento General de Recaudación de la Seguridad Social, una vez autorizada por el director provincial de la Tesorería General la enajenación mediante adjudicación directa, las actuaciones necesarias para llevarla a cabo se realizarán en el plazo de:</x:v>
      </x:c>
      <x:c r="N526" s="18" t="str">
        <x:v>Un año.</x:v>
      </x:c>
      <x:c r="O526" s="18" t="str">
        <x:v>Tres meses.</x:v>
      </x:c>
      <x:c r="P526" s="18" t="str">
        <x:v>30 días naturales.</x:v>
      </x:c>
      <x:c r="Q526" s="18" t="str">
        <x:v>Seis meses.</x:v>
      </x:c>
      <x:c r="R526" s="18" t="str">
        <x:v>S06</x:v>
      </x:c>
      <x:c r="S526" s="18" t="n">
        <x:v>6</x:v>
      </x:c>
      <x:c r="T526" s="18" t="str">
        <x:v>Temario específico Seguridad Social</x:v>
      </x:c>
      <x:c r="U526" s="18" t="str">
        <x:v>La recaudación en vía ejecutiva. Normas generales. Iniciación y título ejecutivo. La providencia de apremio. Oposición y efectos. El embargo de bienes. Enajenación de bienes: modalidades. Créditos incobrables. Tercerías.</x:v>
      </x:c>
      <x:c r="V526" s="18" t="str">
        <x:v>S06</x:v>
      </x:c>
      <x:c r="W526" s="18" t="str">
        <x:v>Real Decreto 1415/2004</x:v>
      </x:c>
      <x:c r="X526" s="18" t="str">
        <x:v>123</x:v>
      </x:c>
      <x:c r="Y526" s="18" t="str">
        <x:v>Plazos</x:v>
      </x:c>
      <x:c r="Z526" s="18" t="str">
        <x:v>Alta</x:v>
      </x:c>
      <x:c r="AA526" s="18" t="str">
        <x:v>S06</x:v>
      </x:c>
      <x:c r="AB526" s="18" t="str"/>
      <x:c r="AC526" s="18" t="str"/>
      <x:c r="AD526" s="18" t="str">
        <x:v>No</x:v>
      </x:c>
      <x:c r="AE526" s="18" t="str">
        <x:v>Teórico</x:v>
      </x:c>
      <x:c r="AF526" s="18" t="str">
        <x:v>D</x:v>
      </x:c>
      <x:c r="AG526" s="18" t="str">
        <x:v>D</x:v>
      </x:c>
      <x:c r="AH526" s="18" t="str">
        <x:v>Válida</x:v>
      </x:c>
      <x:c r="AI526" s="18" t="str">
        <x:v>01. Información oficial de la oposición\Exámenes oficiales anteriores\2026 Convocatoria 2025 - Acceso libre Verde A.pdf</x:v>
      </x:c>
      <x:c r="AJ526" s="18" t="str">
        <x:v>https://www.seg-social.es/wps/portal/wss/internet/InformacionUtil/9950/88beb45d-ca83-4bab-8162-f94ef2894562/e0c83707-3358-47a9-94d7-508221dad233</x:v>
      </x:c>
      <x:c r="AK526" s="18" t="str">
        <x:v>OCR Windows es-ES sobre PDF oficial</x:v>
      </x:c>
      <x:c r="AL526" s="18" t="n">
        <x:v>100</x:v>
      </x:c>
      <x:c r="AM526" s="18" t="str">
        <x:v>Alta</x:v>
      </x:c>
      <x:c r="AN526" s="18" t="str">
        <x:v>Regla jurídica determinista</x:v>
      </x:c>
      <x:c r="AO526" s="18" t="str">
        <x:v>2026_conv2025_rojo_A-T49</x:v>
      </x:c>
      <x:c r="AP526" s="18" t="n">
        <x:v>0.9972</x:v>
      </x:c>
    </x:row>
    <x:row r="527">
      <x:c r="A527" s="18" t="str">
        <x:v>2026_conv2025_verde_A-T71</x:v>
      </x:c>
      <x:c r="B527" s="18" t="n">
        <x:v>2026</x:v>
      </x:c>
      <x:c r="C527" s="18" t="n">
        <x:v>2025</x:v>
      </x:c>
      <x:c r="D527" s="28" t="n">
        <x:v>46201</x:v>
      </x:c>
      <x:c r="E527" s="18" t="str">
        <x:v>Acceso libre</x:v>
      </x:c>
      <x:c r="F527" s="18" t="str">
        <x:v>Primera parte</x:v>
      </x:c>
      <x:c r="G527" s="18" t="str">
        <x:v>Verde A</x:v>
      </x:c>
      <x:c r="H527" s="18" t="str">
        <x:v>Rojo/Verde A/B</x:v>
      </x:c>
      <x:c r="I527" s="18" t="str">
        <x:v>No</x:v>
      </x:c>
      <x:c r="J527" s="18" t="str">
        <x:v>Los colores y modelos reproducen el mismo conjunto de preguntas con orden y/o opciones permutados; Rojo A es la variante canónica para frecuencias y Verde A se conserva como control de cobertura.</x:v>
      </x:c>
      <x:c r="K527" s="18" t="n">
        <x:v>71</x:v>
      </x:c>
      <x:c r="L527" s="18" t="str">
        <x:v>Sí</x:v>
      </x:c>
      <x:c r="M527" s="18" t="str">
        <x:v>Según eI artículo 15 del Real Decreto 141512004, de 11 de junio, por el que se aprueba el Reglamento General de Recaudación de la Seguridad Social, los herederos del responsable del pago de la deuda a la Seguridad Social que acepten la herencia a beneficio de inventario:</x:v>
      </x:c>
      <x:c r="N527" s="18" t="str">
        <x:v>Responderán solidariamente entre sí de su pago con los bienes de la herencia.</x:v>
      </x:c>
      <x:c r="O527" s="18" t="str">
        <x:v>Responderán solidariamente entre sí de su pago con los bienes de la herencia y con su propio patrimonio.</x:v>
      </x:c>
      <x:c r="P527" s="18" t="str">
        <x:v>Solo responderán con los bienes de la herencia que les hayan sido adjudicados y con su propio patrimonio.</x:v>
      </x:c>
      <x:c r="Q527" s="18" t="str">
        <x:v>Solo responderán con los bienes de la herencia que les hayan sido adjudicados.</x:v>
      </x:c>
      <x:c r="R527" s="18" t="str">
        <x:v>S05</x:v>
      </x:c>
      <x:c r="S527" s="18" t="n">
        <x:v>5</x:v>
      </x:c>
      <x:c r="T527" s="18" t="str">
        <x:v>Temario específico Seguridad Social</x:v>
      </x:c>
      <x:c r="U527" s="18" t="str">
        <x:v>La gestión recaudatoria: concepto, competencia y objeto. Responsables del pago. Requisitos para el pago. Medios de pago. Control de recaudación. Revisión de los actos de gestión recaudatoria. La recaudación en periodo voluntario. Efectos de la falta de cotización en período reglamentario. Recaudación de otros recursos. Aplazamientos. Devolución de ingresos indebidos. Capital coste de pensiones.</x:v>
      </x:c>
      <x:c r="V527" s="18" t="str">
        <x:v>S05</x:v>
      </x:c>
      <x:c r="W527" s="18" t="str"/>
      <x:c r="X527" s="18" t="str">
        <x:v>15</x:v>
      </x:c>
      <x:c r="Y527" s="18" t="str">
        <x:v>Recaudación</x:v>
      </x:c>
      <x:c r="Z527" s="18" t="str">
        <x:v>Media</x:v>
      </x:c>
      <x:c r="AA527" s="18" t="str">
        <x:v>S05</x:v>
      </x:c>
      <x:c r="AB527" s="18" t="str"/>
      <x:c r="AC527" s="18" t="str"/>
      <x:c r="AD527" s="18" t="str">
        <x:v>No</x:v>
      </x:c>
      <x:c r="AE527" s="18" t="str">
        <x:v>Teórico</x:v>
      </x:c>
      <x:c r="AF527" s="18" t="str">
        <x:v>D</x:v>
      </x:c>
      <x:c r="AG527" s="18" t="str">
        <x:v>D</x:v>
      </x:c>
      <x:c r="AH527" s="18" t="str">
        <x:v>Válida</x:v>
      </x:c>
      <x:c r="AI527" s="18" t="str">
        <x:v>01. Información oficial de la oposición\Exámenes oficiales anteriores\2026 Convocatoria 2025 - Acceso libre Verde A.pdf</x:v>
      </x:c>
      <x:c r="AJ527" s="18" t="str">
        <x:v>https://www.seg-social.es/wps/portal/wss/internet/InformacionUtil/9950/88beb45d-ca83-4bab-8162-f94ef2894562/e0c83707-3358-47a9-94d7-508221dad233</x:v>
      </x:c>
      <x:c r="AK527" s="18" t="str">
        <x:v>OCR Windows es-ES sobre PDF oficial</x:v>
      </x:c>
      <x:c r="AL527" s="18" t="n">
        <x:v>100</x:v>
      </x:c>
      <x:c r="AM527" s="18" t="str">
        <x:v>Alta</x:v>
      </x:c>
      <x:c r="AN527" s="18" t="str">
        <x:v>Regla jurídica determinista</x:v>
      </x:c>
      <x:c r="AO527" s="18" t="str">
        <x:v>2026_conv2025_rojo_A-T71</x:v>
      </x:c>
      <x:c r="AP527" s="18" t="n">
        <x:v>0.9889</x:v>
      </x:c>
    </x:row>
    <x:row r="528">
      <x:c r="A528" s="18" t="str">
        <x:v>2026_conv2025_verde_A-T72</x:v>
      </x:c>
      <x:c r="B528" s="18" t="n">
        <x:v>2026</x:v>
      </x:c>
      <x:c r="C528" s="18" t="n">
        <x:v>2025</x:v>
      </x:c>
      <x:c r="D528" s="28" t="n">
        <x:v>46201</x:v>
      </x:c>
      <x:c r="E528" s="18" t="str">
        <x:v>Acceso libre</x:v>
      </x:c>
      <x:c r="F528" s="18" t="str">
        <x:v>Primera parte</x:v>
      </x:c>
      <x:c r="G528" s="18" t="str">
        <x:v>Verde A</x:v>
      </x:c>
      <x:c r="H528" s="18" t="str">
        <x:v>Rojo/Verde A/B</x:v>
      </x:c>
      <x:c r="I528" s="18" t="str">
        <x:v>No</x:v>
      </x:c>
      <x:c r="J528" s="18" t="str">
        <x:v>Los colores y modelos reproducen el mismo conjunto de preguntas con orden y/o opciones permutados; Rojo A es la variante canónica para frecuencias y Verde A se conserva como control de cobertura.</x:v>
      </x:c>
      <x:c r="K528" s="18" t="n">
        <x:v>72</x:v>
      </x:c>
      <x:c r="L528" s="18" t="str">
        <x:v>Sí</x:v>
      </x:c>
      <x:c r="M528" s="18" t="str">
        <x:v>EI artículo 118 del Real Decreto 1415/2004, de II de junio, por el que se aprueba el Reglamento General de Recaudación de la Seguridad Social, establece que el licitador que presente oferta en una subasta deberá constituir depósito por importe del:</x:v>
      </x:c>
      <x:c r="N528" s="18" t="str">
        <x:v>20 por ciento del tipo establecido para la enajenación del bien de que se trate.</x:v>
      </x:c>
      <x:c r="O528" s="18" t="str">
        <x:v>25 por ciento del tipo establecido para la enajenación del bien de que se trate.</x:v>
      </x:c>
      <x:c r="P528" s="18" t="str">
        <x:v>10 por ciento del tipo establecido para la enajenación del bien de que se trate.</x:v>
      </x:c>
      <x:c r="Q528" s="18" t="str">
        <x:v>15 por ciento del tipo establecido para la enajenación del bien de que se trate.</x:v>
      </x:c>
      <x:c r="R528" s="18" t="str">
        <x:v>S06</x:v>
      </x:c>
      <x:c r="S528" s="18" t="n">
        <x:v>6</x:v>
      </x:c>
      <x:c r="T528" s="18" t="str">
        <x:v>Temario específico Seguridad Social</x:v>
      </x:c>
      <x:c r="U528" s="18" t="str">
        <x:v>La recaudación en vía ejecutiva. Normas generales. Iniciación y título ejecutivo. La providencia de apremio. Oposición y efectos. El embargo de bienes. Enajenación de bienes: modalidades. Créditos incobrables. Tercerías.</x:v>
      </x:c>
      <x:c r="V528" s="18" t="str">
        <x:v>S06</x:v>
      </x:c>
      <x:c r="W528" s="18" t="str">
        <x:v>Real Decreto 1415/2004</x:v>
      </x:c>
      <x:c r="X528" s="18" t="str">
        <x:v>118</x:v>
      </x:c>
      <x:c r="Y528" s="18" t="str">
        <x:v>Cálculos</x:v>
      </x:c>
      <x:c r="Z528" s="18" t="str">
        <x:v>Media</x:v>
      </x:c>
      <x:c r="AA528" s="18" t="str">
        <x:v>S06</x:v>
      </x:c>
      <x:c r="AB528" s="18" t="str"/>
      <x:c r="AC528" s="18" t="str"/>
      <x:c r="AD528" s="18" t="str">
        <x:v>No</x:v>
      </x:c>
      <x:c r="AE528" s="18" t="str">
        <x:v>Teórico</x:v>
      </x:c>
      <x:c r="AF528" s="18" t="str">
        <x:v>B</x:v>
      </x:c>
      <x:c r="AG528" s="18" t="str">
        <x:v>B</x:v>
      </x:c>
      <x:c r="AH528" s="18" t="str">
        <x:v>Válida</x:v>
      </x:c>
      <x:c r="AI528" s="18" t="str">
        <x:v>01. Información oficial de la oposición\Exámenes oficiales anteriores\2026 Convocatoria 2025 - Acceso libre Verde A.pdf</x:v>
      </x:c>
      <x:c r="AJ528" s="18" t="str">
        <x:v>https://www.seg-social.es/wps/portal/wss/internet/InformacionUtil/9950/88beb45d-ca83-4bab-8162-f94ef2894562/e0c83707-3358-47a9-94d7-508221dad233</x:v>
      </x:c>
      <x:c r="AK528" s="18" t="str">
        <x:v>OCR Windows es-ES sobre PDF oficial</x:v>
      </x:c>
      <x:c r="AL528" s="18" t="n">
        <x:v>100</x:v>
      </x:c>
      <x:c r="AM528" s="18" t="str">
        <x:v>Alta</x:v>
      </x:c>
      <x:c r="AN528" s="18" t="str">
        <x:v>Regla jurídica determinista</x:v>
      </x:c>
      <x:c r="AO528" s="18" t="str">
        <x:v>2026_conv2025_rojo_A-T72</x:v>
      </x:c>
      <x:c r="AP528" s="18" t="n">
        <x:v>1</x:v>
      </x:c>
    </x:row>
    <x:row r="529">
      <x:c r="A529" s="18" t="str">
        <x:v>2026_conv2025_verde_A-T73</x:v>
      </x:c>
      <x:c r="B529" s="18" t="n">
        <x:v>2026</x:v>
      </x:c>
      <x:c r="C529" s="18" t="n">
        <x:v>2025</x:v>
      </x:c>
      <x:c r="D529" s="28" t="n">
        <x:v>46201</x:v>
      </x:c>
      <x:c r="E529" s="18" t="str">
        <x:v>Acceso libre</x:v>
      </x:c>
      <x:c r="F529" s="18" t="str">
        <x:v>Primera parte</x:v>
      </x:c>
      <x:c r="G529" s="18" t="str">
        <x:v>Verde A</x:v>
      </x:c>
      <x:c r="H529" s="18" t="str">
        <x:v>Rojo/Verde A/B</x:v>
      </x:c>
      <x:c r="I529" s="18" t="str">
        <x:v>No</x:v>
      </x:c>
      <x:c r="J529" s="18" t="str">
        <x:v>Los colores y modelos reproducen el mismo conjunto de preguntas con orden y/o opciones permutados; Rojo A es la variante canónica para frecuencias y Verde A se conserva como control de cobertura.</x:v>
      </x:c>
      <x:c r="K529" s="18" t="n">
        <x:v>73</x:v>
      </x:c>
      <x:c r="L529" s="18" t="str">
        <x:v>Sí</x:v>
      </x:c>
      <x:c r="M529" s="18" t="str">
        <x:v>De acuerdo con el artículo 290 del Tratado de Funcionamiento de la Unión Europea, en relación con los actos delegados:</x:v>
      </x:c>
      <x:c r="N529" s="18" t="str">
        <x:v>La Comisión Europea podrá decidir revocar la delegación.</x:v>
      </x:c>
      <x:c r="O529" s="18" t="str">
        <x:v>EI acto delegado podrá entrar en vigor aunque el Parlamento Europeo o el Consejo hayan formulado objeciones en eI plazo fijado.</x:v>
      </x:c>
      <x:c r="P529" s="18" t="str">
        <x:v>No es obligatorio que en eI título de los actos delegados figure el adjetivo «delegado» o «delegada»</x:v>
      </x:c>
      <x:c r="Q529" s="18" t="str">
        <x:v>Los actos legislativos delimitarán de forma expresa los objetivos, el contenido, el alcance y la duración de la delegación de poderes.</x:v>
      </x:c>
      <x:c r="R529" s="18" t="str">
        <x:v>G11</x:v>
      </x:c>
      <x:c r="S529" s="18" t="n">
        <x:v>11</x:v>
      </x:c>
      <x:c r="T529" s="18" t="str">
        <x:v>Temario general</x:v>
      </x:c>
      <x:c r="U529" s="18" t="str">
        <x:v>Las fuentes del derecho de la Unión Europea. Derecho originario. Derecho derivado: Reglamentos, directivas y decisiones. Otras fuentes. Las relaciones entre el Derecho de la Unión Europea y el ordenamiento jurídico de los Estados miembros.</x:v>
      </x:c>
      <x:c r="V529" s="18" t="str">
        <x:v>G11</x:v>
      </x:c>
      <x:c r="W529" s="18" t="str">
        <x:v>Tratado de Funcionamiento de la Unión Europea</x:v>
      </x:c>
      <x:c r="X529" s="18" t="str">
        <x:v>290</x:v>
      </x:c>
      <x:c r="Y529" s="18" t="str">
        <x:v>Artículos literales</x:v>
      </x:c>
      <x:c r="Z529" s="18" t="str">
        <x:v>Media</x:v>
      </x:c>
      <x:c r="AA529" s="18" t="str">
        <x:v>G11</x:v>
      </x:c>
      <x:c r="AB529" s="18" t="str"/>
      <x:c r="AC529" s="18" t="str"/>
      <x:c r="AD529" s="18" t="str">
        <x:v>No</x:v>
      </x:c>
      <x:c r="AE529" s="18" t="str">
        <x:v>Teórico</x:v>
      </x:c>
      <x:c r="AF529" s="18" t="str">
        <x:v>D</x:v>
      </x:c>
      <x:c r="AG529" s="18" t="str">
        <x:v>D</x:v>
      </x:c>
      <x:c r="AH529" s="18" t="str">
        <x:v>Válida</x:v>
      </x:c>
      <x:c r="AI529" s="18" t="str">
        <x:v>01. Información oficial de la oposición\Exámenes oficiales anteriores\2026 Convocatoria 2025 - Acceso libre Verde A.pdf</x:v>
      </x:c>
      <x:c r="AJ529" s="18" t="str">
        <x:v>https://www.seg-social.es/wps/portal/wss/internet/InformacionUtil/9950/88beb45d-ca83-4bab-8162-f94ef2894562/e0c83707-3358-47a9-94d7-508221dad233</x:v>
      </x:c>
      <x:c r="AK529" s="18" t="str">
        <x:v>OCR Windows es-ES sobre PDF oficial</x:v>
      </x:c>
      <x:c r="AL529" s="18" t="n">
        <x:v>100</x:v>
      </x:c>
      <x:c r="AM529" s="18" t="str">
        <x:v>Alta</x:v>
      </x:c>
      <x:c r="AN529" s="18" t="str">
        <x:v>Regla jurídica determinista</x:v>
      </x:c>
      <x:c r="AO529" s="18" t="str">
        <x:v>2026_conv2025_rojo_A-T73</x:v>
      </x:c>
      <x:c r="AP529" s="18" t="n">
        <x:v>0.9915</x:v>
      </x:c>
    </x:row>
    <x:row r="530">
      <x:c r="A530" s="18" t="str">
        <x:v>2026_conv2025_verde_A-P01</x:v>
      </x:c>
      <x:c r="B530" s="18" t="n">
        <x:v>2026</x:v>
      </x:c>
      <x:c r="C530" s="18" t="n">
        <x:v>2025</x:v>
      </x:c>
      <x:c r="D530" s="28" t="n">
        <x:v>46201</x:v>
      </x:c>
      <x:c r="E530" s="18" t="str">
        <x:v>Acceso libre</x:v>
      </x:c>
      <x:c r="F530" s="18" t="str">
        <x:v>Segunda parte</x:v>
      </x:c>
      <x:c r="G530" s="18" t="str">
        <x:v>Verde A</x:v>
      </x:c>
      <x:c r="H530" s="18" t="str">
        <x:v>Rojo/Verde A/B</x:v>
      </x:c>
      <x:c r="I530" s="18" t="str">
        <x:v>No</x:v>
      </x:c>
      <x:c r="J530" s="18" t="str">
        <x:v>Los colores y modelos reproducen el mismo conjunto de preguntas con orden y/o opciones permutados; Rojo A es la variante canónica para frecuencias y Verde A se conserva como control de cobertura.</x:v>
      </x:c>
      <x:c r="K530" s="18" t="n">
        <x:v>1</x:v>
      </x:c>
      <x:c r="L530" s="18" t="str">
        <x:v>No</x:v>
      </x:c>
      <x:c r="M530" s="18" t="str">
        <x:v>Indique, si de acuerdo con el artículo 29 del Reglamento General sobre inscripción de empresas y afiliación, altas, bajas y variaciones de datos de trabajadores en la Seguridad Social, aprobado por eI Real Decreto 84/1996, de 26 de enero, la empresa tiene que promover la baja de la trabajadora en eI código de cuenta de cotización de la localidad de Las Navas del Marqués y eI alta en eI código de cuenta de cotización de la localidad de Sanchorreja:</x:v>
      </x:c>
      <x:c r="N530" s="18" t="str">
        <x:v>No, únicamente es necesario cuando el nuevo centro de trabajo se encuentre en otra provincia.</x:v>
      </x:c>
      <x:c r="O530" s="18" t="str">
        <x:v>Es indiferente, depende exclusivamente de la voluntad del empresario.</x:v>
      </x:c>
      <x:c r="P530" s="18" t="str">
        <x:v>No, porque el alta es única para la empresa con independencia del lugar donde preste servicios y del código de cuenta de cotización.</x:v>
      </x:c>
      <x:c r="Q530" s="18" t="str">
        <x:v>Si, la empresa debe promover la baja y eI alta de la trabajadora, porque tienen diferente código de cuenta de cotización.</x:v>
      </x:c>
      <x:c r="R530" s="18" t="str">
        <x:v>S03</x:v>
      </x:c>
      <x:c r="S530" s="18" t="n">
        <x:v>3</x:v>
      </x:c>
      <x:c r="T530" s="18" t="str">
        <x:v>Temario específico Seguridad Social</x:v>
      </x:c>
      <x:c r="U530" s="18" t="str">
        <x:v>Normas sobre afiliación. Altas y bajas en el régimen general. Procedimiento y efectos. El convenio especial y otras situaciones asimiladas a la del alta. Encuadramiento e inscripción.</x:v>
      </x:c>
      <x:c r="V530" s="18" t="str">
        <x:v>afiliación</x:v>
      </x:c>
      <x:c r="W530" s="18" t="str">
        <x:v>Real Decreto 84/1996</x:v>
      </x:c>
      <x:c r="X530" s="18" t="str">
        <x:v>29</x:v>
      </x:c>
      <x:c r="Y530" s="18" t="str">
        <x:v>Afiliación, altas y bajas</x:v>
      </x:c>
      <x:c r="Z530" s="18" t="str">
        <x:v>Alta</x:v>
      </x:c>
      <x:c r="AA530" s="18" t="str">
        <x:v>afiliación</x:v>
      </x:c>
      <x:c r="AB530" s="18" t="str"/>
      <x:c r="AC530" s="18" t="str"/>
      <x:c r="AD530" s="18" t="str">
        <x:v>No</x:v>
      </x:c>
      <x:c r="AE530" s="18" t="str">
        <x:v>Práctico</x:v>
      </x:c>
      <x:c r="AF530" s="18" t="str">
        <x:v>D</x:v>
      </x:c>
      <x:c r="AG530" s="18" t="str">
        <x:v>D</x:v>
      </x:c>
      <x:c r="AH530" s="18" t="str">
        <x:v>Válida</x:v>
      </x:c>
      <x:c r="AI530" s="18" t="str">
        <x:v>01. Información oficial de la oposición\Exámenes oficiales anteriores\2026 Convocatoria 2025 - Acceso libre Verde A.pdf</x:v>
      </x:c>
      <x:c r="AJ530" s="18" t="str">
        <x:v>https://www.seg-social.es/wps/portal/wss/internet/InformacionUtil/9950/88beb45d-ca83-4bab-8162-f94ef2894562/e0c83707-3358-47a9-94d7-508221dad233</x:v>
      </x:c>
      <x:c r="AK530" s="18" t="str">
        <x:v>OCR Windows es-ES sobre PDF oficial</x:v>
      </x:c>
      <x:c r="AL530" s="18" t="n">
        <x:v>100</x:v>
      </x:c>
      <x:c r="AM530" s="18" t="str">
        <x:v>Alta</x:v>
      </x:c>
      <x:c r="AN530" s="18" t="str">
        <x:v>Regla jurídica determinista</x:v>
      </x:c>
      <x:c r="AO530" s="18" t="str">
        <x:v>2026_conv2025_rojo_A-P01</x:v>
      </x:c>
      <x:c r="AP530" s="18" t="n">
        <x:v>0.9667</x:v>
      </x:c>
    </x:row>
    <x:row r="531">
      <x:c r="A531" s="18" t="str">
        <x:v>2026_conv2025_verde_A-P02</x:v>
      </x:c>
      <x:c r="B531" s="18" t="n">
        <x:v>2026</x:v>
      </x:c>
      <x:c r="C531" s="18" t="n">
        <x:v>2025</x:v>
      </x:c>
      <x:c r="D531" s="28" t="n">
        <x:v>46201</x:v>
      </x:c>
      <x:c r="E531" s="18" t="str">
        <x:v>Acceso libre</x:v>
      </x:c>
      <x:c r="F531" s="18" t="str">
        <x:v>Segunda parte</x:v>
      </x:c>
      <x:c r="G531" s="18" t="str">
        <x:v>Verde A</x:v>
      </x:c>
      <x:c r="H531" s="18" t="str">
        <x:v>Rojo/Verde A/B</x:v>
      </x:c>
      <x:c r="I531" s="18" t="str">
        <x:v>No</x:v>
      </x:c>
      <x:c r="J531" s="18" t="str">
        <x:v>Los colores y modelos reproducen el mismo conjunto de preguntas con orden y/o opciones permutados; Rojo A es la variante canónica para frecuencias y Verde A se conserva como control de cobertura.</x:v>
      </x:c>
      <x:c r="K531" s="18" t="n">
        <x:v>2</x:v>
      </x:c>
      <x:c r="L531" s="18" t="str">
        <x:v>No</x:v>
      </x:c>
      <x:c r="M531" s="18" t="str">
        <x:v>Determine si la empresa tiene que comunicar la baja en el Régimen General de la Seguridad Social de Dña. Juliana Suárez cuando es operada de urgencia:</x:v>
      </x:c>
      <x:c r="N531" s="18" t="str">
        <x:v>No, la trabajadora continúa en la situación de alta en la empresa.</x:v>
      </x:c>
      <x:c r="O531" s="18" t="str">
        <x:v>No, la baja en eI Régimen General 10 debe comunicar la entidad gestora o la mutua colaboradora en el plazo de tres días naturales a la baja médica.</x:v>
      </x:c>
      <x:c r="P531" s="18" t="str">
        <x:v>Sí, la empresa tiene que comunicar la baja en el Régimen General en el plazo de los tres días naturales siguientes al cese en el trabajo.</x:v>
      </x:c>
      <x:c r="Q531" s="18" t="str">
        <x:v>Sí, la empresa debe de comunicar la baja en eI Régimen General en el plazo de tres días hábiles siguientes al cese en eI trabajo. EI trabajador Mario de la Vega de la empresa "Tesifonte Ovejero, S.L.", que presta servicios en el centro de trabajo de la localidad Sanchorreja de la provincia de Ávila, se desplaza varias veces al mes para prestar servicios en el centro de trabajo de la localidad de Las Navas del Marqués que se encuentra en la misma provincia. Para realizar estos desplazamientos utiliza el trasporte público disponiendo de la correspondiente factura.</x:v>
      </x:c>
      <x:c r="R531" s="18" t="str">
        <x:v>S03</x:v>
      </x:c>
      <x:c r="S531" s="18" t="n">
        <x:v>3</x:v>
      </x:c>
      <x:c r="T531" s="18" t="str">
        <x:v>Temario específico Seguridad Social</x:v>
      </x:c>
      <x:c r="U531" s="18" t="str">
        <x:v>Normas sobre afiliación. Altas y bajas en el régimen general. Procedimiento y efectos. El convenio especial y otras situaciones asimiladas a la del alta. Encuadramiento e inscripción.</x:v>
      </x:c>
      <x:c r="V531" s="18" t="str">
        <x:v>baja</x:v>
      </x:c>
      <x:c r="W531" s="18" t="str"/>
      <x:c r="X531" s="18" t="str"/>
      <x:c r="Y531" s="18" t="str">
        <x:v>Afiliación, altas y bajas</x:v>
      </x:c>
      <x:c r="Z531" s="18" t="str">
        <x:v>Media</x:v>
      </x:c>
      <x:c r="AA531" s="18" t="str">
        <x:v>baja</x:v>
      </x:c>
      <x:c r="AB531" s="18" t="str"/>
      <x:c r="AC531" s="18" t="str"/>
      <x:c r="AD531" s="18" t="str">
        <x:v>No</x:v>
      </x:c>
      <x:c r="AE531" s="18" t="str">
        <x:v>Práctico</x:v>
      </x:c>
      <x:c r="AF531" s="18" t="str">
        <x:v>A</x:v>
      </x:c>
      <x:c r="AG531" s="18" t="str">
        <x:v>A</x:v>
      </x:c>
      <x:c r="AH531" s="18" t="str">
        <x:v>Válida</x:v>
      </x:c>
      <x:c r="AI531" s="18" t="str">
        <x:v>01. Información oficial de la oposición\Exámenes oficiales anteriores\2026 Convocatoria 2025 - Acceso libre Verde A.pdf</x:v>
      </x:c>
      <x:c r="AJ531" s="18" t="str">
        <x:v>https://www.seg-social.es/wps/portal/wss/internet/InformacionUtil/9950/88beb45d-ca83-4bab-8162-f94ef2894562/e0c83707-3358-47a9-94d7-508221dad233</x:v>
      </x:c>
      <x:c r="AK531" s="18" t="str">
        <x:v>OCR Windows es-ES sobre PDF oficial</x:v>
      </x:c>
      <x:c r="AL531" s="18" t="n">
        <x:v>100</x:v>
      </x:c>
      <x:c r="AM531" s="18" t="str">
        <x:v>Alta</x:v>
      </x:c>
      <x:c r="AN531" s="18" t="str">
        <x:v>Revisión jurídica individual</x:v>
      </x:c>
      <x:c r="AO531" s="18" t="str">
        <x:v>2026_conv2025_rojo_A-P02</x:v>
      </x:c>
      <x:c r="AP531" s="18" t="n">
        <x:v>0.9933</x:v>
      </x:c>
    </x:row>
    <x:row r="532">
      <x:c r="A532" s="18" t="str">
        <x:v>2026_conv2025_verde_A-P03</x:v>
      </x:c>
      <x:c r="B532" s="18" t="n">
        <x:v>2026</x:v>
      </x:c>
      <x:c r="C532" s="18" t="n">
        <x:v>2025</x:v>
      </x:c>
      <x:c r="D532" s="28" t="n">
        <x:v>46201</x:v>
      </x:c>
      <x:c r="E532" s="18" t="str">
        <x:v>Acceso libre</x:v>
      </x:c>
      <x:c r="F532" s="18" t="str">
        <x:v>Segunda parte</x:v>
      </x:c>
      <x:c r="G532" s="18" t="str">
        <x:v>Verde A</x:v>
      </x:c>
      <x:c r="H532" s="18" t="str">
        <x:v>Rojo/Verde A/B</x:v>
      </x:c>
      <x:c r="I532" s="18" t="str">
        <x:v>No</x:v>
      </x:c>
      <x:c r="J532" s="18" t="str">
        <x:v>Los colores y modelos reproducen el mismo conjunto de preguntas con orden y/o opciones permutados; Rojo A es la variante canónica para frecuencias y Verde A se conserva como control de cobertura.</x:v>
      </x:c>
      <x:c r="K532" s="18" t="n">
        <x:v>3</x:v>
      </x:c>
      <x:c r="L532" s="18" t="str">
        <x:v>No</x:v>
      </x:c>
      <x:c r="M532" s="18" t="str">
        <x:v>Señale si los importes abonados por la empresa al trabajador Mario de la Vega para resarcirle por estos desplazamientos, previa presentación de la factura, se tienen que integrar en la base de cotización:</x:v>
      </x:c>
      <x:c r="N532" s="18" t="str">
        <x:v>Forman parte de la base de cotización, porque se incluyen todas las percepciones abonadas por la empresa.</x:v>
      </x:c>
      <x:c r="O532" s="18" t="str">
        <x:v>Forman parte de la base de cotización, por ser desplazamientos en transporte público y con factura.</x:v>
      </x:c>
      <x:c r="P532" s="18" t="str">
        <x:v>No forman parte de la base de cotización, por ser desplazamientos en transporte público y con factura.</x:v>
      </x:c>
      <x:c r="Q532" s="18" t="str">
        <x:v>No forman parte de la base de cotización, porque todas las indemnizaciones por transporte están excluidas. La empresa "Tesifonte Ovejero, S.L.", el día 23 de mayo de 2026 ha solicitado a la Tesorería General de la Seguridad Social eI cálculo de la liquidación de cuotas correspondientes al mes anterior, pero la liquidación no puede practicarse porque los datos son insuficientes.</x:v>
      </x:c>
      <x:c r="R532" s="18" t="str">
        <x:v>S04</x:v>
      </x:c>
      <x:c r="S532" s="18" t="n">
        <x:v>4</x:v>
      </x:c>
      <x:c r="T532" s="18" t="str">
        <x:v>Temario específico Seguridad Social</x:v>
      </x:c>
      <x:c r="U532" s="18" t="str">
        <x:v>La cotización a la Seguridad Social: normas comunes del sistema. La liquidación de cuotas. El régimen general de la Seguridad Social. Supuestos especiales. Bases y tipos de cotización. Liquidación de otras deudas.</x:v>
      </x:c>
      <x:c r="V532" s="18" t="str">
        <x:v>base de cotización</x:v>
      </x:c>
      <x:c r="W532" s="18" t="str"/>
      <x:c r="X532" s="18" t="str"/>
      <x:c r="Y532" s="18" t="str">
        <x:v>Cálculos</x:v>
      </x:c>
      <x:c r="Z532" s="18" t="str">
        <x:v>Media</x:v>
      </x:c>
      <x:c r="AA532" s="18" t="str">
        <x:v>base de cotización</x:v>
      </x:c>
      <x:c r="AB532" s="18" t="str"/>
      <x:c r="AC532" s="18" t="str"/>
      <x:c r="AD532" s="18" t="str">
        <x:v>No</x:v>
      </x:c>
      <x:c r="AE532" s="18" t="str">
        <x:v>Práctico</x:v>
      </x:c>
      <x:c r="AF532" s="18" t="str">
        <x:v>C</x:v>
      </x:c>
      <x:c r="AG532" s="18" t="str">
        <x:v>C</x:v>
      </x:c>
      <x:c r="AH532" s="18" t="str">
        <x:v>Válida</x:v>
      </x:c>
      <x:c r="AI532" s="18" t="str">
        <x:v>01. Información oficial de la oposición\Exámenes oficiales anteriores\2026 Convocatoria 2025 - Acceso libre Verde A.pdf</x:v>
      </x:c>
      <x:c r="AJ532" s="18" t="str">
        <x:v>https://www.seg-social.es/wps/portal/wss/internet/InformacionUtil/9950/88beb45d-ca83-4bab-8162-f94ef2894562/e0c83707-3358-47a9-94d7-508221dad233</x:v>
      </x:c>
      <x:c r="AK532" s="18" t="str">
        <x:v>OCR Windows es-ES sobre PDF oficial</x:v>
      </x:c>
      <x:c r="AL532" s="18" t="n">
        <x:v>100</x:v>
      </x:c>
      <x:c r="AM532" s="18" t="str">
        <x:v>Alta</x:v>
      </x:c>
      <x:c r="AN532" s="18" t="str">
        <x:v>Regla jurídica determinista</x:v>
      </x:c>
      <x:c r="AO532" s="18" t="str">
        <x:v>2026_conv2025_rojo_A-P03</x:v>
      </x:c>
      <x:c r="AP532" s="18" t="n">
        <x:v>1</x:v>
      </x:c>
    </x:row>
    <x:row r="533">
      <x:c r="A533" s="18" t="str">
        <x:v>2026_conv2025_verde_A-P04</x:v>
      </x:c>
      <x:c r="B533" s="18" t="n">
        <x:v>2026</x:v>
      </x:c>
      <x:c r="C533" s="18" t="n">
        <x:v>2025</x:v>
      </x:c>
      <x:c r="D533" s="28" t="n">
        <x:v>46201</x:v>
      </x:c>
      <x:c r="E533" s="18" t="str">
        <x:v>Acceso libre</x:v>
      </x:c>
      <x:c r="F533" s="18" t="str">
        <x:v>Segunda parte</x:v>
      </x:c>
      <x:c r="G533" s="18" t="str">
        <x:v>Verde A</x:v>
      </x:c>
      <x:c r="H533" s="18" t="str">
        <x:v>Rojo/Verde A/B</x:v>
      </x:c>
      <x:c r="I533" s="18" t="str">
        <x:v>No</x:v>
      </x:c>
      <x:c r="J533" s="18" t="str">
        <x:v>Los colores y modelos reproducen el mismo conjunto de preguntas con orden y/o opciones permutados; Rojo A es la variante canónica para frecuencias y Verde A se conserva como control de cobertura.</x:v>
      </x:c>
      <x:c r="K533" s="18" t="n">
        <x:v>4</x:v>
      </x:c>
      <x:c r="L533" s="18" t="str">
        <x:v>No</x:v>
      </x:c>
      <x:c r="M533" s="18" t="str">
        <x:v>Determine eI plazo máximo que tiene la Tesorería General de la Seguridad Social para informar a la empresa "Tesifonte Ovejero, S.L." de la causa que impide eI cálculo, tal y como establece eI artículo 18 del Reglamento General sobre cotización y liquidación de otros derechos de la Seguridad Social, aprobado por Real Decreto 2064/1995, de 22 de diciembre:</x:v>
      </x:c>
      <x:c r="N533" s="18" t="str">
        <x:v>La Tesorería General de la Seguridad Social tiene dos días hábiles a contar desde la aportación.</x:v>
      </x:c>
      <x:c r="O533" s="18" t="str">
        <x:v>La Tesorería General de la Seguridad Social tiene dos días naturales a contar desde la aportación.</x:v>
      </x:c>
      <x:c r="P533" s="18" t="str">
        <x:v>Dispone de 72 horas a contar desde la aportación.</x:v>
      </x:c>
      <x:c r="Q533" s="18" t="str">
        <x:v>Dispone de 48 horas a contar desde la aportación.</x:v>
      </x:c>
      <x:c r="R533" s="18" t="str">
        <x:v>S04</x:v>
      </x:c>
      <x:c r="S533" s="18" t="n">
        <x:v>4</x:v>
      </x:c>
      <x:c r="T533" s="18" t="str">
        <x:v>Temario específico Seguridad Social</x:v>
      </x:c>
      <x:c r="U533" s="18" t="str">
        <x:v>La cotización a la Seguridad Social: normas comunes del sistema. La liquidación de cuotas. El régimen general de la Seguridad Social. Supuestos especiales. Bases y tipos de cotización. Liquidación de otras deudas.</x:v>
      </x:c>
      <x:c r="V533" s="18" t="str">
        <x:v>S04</x:v>
      </x:c>
      <x:c r="W533" s="18" t="str">
        <x:v>Real Decreto 2064/1995</x:v>
      </x:c>
      <x:c r="X533" s="18" t="str">
        <x:v>18</x:v>
      </x:c>
      <x:c r="Y533" s="18" t="str">
        <x:v>Plazos</x:v>
      </x:c>
      <x:c r="Z533" s="18" t="str">
        <x:v>Alta</x:v>
      </x:c>
      <x:c r="AA533" s="18" t="str">
        <x:v>S04</x:v>
      </x:c>
      <x:c r="AB533" s="18" t="str">
        <x:v>Tesorería General de la Seguridad Social</x:v>
      </x:c>
      <x:c r="AC533" s="18" t="str"/>
      <x:c r="AD533" s="18" t="str">
        <x:v>No</x:v>
      </x:c>
      <x:c r="AE533" s="18" t="str">
        <x:v>Práctico</x:v>
      </x:c>
      <x:c r="AF533" s="18" t="str">
        <x:v>D</x:v>
      </x:c>
      <x:c r="AG533" s="18" t="str">
        <x:v>D</x:v>
      </x:c>
      <x:c r="AH533" s="18" t="str">
        <x:v>Válida</x:v>
      </x:c>
      <x:c r="AI533" s="18" t="str">
        <x:v>01. Información oficial de la oposición\Exámenes oficiales anteriores\2026 Convocatoria 2025 - Acceso libre Verde A.pdf</x:v>
      </x:c>
      <x:c r="AJ533" s="18" t="str">
        <x:v>https://www.seg-social.es/wps/portal/wss/internet/InformacionUtil/9950/88beb45d-ca83-4bab-8162-f94ef2894562/e0c83707-3358-47a9-94d7-508221dad233</x:v>
      </x:c>
      <x:c r="AK533" s="18" t="str">
        <x:v>OCR Windows es-ES sobre PDF oficial</x:v>
      </x:c>
      <x:c r="AL533" s="18" t="n">
        <x:v>100</x:v>
      </x:c>
      <x:c r="AM533" s="18" t="str">
        <x:v>Alta</x:v>
      </x:c>
      <x:c r="AN533" s="18" t="str">
        <x:v>Regla jurídica determinista</x:v>
      </x:c>
      <x:c r="AO533" s="18" t="str">
        <x:v>2026_conv2025_rojo_A-P04</x:v>
      </x:c>
      <x:c r="AP533" s="18" t="n">
        <x:v>0.9944</x:v>
      </x:c>
    </x:row>
    <x:row r="534">
      <x:c r="A534" s="18" t="str">
        <x:v>2026_conv2025_verde_A-P05</x:v>
      </x:c>
      <x:c r="B534" s="18" t="n">
        <x:v>2026</x:v>
      </x:c>
      <x:c r="C534" s="18" t="n">
        <x:v>2025</x:v>
      </x:c>
      <x:c r="D534" s="28" t="n">
        <x:v>46201</x:v>
      </x:c>
      <x:c r="E534" s="18" t="str">
        <x:v>Acceso libre</x:v>
      </x:c>
      <x:c r="F534" s="18" t="str">
        <x:v>Segunda parte</x:v>
      </x:c>
      <x:c r="G534" s="18" t="str">
        <x:v>Verde A</x:v>
      </x:c>
      <x:c r="H534" s="18" t="str">
        <x:v>Rojo/Verde A/B</x:v>
      </x:c>
      <x:c r="I534" s="18" t="str">
        <x:v>No</x:v>
      </x:c>
      <x:c r="J534" s="18" t="str">
        <x:v>Los colores y modelos reproducen el mismo conjunto de preguntas con orden y/o opciones permutados; Rojo A es la variante canónica para frecuencias y Verde A se conserva como control de cobertura.</x:v>
      </x:c>
      <x:c r="K534" s="18" t="n">
        <x:v>5</x:v>
      </x:c>
      <x:c r="L534" s="18" t="str">
        <x:v>No</x:v>
      </x:c>
      <x:c r="M534" s="18" t="str">
        <x:v>Teniendo en cuenta que eI día 31 de mayo de 2026 fue domingo, indique hasta qué día puede la empresa "Tesifonte Ovejero, S.L." solicitar la práctica de la liquidación de las cuotas de la Seguridad Social del mes de abril de 2026 correspondiente a aquellos trabajadores cuyos datos permiten el cálculo:</x:v>
      </x:c>
      <x:c r="N534" s="18" t="str">
        <x:v>Hasta el día 29 de mayo.</x:v>
      </x:c>
      <x:c r="O534" s="18" t="str">
        <x:v>Hasta eI día 30 de mayo.</x:v>
      </x:c>
      <x:c r="P534" s="18" t="str">
        <x:v>Hasta eI día 31 de mayo.</x:v>
      </x:c>
      <x:c r="Q534" s="18" t="str">
        <x:v>Hasta el día I de junio. EI trabajador Ventura Aguado de la empresa "Tesifonte Ovejero, S.L. " sufrió el día 5 de marzo de 2025 un accidente, por eI cual perdió varios dedos de la mano izquierda. Como consecuencia de esta pérdida fue declarado en una situación de incapacidad permanente parcial, percibiendo una prestación de 24.000 euros. Mediante resolución de la Dirección Provincial del Instituto Nacional de la Seguridad Social de 17 de noviembre de 2025, se declaró a la empresa responsable de un recargo del 50% sobre las prestaciones, al amparo de 10 establecido en el artículo 164 del texto refundido de la Ley General de la Seguridad Social, aprobado por Real Decreto Legislativo 8/2015, de 30 de octubre. La resolución firme fue remitida a la Tesorería General de la Seguridad Social eI día 11 de febrero de 2026, que emitió la correspondiente reclamación al día siguiente y fue recibida por la empresa el día 16 de febrero.</x:v>
      </x:c>
      <x:c r="R534" s="18" t="str">
        <x:v>S04</x:v>
      </x:c>
      <x:c r="S534" s="18" t="n">
        <x:v>4</x:v>
      </x:c>
      <x:c r="T534" s="18" t="str">
        <x:v>Temario específico Seguridad Social</x:v>
      </x:c>
      <x:c r="U534" s="18" t="str">
        <x:v>La cotización a la Seguridad Social: normas comunes del sistema. La liquidación de cuotas. El régimen general de la Seguridad Social. Supuestos especiales. Bases y tipos de cotización. Liquidación de otras deudas.</x:v>
      </x:c>
      <x:c r="V534" s="18" t="str">
        <x:v>S04</x:v>
      </x:c>
      <x:c r="W534" s="18" t="str"/>
      <x:c r="X534" s="18" t="str"/>
      <x:c r="Y534" s="18" t="str">
        <x:v>Plazos</x:v>
      </x:c>
      <x:c r="Z534" s="18" t="str">
        <x:v>Alta</x:v>
      </x:c>
      <x:c r="AA534" s="18" t="str">
        <x:v>S04</x:v>
      </x:c>
      <x:c r="AB534" s="18" t="str"/>
      <x:c r="AC534" s="18" t="str"/>
      <x:c r="AD534" s="18" t="str">
        <x:v>No</x:v>
      </x:c>
      <x:c r="AE534" s="18" t="str">
        <x:v>Práctico</x:v>
      </x:c>
      <x:c r="AF534" s="18" t="str">
        <x:v>B</x:v>
      </x:c>
      <x:c r="AG534" s="18" t="str">
        <x:v>B</x:v>
      </x:c>
      <x:c r="AH534" s="18" t="str">
        <x:v>Válida</x:v>
      </x:c>
      <x:c r="AI534" s="18" t="str">
        <x:v>01. Información oficial de la oposición\Exámenes oficiales anteriores\2026 Convocatoria 2025 - Acceso libre Verde A.pdf</x:v>
      </x:c>
      <x:c r="AJ534" s="18" t="str">
        <x:v>https://www.seg-social.es/wps/portal/wss/internet/InformacionUtil/9950/88beb45d-ca83-4bab-8162-f94ef2894562/e0c83707-3358-47a9-94d7-508221dad233</x:v>
      </x:c>
      <x:c r="AK534" s="18" t="str">
        <x:v>OCR Windows es-ES sobre PDF oficial</x:v>
      </x:c>
      <x:c r="AL534" s="18" t="n">
        <x:v>100</x:v>
      </x:c>
      <x:c r="AM534" s="18" t="str">
        <x:v>Alta</x:v>
      </x:c>
      <x:c r="AN534" s="18" t="str">
        <x:v>Revisión jurídica individual</x:v>
      </x:c>
      <x:c r="AO534" s="18" t="str">
        <x:v>2026_conv2025_rojo_A-P05</x:v>
      </x:c>
      <x:c r="AP534" s="18" t="n">
        <x:v>0.9917</x:v>
      </x:c>
    </x:row>
    <x:row r="535">
      <x:c r="A535" s="18" t="str">
        <x:v>2026_conv2025_verde_A-P06</x:v>
      </x:c>
      <x:c r="B535" s="18" t="n">
        <x:v>2026</x:v>
      </x:c>
      <x:c r="C535" s="18" t="n">
        <x:v>2025</x:v>
      </x:c>
      <x:c r="D535" s="28" t="n">
        <x:v>46201</x:v>
      </x:c>
      <x:c r="E535" s="18" t="str">
        <x:v>Acceso libre</x:v>
      </x:c>
      <x:c r="F535" s="18" t="str">
        <x:v>Segunda parte</x:v>
      </x:c>
      <x:c r="G535" s="18" t="str">
        <x:v>Verde A</x:v>
      </x:c>
      <x:c r="H535" s="18" t="str">
        <x:v>Rojo/Verde A/B</x:v>
      </x:c>
      <x:c r="I535" s="18" t="str">
        <x:v>No</x:v>
      </x:c>
      <x:c r="J535" s="18" t="str">
        <x:v>Los colores y modelos reproducen el mismo conjunto de preguntas con orden y/o opciones permutados; Rojo A es la variante canónica para frecuencias y Verde A se conserva como control de cobertura.</x:v>
      </x:c>
      <x:c r="K535" s="18" t="n">
        <x:v>6</x:v>
      </x:c>
      <x:c r="L535" s="18" t="str">
        <x:v>No</x:v>
      </x:c>
      <x:c r="M535" s="18" t="str">
        <x:v>Remitida la resolución firme de la entidad gestora a la Tesorería General de la Seguridad Social, determine el importe a reclamar a la empresa por la Tesorería General de la Seguridad Social al amparo del artículo 75 del Reglamento General de Recaudación de la Seguridad Social, aprobado por Real Decreto 1415/2004, de 11 de junio:</x:v>
      </x:c>
      <x:c r="N535" s="18" t="str">
        <x:v>12.000 euros.</x:v>
      </x:c>
      <x:c r="O535" s="18" t="str">
        <x:v>24.000 euros.</x:v>
      </x:c>
      <x:c r="P535" s="18" t="str">
        <x:v>36.000 euros.</x:v>
      </x:c>
      <x:c r="Q535" s="18" t="str">
        <x:v>30.000 euros.</x:v>
      </x:c>
      <x:c r="R535" s="18" t="str">
        <x:v>S05</x:v>
      </x:c>
      <x:c r="S535" s="18" t="n">
        <x:v>5</x:v>
      </x:c>
      <x:c r="T535" s="18" t="str">
        <x:v>Temario específico Seguridad Social</x:v>
      </x:c>
      <x:c r="U535" s="18" t="str">
        <x:v>La gestión recaudatoria: concepto, competencia y objeto. Responsables del pago. Requisitos para el pago. Medios de pago. Control de recaudación. Revisión de los actos de gestión recaudatoria. La recaudación en periodo voluntario. Efectos de la falta de cotización en período reglamentario. Recaudación de otros recursos. Aplazamientos. Devolución de ingresos indebidos. Capital coste de pensiones.</x:v>
      </x:c>
      <x:c r="V535" s="18" t="str">
        <x:v>S05</x:v>
      </x:c>
      <x:c r="W535" s="18" t="str">
        <x:v>Real Decreto 1415/2004</x:v>
      </x:c>
      <x:c r="X535" s="18" t="str">
        <x:v>75</x:v>
      </x:c>
      <x:c r="Y535" s="18" t="str">
        <x:v>Cálculos</x:v>
      </x:c>
      <x:c r="Z535" s="18" t="str">
        <x:v>Alta</x:v>
      </x:c>
      <x:c r="AA535" s="18" t="str">
        <x:v>S05</x:v>
      </x:c>
      <x:c r="AB535" s="18" t="str">
        <x:v>Tesorería General de la Seguridad Social</x:v>
      </x:c>
      <x:c r="AC535" s="18" t="str"/>
      <x:c r="AD535" s="18" t="str">
        <x:v>No</x:v>
      </x:c>
      <x:c r="AE535" s="18" t="str">
        <x:v>Práctico</x:v>
      </x:c>
      <x:c r="AF535" s="18" t="str">
        <x:v>A</x:v>
      </x:c>
      <x:c r="AG535" s="18" t="str">
        <x:v>A</x:v>
      </x:c>
      <x:c r="AH535" s="18" t="str">
        <x:v>Válida</x:v>
      </x:c>
      <x:c r="AI535" s="18" t="str">
        <x:v>01. Información oficial de la oposición\Exámenes oficiales anteriores\2026 Convocatoria 2025 - Acceso libre Verde A.pdf</x:v>
      </x:c>
      <x:c r="AJ535" s="18" t="str">
        <x:v>https://www.seg-social.es/wps/portal/wss/internet/InformacionUtil/9950/88beb45d-ca83-4bab-8162-f94ef2894562/e0c83707-3358-47a9-94d7-508221dad233</x:v>
      </x:c>
      <x:c r="AK535" s="18" t="str">
        <x:v>OCR Windows es-ES sobre PDF oficial</x:v>
      </x:c>
      <x:c r="AL535" s="18" t="n">
        <x:v>100</x:v>
      </x:c>
      <x:c r="AM535" s="18" t="str">
        <x:v>Alta</x:v>
      </x:c>
      <x:c r="AN535" s="18" t="str">
        <x:v>Regla jurídica determinista</x:v>
      </x:c>
      <x:c r="AO535" s="18" t="str">
        <x:v>2026_conv2025_rojo_A-P06</x:v>
      </x:c>
      <x:c r="AP535" s="18" t="n">
        <x:v>0.994</x:v>
      </x:c>
    </x:row>
    <x:row r="536">
      <x:c r="A536" s="18" t="str">
        <x:v>2026_conv2025_verde_A-P07</x:v>
      </x:c>
      <x:c r="B536" s="18" t="n">
        <x:v>2026</x:v>
      </x:c>
      <x:c r="C536" s="18" t="n">
        <x:v>2025</x:v>
      </x:c>
      <x:c r="D536" s="28" t="n">
        <x:v>46201</x:v>
      </x:c>
      <x:c r="E536" s="18" t="str">
        <x:v>Acceso libre</x:v>
      </x:c>
      <x:c r="F536" s="18" t="str">
        <x:v>Segunda parte</x:v>
      </x:c>
      <x:c r="G536" s="18" t="str">
        <x:v>Verde A</x:v>
      </x:c>
      <x:c r="H536" s="18" t="str">
        <x:v>Rojo/Verde A/B</x:v>
      </x:c>
      <x:c r="I536" s="18" t="str">
        <x:v>No</x:v>
      </x:c>
      <x:c r="J536" s="18" t="str">
        <x:v>Los colores y modelos reproducen el mismo conjunto de preguntas con orden y/o opciones permutados; Rojo A es la variante canónica para frecuencias y Verde A se conserva como control de cobertura.</x:v>
      </x:c>
      <x:c r="K536" s="18" t="n">
        <x:v>7</x:v>
      </x:c>
      <x:c r="L536" s="18" t="str">
        <x:v>No</x:v>
      </x:c>
      <x:c r="M536" s="18" t="str">
        <x:v>Indique cuándo finaliza eI plazo reglamentario de ingreso de la reclamación de deuda emitida a la empresa "Tesifonte Ovejero, S.L." para recaudar eI recargo sobre la prestación determinado por la resolución de la Dirección Provincial del Instituto Nacional de la Seguridad Social de 17 de noviembre de 2025:</x:v>
      </x:c>
      <x:c r="N536" s="18" t="str">
        <x:v>EI día 31 de enero de 2026.</x:v>
      </x:c>
      <x:c r="O536" s="18" t="str">
        <x:v>EI dia 20 de marzo de 2026.</x:v>
      </x:c>
      <x:c r="P536" s="18" t="str">
        <x:v>EI día 31 de marzo de 2026.</x:v>
      </x:c>
      <x:c r="Q536" s="18" t="str">
        <x:v>EI día 5 de abril de 2026. Ante la falta de pago en eI plazo reglamentario de ingreso de la reclamación de deuda emitida para reclamar el recargo sobre la prestación impuesta por la resolución de la Dirección Provincial del Instituto Nacional de la Seguridad Social de 1 7 de noviembre de 2025, se emite la correspondiente providencia de apremio, que es recibida por la empresa eI día 24 de abril de 2026. La empresa "Tesifonte Ovejero, S.L." para abonar la deuda solicita un aplazamiento.</x:v>
      </x:c>
      <x:c r="R536" s="18" t="str">
        <x:v>S05</x:v>
      </x:c>
      <x:c r="S536" s="18" t="n">
        <x:v>5</x:v>
      </x:c>
      <x:c r="T536" s="18" t="str">
        <x:v>Temario específico Seguridad Social</x:v>
      </x:c>
      <x:c r="U536" s="18" t="str">
        <x:v>La gestión recaudatoria: concepto, competencia y objeto. Responsables del pago. Requisitos para el pago. Medios de pago. Control de recaudación. Revisión de los actos de gestión recaudatoria. La recaudación en periodo voluntario. Efectos de la falta de cotización en período reglamentario. Recaudación de otros recursos. Aplazamientos. Devolución de ingresos indebidos. Capital coste de pensiones.</x:v>
      </x:c>
      <x:c r="V536" s="18" t="str">
        <x:v>S05</x:v>
      </x:c>
      <x:c r="W536" s="18" t="str"/>
      <x:c r="X536" s="18" t="str"/>
      <x:c r="Y536" s="18" t="str">
        <x:v>Plazos</x:v>
      </x:c>
      <x:c r="Z536" s="18" t="str">
        <x:v>Alta</x:v>
      </x:c>
      <x:c r="AA536" s="18" t="str">
        <x:v>S05</x:v>
      </x:c>
      <x:c r="AB536" s="18" t="str">
        <x:v>Instituto Nacional de la Seguridad Social</x:v>
      </x:c>
      <x:c r="AC536" s="18" t="str"/>
      <x:c r="AD536" s="18" t="str">
        <x:v>No</x:v>
      </x:c>
      <x:c r="AE536" s="18" t="str">
        <x:v>Práctico</x:v>
      </x:c>
      <x:c r="AF536" s="18" t="str">
        <x:v>C</x:v>
      </x:c>
      <x:c r="AG536" s="18" t="str">
        <x:v>C</x:v>
      </x:c>
      <x:c r="AH536" s="18" t="str">
        <x:v>Válida</x:v>
      </x:c>
      <x:c r="AI536" s="18" t="str">
        <x:v>01. Información oficial de la oposición\Exámenes oficiales anteriores\2026 Convocatoria 2025 - Acceso libre Verde A.pdf</x:v>
      </x:c>
      <x:c r="AJ536" s="18" t="str">
        <x:v>https://www.seg-social.es/wps/portal/wss/internet/InformacionUtil/9950/88beb45d-ca83-4bab-8162-f94ef2894562/e0c83707-3358-47a9-94d7-508221dad233</x:v>
      </x:c>
      <x:c r="AK536" s="18" t="str">
        <x:v>OCR Windows es-ES sobre PDF oficial</x:v>
      </x:c>
      <x:c r="AL536" s="18" t="n">
        <x:v>100</x:v>
      </x:c>
      <x:c r="AM536" s="18" t="str">
        <x:v>Alta</x:v>
      </x:c>
      <x:c r="AN536" s="18" t="str">
        <x:v>Regla jurídica determinista</x:v>
      </x:c>
      <x:c r="AO536" s="18" t="str">
        <x:v>2026_conv2025_rojo_A-P07</x:v>
      </x:c>
      <x:c r="AP536" s="18" t="n">
        <x:v>1</x:v>
      </x:c>
    </x:row>
    <x:row r="537">
      <x:c r="A537" s="18" t="str">
        <x:v>2026_conv2025_verde_A-P08</x:v>
      </x:c>
      <x:c r="B537" s="18" t="n">
        <x:v>2026</x:v>
      </x:c>
      <x:c r="C537" s="18" t="n">
        <x:v>2025</x:v>
      </x:c>
      <x:c r="D537" s="28" t="n">
        <x:v>46201</x:v>
      </x:c>
      <x:c r="E537" s="18" t="str">
        <x:v>Acceso libre</x:v>
      </x:c>
      <x:c r="F537" s="18" t="str">
        <x:v>Segunda parte</x:v>
      </x:c>
      <x:c r="G537" s="18" t="str">
        <x:v>Verde A</x:v>
      </x:c>
      <x:c r="H537" s="18" t="str">
        <x:v>Rojo/Verde A/B</x:v>
      </x:c>
      <x:c r="I537" s="18" t="str">
        <x:v>No</x:v>
      </x:c>
      <x:c r="J537" s="18" t="str">
        <x:v>Los colores y modelos reproducen el mismo conjunto de preguntas con orden y/o opciones permutados; Rojo A es la variante canónica para frecuencias y Verde A se conserva como control de cobertura.</x:v>
      </x:c>
      <x:c r="K537" s="18" t="n">
        <x:v>8</x:v>
      </x:c>
      <x:c r="L537" s="18" t="str">
        <x:v>No</x:v>
      </x:c>
      <x:c r="M537" s="18" t="str">
        <x:v>• Indique si eI aplazamiento sobre esta deuda necesita ser garantizado:</x:v>
      </x:c>
      <x:c r="N537" s="18" t="str">
        <x:v>Sólo puede garantizarse con hipoteca inmobiliaria.</x:v>
      </x:c>
      <x:c r="O537" s="18" t="str">
        <x:v>Sólo puede garantizarse con aval bancario.</x:v>
      </x:c>
      <x:c r="P537" s="18" t="str">
        <x:v>Se tiene que garantizar con cualquier tipo de garantía.</x:v>
      </x:c>
      <x:c r="Q537" s="18" t="str">
        <x:v>No necesita garantía. EI aplazamiento no es concedido y por tanto la Unidad de Recaudación Ejecutiva responde con el procedimiento de apremio y embarga el saldo de una cuenta bancaria, que asciende a 5.000 euros. Esta cuenta bancaria está abierta a nombre de cinco titulares, entre ellos figura la empresa "Tesifonte Ovejero, S.L.", con titularidad indistinta.</x:v>
      </x:c>
      <x:c r="R537" s="18" t="str">
        <x:v>S05</x:v>
      </x:c>
      <x:c r="S537" s="18" t="n">
        <x:v>5</x:v>
      </x:c>
      <x:c r="T537" s="18" t="str">
        <x:v>Temario específico Seguridad Social</x:v>
      </x:c>
      <x:c r="U537" s="18" t="str">
        <x:v>La gestión recaudatoria: concepto, competencia y objeto. Responsables del pago. Requisitos para el pago. Medios de pago. Control de recaudación. Revisión de los actos de gestión recaudatoria. La recaudación en periodo voluntario. Efectos de la falta de cotización en período reglamentario. Recaudación de otros recursos. Aplazamientos. Devolución de ingresos indebidos. Capital coste de pensiones.</x:v>
      </x:c>
      <x:c r="V537" s="18" t="str">
        <x:v>aplazamiento</x:v>
      </x:c>
      <x:c r="W537" s="18" t="str"/>
      <x:c r="X537" s="18" t="str"/>
      <x:c r="Y537" s="18" t="str">
        <x:v>Recaudación</x:v>
      </x:c>
      <x:c r="Z537" s="18" t="str">
        <x:v>Media</x:v>
      </x:c>
      <x:c r="AA537" s="18" t="str">
        <x:v>aplazamiento</x:v>
      </x:c>
      <x:c r="AB537" s="18" t="str"/>
      <x:c r="AC537" s="18" t="str"/>
      <x:c r="AD537" s="18" t="str">
        <x:v>No</x:v>
      </x:c>
      <x:c r="AE537" s="18" t="str">
        <x:v>Práctico</x:v>
      </x:c>
      <x:c r="AF537" s="18" t="str">
        <x:v>B</x:v>
      </x:c>
      <x:c r="AG537" s="18" t="str">
        <x:v>ANULADA</x:v>
      </x:c>
      <x:c r="AH537" s="18" t="str">
        <x:v>Anulada</x:v>
      </x:c>
      <x:c r="AI537" s="18" t="str">
        <x:v>01. Información oficial de la oposición\Exámenes oficiales anteriores\2026 Convocatoria 2025 - Acceso libre Verde A.pdf</x:v>
      </x:c>
      <x:c r="AJ537" s="18" t="str">
        <x:v>https://www.seg-social.es/wps/portal/wss/internet/InformacionUtil/9950/88beb45d-ca83-4bab-8162-f94ef2894562/e0c83707-3358-47a9-94d7-508221dad233</x:v>
      </x:c>
      <x:c r="AK537" s="18" t="str">
        <x:v>OCR Windows es-ES sobre PDF oficial</x:v>
      </x:c>
      <x:c r="AL537" s="18" t="n">
        <x:v>100</x:v>
      </x:c>
      <x:c r="AM537" s="18" t="str">
        <x:v>Alta</x:v>
      </x:c>
      <x:c r="AN537" s="18" t="str">
        <x:v>Regla jurídica determinista</x:v>
      </x:c>
      <x:c r="AO537" s="18" t="str">
        <x:v>2026_conv2025_rojo_A-P08</x:v>
      </x:c>
      <x:c r="AP537" s="18" t="n">
        <x:v>0.9714</x:v>
      </x:c>
    </x:row>
    <x:row r="538">
      <x:c r="A538" s="18" t="str">
        <x:v>2026_conv2025_verde_A-P09</x:v>
      </x:c>
      <x:c r="B538" s="18" t="n">
        <x:v>2026</x:v>
      </x:c>
      <x:c r="C538" s="18" t="n">
        <x:v>2025</x:v>
      </x:c>
      <x:c r="D538" s="28" t="n">
        <x:v>46201</x:v>
      </x:c>
      <x:c r="E538" s="18" t="str">
        <x:v>Acceso libre</x:v>
      </x:c>
      <x:c r="F538" s="18" t="str">
        <x:v>Segunda parte</x:v>
      </x:c>
      <x:c r="G538" s="18" t="str">
        <x:v>Verde A</x:v>
      </x:c>
      <x:c r="H538" s="18" t="str">
        <x:v>Rojo/Verde A/B</x:v>
      </x:c>
      <x:c r="I538" s="18" t="str">
        <x:v>No</x:v>
      </x:c>
      <x:c r="J538" s="18" t="str">
        <x:v>Los colores y modelos reproducen el mismo conjunto de preguntas con orden y/o opciones permutados; Rojo A es la variante canónica para frecuencias y Verde A se conserva como control de cobertura.</x:v>
      </x:c>
      <x:c r="K538" s="18" t="n">
        <x:v>9</x:v>
      </x:c>
      <x:c r="L538" s="18" t="str">
        <x:v>No</x:v>
      </x:c>
      <x:c r="M538" s="18" t="str">
        <x:v>Señale cuál sería el importe del saldo de la cuenta a embargar:</x:v>
      </x:c>
      <x:c r="N538" s="18" t="str">
        <x:v>EI importe total del saldo, 5.000 euros.</x:v>
      </x:c>
      <x:c r="O538" s="18" t="str">
        <x:v>No puede embargarse, porque no puede establecerse el importe del saldo correspondiente a la empresa.</x:v>
      </x:c>
      <x:c r="P538" s="18" t="str">
        <x:v>1 .OOO euros, la parte del saldo correspondiente, salvo que del contrato se desprenda otra cosa.</x:v>
      </x:c>
      <x:c r="Q538" s="18" t="str">
        <x:v>2.500, la mitad del saldo. La trabajadora Matilde Padilla inició su vida laboral, prestando servicios para la empresa "Tesifonte Ovejero, S.L." eI día 29 de enero de 2026. Esta empresa tramitó el correspondiente alta en la Seguridad Social en tiempo y forma. La empresa "Tesifonte Ovejero, S. L." tiene cubierta la protección de incapacidad temporal derivada de contingencias comunes y la protección de accidentes de trabajo y enfermedades profesionales con la mutua colaboradora de la Seguridad Social "Consorcio". EI día 8 de junio de 2026, el médico del servicio de salud de su comunidad autónoma expide la baja de Dña. Matilde Padilla por padecer una situación de menstruación incapacitante secundaria.</x:v>
      </x:c>
      <x:c r="R538" s="18" t="str">
        <x:v>S06</x:v>
      </x:c>
      <x:c r="S538" s="18" t="n">
        <x:v>6</x:v>
      </x:c>
      <x:c r="T538" s="18" t="str">
        <x:v>Temario específico Seguridad Social</x:v>
      </x:c>
      <x:c r="U538" s="18" t="str">
        <x:v>La recaudación en vía ejecutiva. Normas generales. Iniciación y título ejecutivo. La providencia de apremio. Oposición y efectos. El embargo de bienes. Enajenación de bienes: modalidades. Créditos incobrables. Tercerías.</x:v>
      </x:c>
      <x:c r="V538" s="18" t="str">
        <x:v>S06</x:v>
      </x:c>
      <x:c r="W538" s="18" t="str"/>
      <x:c r="X538" s="18" t="str"/>
      <x:c r="Y538" s="18" t="str">
        <x:v>Cálculos</x:v>
      </x:c>
      <x:c r="Z538" s="18" t="str">
        <x:v>Media</x:v>
      </x:c>
      <x:c r="AA538" s="18" t="str">
        <x:v>S06</x:v>
      </x:c>
      <x:c r="AB538" s="18" t="str"/>
      <x:c r="AC538" s="18" t="str"/>
      <x:c r="AD538" s="18" t="str">
        <x:v>No</x:v>
      </x:c>
      <x:c r="AE538" s="18" t="str">
        <x:v>Práctico</x:v>
      </x:c>
      <x:c r="AF538" s="18" t="str">
        <x:v>C</x:v>
      </x:c>
      <x:c r="AG538" s="18" t="str">
        <x:v>C</x:v>
      </x:c>
      <x:c r="AH538" s="18" t="str">
        <x:v>Válida</x:v>
      </x:c>
      <x:c r="AI538" s="18" t="str">
        <x:v>01. Información oficial de la oposición\Exámenes oficiales anteriores\2026 Convocatoria 2025 - Acceso libre Verde A.pdf</x:v>
      </x:c>
      <x:c r="AJ538" s="18" t="str">
        <x:v>https://www.seg-social.es/wps/portal/wss/internet/InformacionUtil/9950/88beb45d-ca83-4bab-8162-f94ef2894562/e0c83707-3358-47a9-94d7-508221dad233</x:v>
      </x:c>
      <x:c r="AK538" s="18" t="str">
        <x:v>OCR Windows es-ES sobre PDF oficial</x:v>
      </x:c>
      <x:c r="AL538" s="18" t="n">
        <x:v>100</x:v>
      </x:c>
      <x:c r="AM538" s="18" t="str">
        <x:v>Alta</x:v>
      </x:c>
      <x:c r="AN538" s="18" t="str">
        <x:v>Revisión jurídica individual</x:v>
      </x:c>
      <x:c r="AO538" s="18" t="str">
        <x:v>2026_conv2025_rojo_A-P09</x:v>
      </x:c>
      <x:c r="AP538" s="18" t="n">
        <x:v>1</x:v>
      </x:c>
    </x:row>
    <x:row r="539">
      <x:c r="A539" s="18" t="str">
        <x:v>2026_conv2025_verde_A-P10</x:v>
      </x:c>
      <x:c r="B539" s="18" t="n">
        <x:v>2026</x:v>
      </x:c>
      <x:c r="C539" s="18" t="n">
        <x:v>2025</x:v>
      </x:c>
      <x:c r="D539" s="28" t="n">
        <x:v>46201</x:v>
      </x:c>
      <x:c r="E539" s="18" t="str">
        <x:v>Acceso libre</x:v>
      </x:c>
      <x:c r="F539" s="18" t="str">
        <x:v>Segunda parte</x:v>
      </x:c>
      <x:c r="G539" s="18" t="str">
        <x:v>Verde A</x:v>
      </x:c>
      <x:c r="H539" s="18" t="str">
        <x:v>Rojo/Verde A/B</x:v>
      </x:c>
      <x:c r="I539" s="18" t="str">
        <x:v>No</x:v>
      </x:c>
      <x:c r="J539" s="18" t="str">
        <x:v>Los colores y modelos reproducen el mismo conjunto de preguntas con orden y/o opciones permutados; Rojo A es la variante canónica para frecuencias y Verde A se conserva como control de cobertura.</x:v>
      </x:c>
      <x:c r="K539" s="18" t="n">
        <x:v>10</x:v>
      </x:c>
      <x:c r="L539" s="18" t="str">
        <x:v>No</x:v>
      </x:c>
      <x:c r="M539" s="18" t="str">
        <x:v>Determine si doña Matilde Padilla, tiene derecho a la prestación de incapacidad temporal por la baja médica debida a la situación de menstruación incapacitante secundaria:</x:v>
      </x:c>
      <x:c r="N539" s="18" t="str">
        <x:v>No, porque no reúne eI periodo mínimo de cotización de 180 días en los cinco años anteriores al hecho causante.</x:v>
      </x:c>
      <x:c r="O539" s="18" t="str">
        <x:v>Sí, porque para las situaciones de menstruación incapacitante secundaria no se exige periodo mínimo de cotización.</x:v>
      </x:c>
      <x:c r="P539" s="18" t="str">
        <x:v>No, porque la menstruación incapacitante secundaria no es una situación determinante de la incapacidad temporal.</x:v>
      </x:c>
      <x:c r="Q539" s="18" t="str">
        <x:v>Sí, porque la menstruación incapacitante secundaria tiene la consideración de enfermedad profesional y por ello no se exige periodo mínimo de cotización.</x:v>
      </x:c>
      <x:c r="R539" s="18" t="str">
        <x:v>S08</x:v>
      </x:c>
      <x:c r="S539" s="18" t="n">
        <x:v>8</x:v>
      </x:c>
      <x:c r="T539" s="18" t="str">
        <x:v>Temario específico Seguridad Social</x:v>
      </x:c>
      <x:c r="U539" s="18" t="str">
        <x:v>Incapacidad temporal: concepto y causas que motivan esta situación. Beneficiarios. Prestación económica: determinación y cuantía. Nacimiento, duración y extinción del derecho al subsidio. Reconocimiento y pago. Control de la incapacidad. Incapacidad permanente contributiva: concepto. Grados de incapacidad. Prestaciones. Determinación y cuantía. Beneficiarios. Nacimiento, duración y extinción del derecho. Lesiones permanentes no incapacitantes. La calificación y revisión de la incapacidad permanente.</x:v>
      </x:c>
      <x:c r="V539" s="18" t="str">
        <x:v>baja</x:v>
      </x:c>
      <x:c r="W539" s="18" t="str"/>
      <x:c r="X539" s="18" t="str"/>
      <x:c r="Y539" s="18" t="str">
        <x:v>Personas beneficiarias</x:v>
      </x:c>
      <x:c r="Z539" s="18" t="str">
        <x:v>Media</x:v>
      </x:c>
      <x:c r="AA539" s="18" t="str">
        <x:v>baja</x:v>
      </x:c>
      <x:c r="AB539" s="18" t="str"/>
      <x:c r="AC539" s="18" t="str"/>
      <x:c r="AD539" s="18" t="str">
        <x:v>No</x:v>
      </x:c>
      <x:c r="AE539" s="18" t="str">
        <x:v>Práctico</x:v>
      </x:c>
      <x:c r="AF539" s="18" t="str">
        <x:v>B</x:v>
      </x:c>
      <x:c r="AG539" s="18" t="str">
        <x:v>B</x:v>
      </x:c>
      <x:c r="AH539" s="18" t="str">
        <x:v>Válida</x:v>
      </x:c>
      <x:c r="AI539" s="18" t="str">
        <x:v>01. Información oficial de la oposición\Exámenes oficiales anteriores\2026 Convocatoria 2025 - Acceso libre Verde A.pdf</x:v>
      </x:c>
      <x:c r="AJ539" s="18" t="str">
        <x:v>https://www.seg-social.es/wps/portal/wss/internet/InformacionUtil/9950/88beb45d-ca83-4bab-8162-f94ef2894562/e0c83707-3358-47a9-94d7-508221dad233</x:v>
      </x:c>
      <x:c r="AK539" s="18" t="str">
        <x:v>OCR Windows es-ES sobre PDF oficial</x:v>
      </x:c>
      <x:c r="AL539" s="18" t="n">
        <x:v>100</x:v>
      </x:c>
      <x:c r="AM539" s="18" t="str">
        <x:v>Alta</x:v>
      </x:c>
      <x:c r="AN539" s="18" t="str">
        <x:v>Regla jurídica determinista</x:v>
      </x:c>
      <x:c r="AO539" s="18" t="str">
        <x:v>2026_conv2025_rojo_A-P10</x:v>
      </x:c>
      <x:c r="AP539" s="18" t="n">
        <x:v>1</x:v>
      </x:c>
    </x:row>
    <x:row r="540">
      <x:c r="A540" s="18" t="str">
        <x:v>2026_conv2025_verde_A-P11</x:v>
      </x:c>
      <x:c r="B540" s="18" t="n">
        <x:v>2026</x:v>
      </x:c>
      <x:c r="C540" s="18" t="n">
        <x:v>2025</x:v>
      </x:c>
      <x:c r="D540" s="28" t="n">
        <x:v>46201</x:v>
      </x:c>
      <x:c r="E540" s="18" t="str">
        <x:v>Acceso libre</x:v>
      </x:c>
      <x:c r="F540" s="18" t="str">
        <x:v>Segunda parte</x:v>
      </x:c>
      <x:c r="G540" s="18" t="str">
        <x:v>Verde A</x:v>
      </x:c>
      <x:c r="H540" s="18" t="str">
        <x:v>Rojo/Verde A/B</x:v>
      </x:c>
      <x:c r="I540" s="18" t="str">
        <x:v>No</x:v>
      </x:c>
      <x:c r="J540" s="18" t="str">
        <x:v>Los colores y modelos reproducen el mismo conjunto de preguntas con orden y/o opciones permutados; Rojo A es la variante canónica para frecuencias y Verde A se conserva como control de cobertura.</x:v>
      </x:c>
      <x:c r="K540" s="18" t="n">
        <x:v>11</x:v>
      </x:c>
      <x:c r="L540" s="18" t="str">
        <x:v>No</x:v>
      </x:c>
      <x:c r="M540" s="18" t="str">
        <x:v>En el supuesto de tener derecho a la prestación de incapacidad temporal y de acuerdo con eI artículo 173, párrafo tercero del texto refundido de la Ley General de la Seguridad Social, por la situación determinante de la menstruación incapacitante secundaria, el abono del subsidio de la incapacidad temporal será a cargo de:</x:v>
      </x:c>
      <x:c r="N540" s="18" t="str">
        <x:v>Del Instituto Nacional de la Seguridad Social.</x:v>
      </x:c>
      <x:c r="O540" s="18" t="str">
        <x:v>De la empresa.</x:v>
      </x:c>
      <x:c r="P540" s="18" t="str">
        <x:v>La mutua colaboradora de la Seguridad Social "Consorcio"</x:v>
      </x:c>
      <x:c r="Q540" s="18" t="str">
        <x:v>Del Servicio Público de Empleo Estatal.</x:v>
      </x:c>
      <x:c r="R540" s="18" t="str">
        <x:v>S08</x:v>
      </x:c>
      <x:c r="S540" s="18" t="n">
        <x:v>8</x:v>
      </x:c>
      <x:c r="T540" s="18" t="str">
        <x:v>Temario específico Seguridad Social</x:v>
      </x:c>
      <x:c r="U540" s="18" t="str">
        <x:v>Incapacidad temporal: concepto y causas que motivan esta situación. Beneficiarios. Prestación económica: determinación y cuantía. Nacimiento, duración y extinción del derecho al subsidio. Reconocimiento y pago. Control de la incapacidad. Incapacidad permanente contributiva: concepto. Grados de incapacidad. Prestaciones. Determinación y cuantía. Beneficiarios. Nacimiento, duración y extinción del derecho. Lesiones permanentes no incapacitantes. La calificación y revisión de la incapacidad permanente.</x:v>
      </x:c>
      <x:c r="V540" s="18" t="str">
        <x:v>incapacidad temporal</x:v>
      </x:c>
      <x:c r="W540" s="18" t="str">
        <x:v>texto refundido de la Ley General de la Seguridad Social</x:v>
      </x:c>
      <x:c r="X540" s="18" t="str">
        <x:v>173</x:v>
      </x:c>
      <x:c r="Y540" s="18" t="str">
        <x:v>Personas beneficiarias</x:v>
      </x:c>
      <x:c r="Z540" s="18" t="str">
        <x:v>Alta</x:v>
      </x:c>
      <x:c r="AA540" s="18" t="str">
        <x:v>incapacidad temporal</x:v>
      </x:c>
      <x:c r="AB540" s="18" t="str"/>
      <x:c r="AC540" s="18" t="str"/>
      <x:c r="AD540" s="18" t="str">
        <x:v>No</x:v>
      </x:c>
      <x:c r="AE540" s="18" t="str">
        <x:v>Práctico</x:v>
      </x:c>
      <x:c r="AF540" s="18" t="str">
        <x:v>C</x:v>
      </x:c>
      <x:c r="AG540" s="18" t="str">
        <x:v>C</x:v>
      </x:c>
      <x:c r="AH540" s="18" t="str">
        <x:v>Válida</x:v>
      </x:c>
      <x:c r="AI540" s="18" t="str">
        <x:v>01. Información oficial de la oposición\Exámenes oficiales anteriores\2026 Convocatoria 2025 - Acceso libre Verde A.pdf</x:v>
      </x:c>
      <x:c r="AJ540" s="18" t="str">
        <x:v>https://www.seg-social.es/wps/portal/wss/internet/InformacionUtil/9950/88beb45d-ca83-4bab-8162-f94ef2894562/e0c83707-3358-47a9-94d7-508221dad233</x:v>
      </x:c>
      <x:c r="AK540" s="18" t="str">
        <x:v>OCR Windows es-ES sobre PDF oficial</x:v>
      </x:c>
      <x:c r="AL540" s="18" t="n">
        <x:v>100</x:v>
      </x:c>
      <x:c r="AM540" s="18" t="str">
        <x:v>Alta</x:v>
      </x:c>
      <x:c r="AN540" s="18" t="str">
        <x:v>Regla jurídica determinista</x:v>
      </x:c>
      <x:c r="AO540" s="18" t="str">
        <x:v>2026_conv2025_rojo_A-P11</x:v>
      </x:c>
      <x:c r="AP540" s="18" t="n">
        <x:v>0.9938</x:v>
      </x:c>
    </x:row>
    <x:row r="541">
      <x:c r="A541" s="18" t="str">
        <x:v>2026_conv2025_verde_A-P12</x:v>
      </x:c>
      <x:c r="B541" s="18" t="n">
        <x:v>2026</x:v>
      </x:c>
      <x:c r="C541" s="18" t="n">
        <x:v>2025</x:v>
      </x:c>
      <x:c r="D541" s="28" t="n">
        <x:v>46201</x:v>
      </x:c>
      <x:c r="E541" s="18" t="str">
        <x:v>Acceso libre</x:v>
      </x:c>
      <x:c r="F541" s="18" t="str">
        <x:v>Segunda parte</x:v>
      </x:c>
      <x:c r="G541" s="18" t="str">
        <x:v>Verde A</x:v>
      </x:c>
      <x:c r="H541" s="18" t="str">
        <x:v>Rojo/Verde A/B</x:v>
      </x:c>
      <x:c r="I541" s="18" t="str">
        <x:v>No</x:v>
      </x:c>
      <x:c r="J541" s="18" t="str">
        <x:v>Los colores y modelos reproducen el mismo conjunto de preguntas con orden y/o opciones permutados; Rojo A es la variante canónica para frecuencias y Verde A se conserva como control de cobertura.</x:v>
      </x:c>
      <x:c r="K541" s="18" t="n">
        <x:v>12</x:v>
      </x:c>
      <x:c r="L541" s="18" t="str">
        <x:v>No</x:v>
      </x:c>
      <x:c r="M541" s="18" t="str">
        <x:v>En el supuesto de tener derecho a la prestación de incapacidad temporal, determine los meses que se tendrían en cuenta para el cálculo de la base reguladora de la prestación, si tuviera un contrato a tiempo parcial:</x:v>
      </x:c>
      <x:c r="N541" s="18" t="str">
        <x:v>Los meses de abril, mayo y junio de 2026.</x:v>
      </x:c>
      <x:c r="O541" s="18" t="str">
        <x:v>Los meses de febrero, marzo y abril de 2026.</x:v>
      </x:c>
      <x:c r="P541" s="18" t="str">
        <x:v>Los meses de marzo, abril y mayo de 2026.</x:v>
      </x:c>
      <x:c r="Q541" s="18" t="str">
        <x:v>Los meses de febrero, marzo, abril y mayo de 2026. La trabajadora Nati Robles, que ha nacido el día 21 de julio de 1968, ha prestado sus servicios en los últimos años en la empresa "Tesifonte Ovejero, S.L.". Después de un proceso de incapacidad temporal debido a una enfermedad común, ha sido declarada en situación de incapacidad permanente total, el día 4 de mayo de 2026.</x:v>
      </x:c>
      <x:c r="R541" s="18" t="str">
        <x:v>S08</x:v>
      </x:c>
      <x:c r="S541" s="18" t="n">
        <x:v>8</x:v>
      </x:c>
      <x:c r="T541" s="18" t="str">
        <x:v>Temario específico Seguridad Social</x:v>
      </x:c>
      <x:c r="U541" s="18" t="str">
        <x:v>Incapacidad temporal: concepto y causas que motivan esta situación. Beneficiarios. Prestación económica: determinación y cuantía. Nacimiento, duración y extinción del derecho al subsidio. Reconocimiento y pago. Control de la incapacidad. Incapacidad permanente contributiva: concepto. Grados de incapacidad. Prestaciones. Determinación y cuantía. Beneficiarios. Nacimiento, duración y extinción del derecho. Lesiones permanentes no incapacitantes. La calificación y revisión de la incapacidad permanente.</x:v>
      </x:c>
      <x:c r="V541" s="18" t="str">
        <x:v>incapacidad temporal</x:v>
      </x:c>
      <x:c r="W541" s="18" t="str"/>
      <x:c r="X541" s="18" t="str"/>
      <x:c r="Y541" s="18" t="str">
        <x:v>Cálculos</x:v>
      </x:c>
      <x:c r="Z541" s="18" t="str">
        <x:v>Media</x:v>
      </x:c>
      <x:c r="AA541" s="18" t="str">
        <x:v>incapacidad temporal</x:v>
      </x:c>
      <x:c r="AB541" s="18" t="str"/>
      <x:c r="AC541" s="18" t="str"/>
      <x:c r="AD541" s="18" t="str">
        <x:v>No</x:v>
      </x:c>
      <x:c r="AE541" s="18" t="str">
        <x:v>Práctico</x:v>
      </x:c>
      <x:c r="AF541" s="18" t="str">
        <x:v>B</x:v>
      </x:c>
      <x:c r="AG541" s="18" t="str">
        <x:v>B</x:v>
      </x:c>
      <x:c r="AH541" s="18" t="str">
        <x:v>Válida</x:v>
      </x:c>
      <x:c r="AI541" s="18" t="str">
        <x:v>01. Información oficial de la oposición\Exámenes oficiales anteriores\2026 Convocatoria 2025 - Acceso libre Verde A.pdf</x:v>
      </x:c>
      <x:c r="AJ541" s="18" t="str">
        <x:v>https://www.seg-social.es/wps/portal/wss/internet/InformacionUtil/9950/88beb45d-ca83-4bab-8162-f94ef2894562/e0c83707-3358-47a9-94d7-508221dad233</x:v>
      </x:c>
      <x:c r="AK541" s="18" t="str">
        <x:v>OCR Windows es-ES sobre PDF oficial</x:v>
      </x:c>
      <x:c r="AL541" s="18" t="n">
        <x:v>100</x:v>
      </x:c>
      <x:c r="AM541" s="18" t="str">
        <x:v>Alta</x:v>
      </x:c>
      <x:c r="AN541" s="18" t="str">
        <x:v>Regla jurídica determinista</x:v>
      </x:c>
      <x:c r="AO541" s="18" t="str">
        <x:v>2026_conv2025_rojo_A-P12</x:v>
      </x:c>
      <x:c r="AP541" s="18" t="n">
        <x:v>1</x:v>
      </x:c>
    </x:row>
    <x:row r="542">
      <x:c r="A542" s="18" t="str">
        <x:v>2026_conv2025_verde_A-P13</x:v>
      </x:c>
      <x:c r="B542" s="18" t="n">
        <x:v>2026</x:v>
      </x:c>
      <x:c r="C542" s="18" t="n">
        <x:v>2025</x:v>
      </x:c>
      <x:c r="D542" s="28" t="n">
        <x:v>46201</x:v>
      </x:c>
      <x:c r="E542" s="18" t="str">
        <x:v>Acceso libre</x:v>
      </x:c>
      <x:c r="F542" s="18" t="str">
        <x:v>Segunda parte</x:v>
      </x:c>
      <x:c r="G542" s="18" t="str">
        <x:v>Verde A</x:v>
      </x:c>
      <x:c r="H542" s="18" t="str">
        <x:v>Rojo/Verde A/B</x:v>
      </x:c>
      <x:c r="I542" s="18" t="str">
        <x:v>No</x:v>
      </x:c>
      <x:c r="J542" s="18" t="str">
        <x:v>Los colores y modelos reproducen el mismo conjunto de preguntas con orden y/o opciones permutados; Rojo A es la variante canónica para frecuencias y Verde A se conserva como control de cobertura.</x:v>
      </x:c>
      <x:c r="K542" s="18" t="n">
        <x:v>13</x:v>
      </x:c>
      <x:c r="L542" s="18" t="str">
        <x:v>No</x:v>
      </x:c>
      <x:c r="M542" s="18" t="str">
        <x:v>¿Puede en este año 2026, Dña. Nati Robles, sustituir excepcionalmente la pensión vitalicia por incapacidad permanente total por una indemnización a tanto alzado?</x:v>
      </x:c>
      <x:c r="N542" s="18" t="str">
        <x:v>Sí, porque es menor de 60 de años, si cumple el resto de los requisitos establecidos.</x:v>
      </x:c>
      <x:c r="O542" s="18" t="str">
        <x:v>No, porque es una excepción no prevista en el artículo 196 del texto refundido de la Ley General de la Seguridad Social.</x:v>
      </x:c>
      <x:c r="P542" s="18" t="str">
        <x:v>No, porque únicamente se permite esta opción a los menores de 55 años.</x:v>
      </x:c>
      <x:c r="Q542" s="18" t="str">
        <x:v>Sí, porque el artículo 196 del texto refundido de la Ley General de la Seguridad Social no establece ningún límite de edad, si cumple el resto de los requisitos establecidos.</x:v>
      </x:c>
      <x:c r="R542" s="18" t="str">
        <x:v>S08</x:v>
      </x:c>
      <x:c r="S542" s="18" t="n">
        <x:v>8</x:v>
      </x:c>
      <x:c r="T542" s="18" t="str">
        <x:v>Temario específico Seguridad Social</x:v>
      </x:c>
      <x:c r="U542" s="18" t="str">
        <x:v>Incapacidad temporal: concepto y causas que motivan esta situación. Beneficiarios. Prestación económica: determinación y cuantía. Nacimiento, duración y extinción del derecho al subsidio. Reconocimiento y pago. Control de la incapacidad. Incapacidad permanente contributiva: concepto. Grados de incapacidad. Prestaciones. Determinación y cuantía. Beneficiarios. Nacimiento, duración y extinción del derecho. Lesiones permanentes no incapacitantes. La calificación y revisión de la incapacidad permanente.</x:v>
      </x:c>
      <x:c r="V542" s="18" t="str">
        <x:v>incapacidad permanente</x:v>
      </x:c>
      <x:c r="W542" s="18" t="str"/>
      <x:c r="X542" s="18" t="str"/>
      <x:c r="Y542" s="18" t="str">
        <x:v>Incapacidad</x:v>
      </x:c>
      <x:c r="Z542" s="18" t="str">
        <x:v>Alta</x:v>
      </x:c>
      <x:c r="AA542" s="18" t="str">
        <x:v>incapacidad permanente</x:v>
      </x:c>
      <x:c r="AB542" s="18" t="str"/>
      <x:c r="AC542" s="18" t="str"/>
      <x:c r="AD542" s="18" t="str">
        <x:v>No</x:v>
      </x:c>
      <x:c r="AE542" s="18" t="str">
        <x:v>Práctico</x:v>
      </x:c>
      <x:c r="AF542" s="18" t="str">
        <x:v>A</x:v>
      </x:c>
      <x:c r="AG542" s="18" t="str">
        <x:v>A</x:v>
      </x:c>
      <x:c r="AH542" s="18" t="str">
        <x:v>Válida</x:v>
      </x:c>
      <x:c r="AI542" s="18" t="str">
        <x:v>01. Información oficial de la oposición\Exámenes oficiales anteriores\2026 Convocatoria 2025 - Acceso libre Verde A.pdf</x:v>
      </x:c>
      <x:c r="AJ542" s="18" t="str">
        <x:v>https://www.seg-social.es/wps/portal/wss/internet/InformacionUtil/9950/88beb45d-ca83-4bab-8162-f94ef2894562/e0c83707-3358-47a9-94d7-508221dad233</x:v>
      </x:c>
      <x:c r="AK542" s="18" t="str">
        <x:v>OCR Windows es-ES sobre PDF oficial</x:v>
      </x:c>
      <x:c r="AL542" s="18" t="n">
        <x:v>100</x:v>
      </x:c>
      <x:c r="AM542" s="18" t="str">
        <x:v>Alta</x:v>
      </x:c>
      <x:c r="AN542" s="18" t="str">
        <x:v>Regla jurídica determinista</x:v>
      </x:c>
      <x:c r="AO542" s="18" t="str">
        <x:v>2026_conv2025_rojo_A-P13</x:v>
      </x:c>
      <x:c r="AP542" s="18" t="n">
        <x:v>1</x:v>
      </x:c>
    </x:row>
    <x:row r="543">
      <x:c r="A543" s="18" t="str">
        <x:v>2026_conv2025_verde_A-P14</x:v>
      </x:c>
      <x:c r="B543" s="18" t="n">
        <x:v>2026</x:v>
      </x:c>
      <x:c r="C543" s="18" t="n">
        <x:v>2025</x:v>
      </x:c>
      <x:c r="D543" s="28" t="n">
        <x:v>46201</x:v>
      </x:c>
      <x:c r="E543" s="18" t="str">
        <x:v>Acceso libre</x:v>
      </x:c>
      <x:c r="F543" s="18" t="str">
        <x:v>Segunda parte</x:v>
      </x:c>
      <x:c r="G543" s="18" t="str">
        <x:v>Verde A</x:v>
      </x:c>
      <x:c r="H543" s="18" t="str">
        <x:v>Rojo/Verde A/B</x:v>
      </x:c>
      <x:c r="I543" s="18" t="str">
        <x:v>No</x:v>
      </x:c>
      <x:c r="J543" s="18" t="str">
        <x:v>Los colores y modelos reproducen el mismo conjunto de preguntas con orden y/o opciones permutados; Rojo A es la variante canónica para frecuencias y Verde A se conserva como control de cobertura.</x:v>
      </x:c>
      <x:c r="K543" s="18" t="n">
        <x:v>14</x:v>
      </x:c>
      <x:c r="L543" s="18" t="str">
        <x:v>No</x:v>
      </x:c>
      <x:c r="M543" s="18" t="str">
        <x:v>Indique cuál ha sido el periodo de cotización mínimo que ha tenido que reunir Dña. Nati Robles para tener derecho a la prestación de incapacidad permanente total:</x:v>
      </x:c>
      <x:c r="N543" s="18" t="str">
        <x:v>La tercera parte del tiempo transcurrido entre la fecha en que cumplió los dieciséis años y la del hecho causante de la pensión.</x:v>
      </x:c>
      <x:c r="O543" s="18" t="str">
        <x:v>La cuarta parte del tiempo transcurrido entre la fecha en que cumplió los veinte años y la del hecho causante de la pensión, con un mínimo, en todo caso, de cinco años; al menos la quinta parte del período de cotización exigible ha tenido que estar comprendida entre los diez años inmediatamente anteriores al hecho causante.</x:v>
      </x:c>
      <x:c r="P543" s="18" t="str">
        <x:v>La tercera parte del tiempo transcurrido entre la fecha en que cumplió los veinte años y la del hecho causante de la pensión, con un mínimo, en todo caso, de cinco años; al menos la quinta parte del período de cotización exigible ha tenido que estar comprendida entre los diez años inmediatamente anteriores al hecho causante.</x:v>
      </x:c>
      <x:c r="Q543" s="18" t="str">
        <x:v>La quinta parte del tiempo transcurrido entre la fecha en que cumplió los veinte años y la del hecho causante de la pensión. La empresa "Tesifonte Ovejero, S.L.", en eI año 2025 ha tenido una disminución de ingresos por 10 que reuniendo las condiciones del artículo 51 de la Ley del Estatuto de los Trabajadores, aprobado por Real Decreto Legislativo 2/2015, de 23 de octubre, ha practicado un despido colectivo. D. Leonardo Meléndez, que ha nacido en eI año 1.961, se encuentra entre los afectados por el despido colectivo y desea jubilarse este año 2026. Dña. Rosa Antofagasta, que ha nacido en I .964 y acredita 39 años cotizados, todos ellos en el Régimen General, entre la empresa "Tesifonte Ovejero, S.L." y otras empresas, también se encuentra afectada por este despido colectivo. La empresa "Tesifonte Ovejero, S.L." no Ie ha abonado la indemnización que Ie corresponde por eI despido.</x:v>
      </x:c>
      <x:c r="R543" s="18" t="str">
        <x:v>S08</x:v>
      </x:c>
      <x:c r="S543" s="18" t="n">
        <x:v>8</x:v>
      </x:c>
      <x:c r="T543" s="18" t="str">
        <x:v>Temario específico Seguridad Social</x:v>
      </x:c>
      <x:c r="U543" s="18" t="str">
        <x:v>Incapacidad temporal: concepto y causas que motivan esta situación. Beneficiarios. Prestación económica: determinación y cuantía. Nacimiento, duración y extinción del derecho al subsidio. Reconocimiento y pago. Control de la incapacidad. Incapacidad permanente contributiva: concepto. Grados de incapacidad. Prestaciones. Determinación y cuantía. Beneficiarios. Nacimiento, duración y extinción del derecho. Lesiones permanentes no incapacitantes. La calificación y revisión de la incapacidad permanente.</x:v>
      </x:c>
      <x:c r="V543" s="18" t="str">
        <x:v>incapacidad permanente</x:v>
      </x:c>
      <x:c r="W543" s="18" t="str"/>
      <x:c r="X543" s="18" t="str"/>
      <x:c r="Y543" s="18" t="str">
        <x:v>Personas beneficiarias</x:v>
      </x:c>
      <x:c r="Z543" s="18" t="str">
        <x:v>Media</x:v>
      </x:c>
      <x:c r="AA543" s="18" t="str">
        <x:v>incapacidad permanente</x:v>
      </x:c>
      <x:c r="AB543" s="18" t="str"/>
      <x:c r="AC543" s="18" t="str"/>
      <x:c r="AD543" s="18" t="str">
        <x:v>No</x:v>
      </x:c>
      <x:c r="AE543" s="18" t="str">
        <x:v>Práctico</x:v>
      </x:c>
      <x:c r="AF543" s="18" t="str">
        <x:v>B</x:v>
      </x:c>
      <x:c r="AG543" s="18" t="str">
        <x:v>B</x:v>
      </x:c>
      <x:c r="AH543" s="18" t="str">
        <x:v>Válida</x:v>
      </x:c>
      <x:c r="AI543" s="18" t="str">
        <x:v>01. Información oficial de la oposición\Exámenes oficiales anteriores\2026 Convocatoria 2025 - Acceso libre Verde A.pdf</x:v>
      </x:c>
      <x:c r="AJ543" s="18" t="str">
        <x:v>https://www.seg-social.es/wps/portal/wss/internet/InformacionUtil/9950/88beb45d-ca83-4bab-8162-f94ef2894562/e0c83707-3358-47a9-94d7-508221dad233</x:v>
      </x:c>
      <x:c r="AK543" s="18" t="str">
        <x:v>OCR Windows es-ES sobre PDF oficial</x:v>
      </x:c>
      <x:c r="AL543" s="18" t="n">
        <x:v>100</x:v>
      </x:c>
      <x:c r="AM543" s="18" t="str">
        <x:v>Alta</x:v>
      </x:c>
      <x:c r="AN543" s="18" t="str">
        <x:v>Regla jurídica determinista</x:v>
      </x:c>
      <x:c r="AO543" s="18" t="str">
        <x:v>2026_conv2025_rojo_A-P14</x:v>
      </x:c>
      <x:c r="AP543" s="18" t="n">
        <x:v>1</x:v>
      </x:c>
    </x:row>
    <x:row r="544">
      <x:c r="A544" s="18" t="str">
        <x:v>2026_conv2025_verde_A-P15</x:v>
      </x:c>
      <x:c r="B544" s="18" t="n">
        <x:v>2026</x:v>
      </x:c>
      <x:c r="C544" s="18" t="n">
        <x:v>2025</x:v>
      </x:c>
      <x:c r="D544" s="28" t="n">
        <x:v>46201</x:v>
      </x:c>
      <x:c r="E544" s="18" t="str">
        <x:v>Acceso libre</x:v>
      </x:c>
      <x:c r="F544" s="18" t="str">
        <x:v>Segunda parte</x:v>
      </x:c>
      <x:c r="G544" s="18" t="str">
        <x:v>Verde A</x:v>
      </x:c>
      <x:c r="H544" s="18" t="str">
        <x:v>Rojo/Verde A/B</x:v>
      </x:c>
      <x:c r="I544" s="18" t="str">
        <x:v>No</x:v>
      </x:c>
      <x:c r="J544" s="18" t="str">
        <x:v>Los colores y modelos reproducen el mismo conjunto de preguntas con orden y/o opciones permutados; Rojo A es la variante canónica para frecuencias y Verde A se conserva como control de cobertura.</x:v>
      </x:c>
      <x:c r="K544" s="18" t="n">
        <x:v>15</x:v>
      </x:c>
      <x:c r="L544" s="18" t="str">
        <x:v>No</x:v>
      </x:c>
      <x:c r="M544" s="18" t="str">
        <x:v>¿La falta de ingreso de la indemnización por el despido colectivo le puede impedir a Dña. Rosa Antofagasta acceder a la posibilidad de jubilarse anticipadamente por causa no imputable al trabajador?:</x:v>
      </x:c>
      <x:c r="N544" s="18" t="str">
        <x:v>No, porque no es un requisito para acceder a esta modalidad de jubilación.</x:v>
      </x:c>
      <x:c r="O544" s="18" t="str">
        <x:v>No, siempre que conste la declaración verbal del trabajador.</x:v>
      </x:c>
      <x:c r="P544" s="18" t="str">
        <x:v>No, siempre que acredite haber interpuesto demanda judicial en reclamación de dicha indemnización.</x:v>
      </x:c>
      <x:c r="Q544" s="18" t="str">
        <x:v>Sí, porque exclusivamente se puede acreditar eI cumplimiento de este requisito aportando la justificación de la transferencia bancaria de la indemnización.</x:v>
      </x:c>
      <x:c r="R544" s="18" t="str">
        <x:v>S10</x:v>
      </x:c>
      <x:c r="S544" s="18" t="n">
        <x:v>10</x:v>
      </x:c>
      <x:c r="T544" s="18" t="str">
        <x:v>Temario específico Seguridad Social</x:v>
      </x:c>
      <x:c r="U544" s="18" t="str">
        <x:v>Jubilación en la modalidad contributiva: concepto. Jubilación ordinaria: requisitos: especial referencia a la edad de jubilación. Determinación de la cuantía de la prestación: base reguladora y porcentaje. Jubilación anticipada, jubilación parcial y jubilación flexible. Compatibilidad de la pensión de jubilación y el trabajo. Suspensión y extinción de la prestación. Especial referencia a la aplicación de la normativa anterior a la Ley 27/2011.</x:v>
      </x:c>
      <x:c r="V544" s="18" t="str">
        <x:v>S10</x:v>
      </x:c>
      <x:c r="W544" s="18" t="str"/>
      <x:c r="X544" s="18" t="str"/>
      <x:c r="Y544" s="18" t="str">
        <x:v>Jubilación</x:v>
      </x:c>
      <x:c r="Z544" s="18" t="str">
        <x:v>Media</x:v>
      </x:c>
      <x:c r="AA544" s="18" t="str">
        <x:v>S10</x:v>
      </x:c>
      <x:c r="AB544" s="18" t="str"/>
      <x:c r="AC544" s="18" t="str"/>
      <x:c r="AD544" s="18" t="str">
        <x:v>No</x:v>
      </x:c>
      <x:c r="AE544" s="18" t="str">
        <x:v>Práctico</x:v>
      </x:c>
      <x:c r="AF544" s="18" t="str">
        <x:v>C</x:v>
      </x:c>
      <x:c r="AG544" s="18" t="str">
        <x:v>C</x:v>
      </x:c>
      <x:c r="AH544" s="18" t="str">
        <x:v>Válida</x:v>
      </x:c>
      <x:c r="AI544" s="18" t="str">
        <x:v>01. Información oficial de la oposición\Exámenes oficiales anteriores\2026 Convocatoria 2025 - Acceso libre Verde A.pdf</x:v>
      </x:c>
      <x:c r="AJ544" s="18" t="str">
        <x:v>https://www.seg-social.es/wps/portal/wss/internet/InformacionUtil/9950/88beb45d-ca83-4bab-8162-f94ef2894562/e0c83707-3358-47a9-94d7-508221dad233</x:v>
      </x:c>
      <x:c r="AK544" s="18" t="str">
        <x:v>OCR Windows es-ES sobre PDF oficial</x:v>
      </x:c>
      <x:c r="AL544" s="18" t="n">
        <x:v>100</x:v>
      </x:c>
      <x:c r="AM544" s="18" t="str">
        <x:v>Alta</x:v>
      </x:c>
      <x:c r="AN544" s="18" t="str">
        <x:v>Regla jurídica determinista</x:v>
      </x:c>
      <x:c r="AO544" s="18" t="str">
        <x:v>2026_conv2025_rojo_A-P15</x:v>
      </x:c>
      <x:c r="AP544" s="18" t="n">
        <x:v>0.995</x:v>
      </x:c>
    </x:row>
    <x:row r="545">
      <x:c r="A545" s="18" t="str">
        <x:v>2026_conv2025_verde_A-P16</x:v>
      </x:c>
      <x:c r="B545" s="18" t="n">
        <x:v>2026</x:v>
      </x:c>
      <x:c r="C545" s="18" t="n">
        <x:v>2025</x:v>
      </x:c>
      <x:c r="D545" s="28" t="n">
        <x:v>46201</x:v>
      </x:c>
      <x:c r="E545" s="18" t="str">
        <x:v>Acceso libre</x:v>
      </x:c>
      <x:c r="F545" s="18" t="str">
        <x:v>Segunda parte</x:v>
      </x:c>
      <x:c r="G545" s="18" t="str">
        <x:v>Verde A</x:v>
      </x:c>
      <x:c r="H545" s="18" t="str">
        <x:v>Rojo/Verde A/B</x:v>
      </x:c>
      <x:c r="I545" s="18" t="str">
        <x:v>No</x:v>
      </x:c>
      <x:c r="J545" s="18" t="str">
        <x:v>Los colores y modelos reproducen el mismo conjunto de preguntas con orden y/o opciones permutados; Rojo A es la variante canónica para frecuencias y Verde A se conserva como control de cobertura.</x:v>
      </x:c>
      <x:c r="K545" s="18" t="n">
        <x:v>16</x:v>
      </x:c>
      <x:c r="L545" s="18" t="str">
        <x:v>Sí</x:v>
      </x:c>
      <x:c r="M545" s="18" t="str">
        <x:v>¿Reúne Dña. Rosa Antofagasta el requisito de edad que establece eI artículo 207 del texto refundido de la Ley General de la Seguridad Social para poderse jubilar anticipadamente por causa no imputable a la trabajadora?</x:v>
      </x:c>
      <x:c r="N545" s="18" t="str">
        <x:v>No, porque tiene una edad superior a los 60 años.</x:v>
      </x:c>
      <x:c r="O545" s="18" t="str">
        <x:v>Sí, porque esta disposición no establece límite de edad.</x:v>
      </x:c>
      <x:c r="P545" s="18" t="str">
        <x:v>Sí, porque tiene una edad inferior en cuatro años como máximo de la edad establecida en eI artículo 205 del texto refundido de la Ley General de la Seguridad Social.</x:v>
      </x:c>
      <x:c r="Q545" s="18" t="str">
        <x:v>No, por tener una edad inferior en 63 años.</x:v>
      </x:c>
      <x:c r="R545" s="18" t="str">
        <x:v>S10</x:v>
      </x:c>
      <x:c r="S545" s="18" t="n">
        <x:v>10</x:v>
      </x:c>
      <x:c r="T545" s="18" t="str">
        <x:v>Temario específico Seguridad Social</x:v>
      </x:c>
      <x:c r="U545" s="18" t="str">
        <x:v>Jubilación en la modalidad contributiva: concepto. Jubilación ordinaria: requisitos: especial referencia a la edad de jubilación. Determinación de la cuantía de la prestación: base reguladora y porcentaje. Jubilación anticipada, jubilación parcial y jubilación flexible. Compatibilidad de la pensión de jubilación y el trabajo. Suspensión y extinción de la prestación. Especial referencia a la aplicación de la normativa anterior a la Ley 27/2011.</x:v>
      </x:c>
      <x:c r="V545" s="18" t="str">
        <x:v>S10</x:v>
      </x:c>
      <x:c r="W545" s="18" t="str">
        <x:v>texto refundido de la Ley General de la Seguridad Social</x:v>
      </x:c>
      <x:c r="X545" s="18" t="str">
        <x:v>207</x:v>
      </x:c>
      <x:c r="Y545" s="18" t="str">
        <x:v>Requisitos</x:v>
      </x:c>
      <x:c r="Z545" s="18" t="str">
        <x:v>Alta</x:v>
      </x:c>
      <x:c r="AA545" s="18" t="str">
        <x:v>S10</x:v>
      </x:c>
      <x:c r="AB545" s="18" t="str"/>
      <x:c r="AC545" s="18" t="str"/>
      <x:c r="AD545" s="18" t="str">
        <x:v>No</x:v>
      </x:c>
      <x:c r="AE545" s="18" t="str">
        <x:v>Práctico</x:v>
      </x:c>
      <x:c r="AF545" s="18" t="str">
        <x:v>C</x:v>
      </x:c>
      <x:c r="AG545" s="18" t="str">
        <x:v>C</x:v>
      </x:c>
      <x:c r="AH545" s="18" t="str">
        <x:v>Válida</x:v>
      </x:c>
      <x:c r="AI545" s="18" t="str">
        <x:v>01. Información oficial de la oposición\Exámenes oficiales anteriores\2026 Convocatoria 2025 - Acceso libre Verde A.pdf</x:v>
      </x:c>
      <x:c r="AJ545" s="18" t="str">
        <x:v>https://www.seg-social.es/wps/portal/wss/internet/InformacionUtil/9950/88beb45d-ca83-4bab-8162-f94ef2894562/e0c83707-3358-47a9-94d7-508221dad233</x:v>
      </x:c>
      <x:c r="AK545" s="18" t="str">
        <x:v>OCR Windows es-ES sobre PDF oficial</x:v>
      </x:c>
      <x:c r="AL545" s="18" t="n">
        <x:v>100</x:v>
      </x:c>
      <x:c r="AM545" s="18" t="str">
        <x:v>Alta</x:v>
      </x:c>
      <x:c r="AN545" s="18" t="str">
        <x:v>Regla jurídica determinista</x:v>
      </x:c>
      <x:c r="AO545" s="18" t="str">
        <x:v>2026_conv2025_rojo_A-P16</x:v>
      </x:c>
      <x:c r="AP545" s="18" t="n">
        <x:v>0.9954</x:v>
      </x:c>
    </x:row>
    <x:row r="546">
      <x:c r="A546" s="18" t="str">
        <x:v>2026_conv2025_verde_A-P17</x:v>
      </x:c>
      <x:c r="B546" s="18" t="n">
        <x:v>2026</x:v>
      </x:c>
      <x:c r="C546" s="18" t="n">
        <x:v>2025</x:v>
      </x:c>
      <x:c r="D546" s="28" t="n">
        <x:v>46201</x:v>
      </x:c>
      <x:c r="E546" s="18" t="str">
        <x:v>Acceso libre</x:v>
      </x:c>
      <x:c r="F546" s="18" t="str">
        <x:v>Segunda parte</x:v>
      </x:c>
      <x:c r="G546" s="18" t="str">
        <x:v>Verde A</x:v>
      </x:c>
      <x:c r="H546" s="18" t="str">
        <x:v>Rojo/Verde A/B</x:v>
      </x:c>
      <x:c r="I546" s="18" t="str">
        <x:v>No</x:v>
      </x:c>
      <x:c r="J546" s="18" t="str">
        <x:v>Los colores y modelos reproducen el mismo conjunto de preguntas con orden y/o opciones permutados; Rojo A es la variante canónica para frecuencias y Verde A se conserva como control de cobertura.</x:v>
      </x:c>
      <x:c r="K546" s="18" t="n">
        <x:v>17</x:v>
      </x:c>
      <x:c r="L546" s="18" t="str">
        <x:v>Sí</x:v>
      </x:c>
      <x:c r="M546" s="18" t="str">
        <x:v>Si Dña. Rosa Antofagasta solicita su pensión de jubilación el día 9 de junio de 2026 y por tanto este día se considerará como el día del hecho causante, indique los meses cuyas bases de cotización se computan a su valor nominal:</x:v>
      </x:c>
      <x:c r="N546" s="18" t="str">
        <x:v>Mayo 2024 a abril 2026.</x:v>
      </x:c>
      <x:c r="O546" s="18" t="str">
        <x:v>Junio 2024 a mayo 2026.</x:v>
      </x:c>
      <x:c r="P546" s="18" t="str">
        <x:v>Julio 2024 a junio 2026.</x:v>
      </x:c>
      <x:c r="Q546" s="18" t="str">
        <x:v>Mayo 2025 a abril 2026.</x:v>
      </x:c>
      <x:c r="R546" s="18" t="str">
        <x:v>S10</x:v>
      </x:c>
      <x:c r="S546" s="18" t="n">
        <x:v>10</x:v>
      </x:c>
      <x:c r="T546" s="18" t="str">
        <x:v>Temario específico Seguridad Social</x:v>
      </x:c>
      <x:c r="U546" s="18" t="str">
        <x:v>Jubilación en la modalidad contributiva: concepto. Jubilación ordinaria: requisitos: especial referencia a la edad de jubilación. Determinación de la cuantía de la prestación: base reguladora y porcentaje. Jubilación anticipada, jubilación parcial y jubilación flexible. Compatibilidad de la pensión de jubilación y el trabajo. Suspensión y extinción de la prestación. Especial referencia a la aplicación de la normativa anterior a la Ley 27/2011.</x:v>
      </x:c>
      <x:c r="V546" s="18" t="str">
        <x:v>jubilación</x:v>
      </x:c>
      <x:c r="W546" s="18" t="str"/>
      <x:c r="X546" s="18" t="str"/>
      <x:c r="Y546" s="18" t="str">
        <x:v>Plazos</x:v>
      </x:c>
      <x:c r="Z546" s="18" t="str">
        <x:v>Alta</x:v>
      </x:c>
      <x:c r="AA546" s="18" t="str">
        <x:v>jubilación</x:v>
      </x:c>
      <x:c r="AB546" s="18" t="str"/>
      <x:c r="AC546" s="18" t="str"/>
      <x:c r="AD546" s="18" t="str">
        <x:v>No</x:v>
      </x:c>
      <x:c r="AE546" s="18" t="str">
        <x:v>Práctico</x:v>
      </x:c>
      <x:c r="AF546" s="18" t="str">
        <x:v>A</x:v>
      </x:c>
      <x:c r="AG546" s="18" t="str">
        <x:v>A</x:v>
      </x:c>
      <x:c r="AH546" s="18" t="str">
        <x:v>Válida</x:v>
      </x:c>
      <x:c r="AI546" s="18" t="str">
        <x:v>01. Información oficial de la oposición\Exámenes oficiales anteriores\2026 Convocatoria 2025 - Acceso libre Verde A.pdf</x:v>
      </x:c>
      <x:c r="AJ546" s="18" t="str">
        <x:v>https://www.seg-social.es/wps/portal/wss/internet/InformacionUtil/9950/88beb45d-ca83-4bab-8162-f94ef2894562/e0c83707-3358-47a9-94d7-508221dad233</x:v>
      </x:c>
      <x:c r="AK546" s="18" t="str">
        <x:v>OCR Windows es-ES sobre PDF oficial</x:v>
      </x:c>
      <x:c r="AL546" s="18" t="n">
        <x:v>100</x:v>
      </x:c>
      <x:c r="AM546" s="18" t="str">
        <x:v>Alta</x:v>
      </x:c>
      <x:c r="AN546" s="18" t="str">
        <x:v>Regla jurídica determinista</x:v>
      </x:c>
      <x:c r="AO546" s="18" t="str">
        <x:v>2026_conv2025_rojo_A-P17</x:v>
      </x:c>
      <x:c r="AP546" s="18" t="n">
        <x:v>1</x:v>
      </x:c>
    </x:row>
    <x:row r="547">
      <x:c r="A547" s="18" t="str">
        <x:v>2026_conv2025_verde_A-P18</x:v>
      </x:c>
      <x:c r="B547" s="18" t="n">
        <x:v>2026</x:v>
      </x:c>
      <x:c r="C547" s="18" t="n">
        <x:v>2025</x:v>
      </x:c>
      <x:c r="D547" s="28" t="n">
        <x:v>46201</x:v>
      </x:c>
      <x:c r="E547" s="18" t="str">
        <x:v>Acceso libre</x:v>
      </x:c>
      <x:c r="F547" s="18" t="str">
        <x:v>Segunda parte</x:v>
      </x:c>
      <x:c r="G547" s="18" t="str">
        <x:v>Verde A</x:v>
      </x:c>
      <x:c r="H547" s="18" t="str">
        <x:v>Rojo/Verde A/B</x:v>
      </x:c>
      <x:c r="I547" s="18" t="str">
        <x:v>No</x:v>
      </x:c>
      <x:c r="J547" s="18" t="str">
        <x:v>Los colores y modelos reproducen el mismo conjunto de preguntas con orden y/o opciones permutados; Rojo A es la variante canónica para frecuencias y Verde A se conserva como control de cobertura.</x:v>
      </x:c>
      <x:c r="K547" s="18" t="n">
        <x:v>18</x:v>
      </x:c>
      <x:c r="L547" s="18" t="str">
        <x:v>Sí</x:v>
      </x:c>
      <x:c r="M547" s="18" t="str">
        <x:v>¿Cuántos años deberá de tener cotizados D. Leonardo Meléndez, para poderse jubilar con 65 años, según la Disposición transitoria séptima del texto refundido de la Ley General de la Seguridad Social?</x:v>
      </x:c>
      <x:c r="N547" s="18" t="str">
        <x:v>38 0 más años.</x:v>
      </x:c>
      <x:c r="O547" s="18" t="str">
        <x:v>37 años y 9 meses o más.</x:v>
      </x:c>
      <x:c r="P547" s="18" t="str">
        <x:v>38 años y seis meses o más.</x:v>
      </x:c>
      <x:c r="Q547" s="18" t="str">
        <x:v>38 años y tres meses o más.</x:v>
      </x:c>
      <x:c r="R547" s="18" t="str">
        <x:v>S10</x:v>
      </x:c>
      <x:c r="S547" s="18" t="n">
        <x:v>10</x:v>
      </x:c>
      <x:c r="T547" s="18" t="str">
        <x:v>Temario específico Seguridad Social</x:v>
      </x:c>
      <x:c r="U547" s="18" t="str">
        <x:v>Jubilación en la modalidad contributiva: concepto. Jubilación ordinaria: requisitos: especial referencia a la edad de jubilación. Determinación de la cuantía de la prestación: base reguladora y porcentaje. Jubilación anticipada, jubilación parcial y jubilación flexible. Compatibilidad de la pensión de jubilación y el trabajo. Suspensión y extinción de la prestación. Especial referencia a la aplicación de la normativa anterior a la Ley 27/2011.</x:v>
      </x:c>
      <x:c r="V547" s="18" t="str">
        <x:v>S10</x:v>
      </x:c>
      <x:c r="W547" s="18" t="str">
        <x:v>texto refundido de la Ley General de la Seguridad Social</x:v>
      </x:c>
      <x:c r="X547" s="18" t="str"/>
      <x:c r="Y547" s="18" t="str">
        <x:v>Jubilación</x:v>
      </x:c>
      <x:c r="Z547" s="18" t="str">
        <x:v>Alta</x:v>
      </x:c>
      <x:c r="AA547" s="18" t="str">
        <x:v>S10</x:v>
      </x:c>
      <x:c r="AB547" s="18" t="str"/>
      <x:c r="AC547" s="18" t="str">
        <x:v>65 años</x:v>
      </x:c>
      <x:c r="AD547" s="18" t="str">
        <x:v>No</x:v>
      </x:c>
      <x:c r="AE547" s="18" t="str">
        <x:v>Práctico</x:v>
      </x:c>
      <x:c r="AF547" s="18" t="str">
        <x:v>D</x:v>
      </x:c>
      <x:c r="AG547" s="18" t="str">
        <x:v>D</x:v>
      </x:c>
      <x:c r="AH547" s="18" t="str">
        <x:v>Válida</x:v>
      </x:c>
      <x:c r="AI547" s="18" t="str">
        <x:v>01. Información oficial de la oposición\Exámenes oficiales anteriores\2026 Convocatoria 2025 - Acceso libre Verde A.pdf</x:v>
      </x:c>
      <x:c r="AJ547" s="18" t="str">
        <x:v>https://www.seg-social.es/wps/portal/wss/internet/InformacionUtil/9950/88beb45d-ca83-4bab-8162-f94ef2894562/e0c83707-3358-47a9-94d7-508221dad233</x:v>
      </x:c>
      <x:c r="AK547" s="18" t="str">
        <x:v>OCR Windows es-ES sobre PDF oficial</x:v>
      </x:c>
      <x:c r="AL547" s="18" t="n">
        <x:v>100</x:v>
      </x:c>
      <x:c r="AM547" s="18" t="str">
        <x:v>Alta</x:v>
      </x:c>
      <x:c r="AN547" s="18" t="str">
        <x:v>Regla jurídica determinista</x:v>
      </x:c>
      <x:c r="AO547" s="18" t="str">
        <x:v>2026_conv2025_rojo_A-P18</x:v>
      </x:c>
      <x:c r="AP547" s="18" t="n">
        <x:v>1</x:v>
      </x:c>
    </x:row>
  </x:sheetData>
  <x:pageMargins left="0.7" right="0.7" top="0.75" bottom="0.75" header="0.3" footer="0.3"/>
  <x:tableParts count="1">
    <x:tablePart xmlns:r="http://schemas.openxmlformats.org/officeDocument/2006/relationships" r:id="Re6396de77da14945"/>
  </x:tableParts>
</x:worksheet>
</file>

<file path=xl/worksheets/sheet4.xml><?xml version="1.0" encoding="utf-8"?>
<x:worksheet xmlns:x="http://schemas.openxmlformats.org/spreadsheetml/2006/main">
  <x:sheetViews>
    <x:sheetView showGridLines="0" workbookViewId="0"/>
  </x:sheetViews>
  <x:sheetFormatPr defaultRowHeight="15"/>
  <x:cols>
    <x:col min="1" max="1" width="14" hidden="0" customWidth="1"/>
    <x:col min="2" max="2" width="14" hidden="0" customWidth="1"/>
    <x:col min="3" max="3" width="14" hidden="0" customWidth="1"/>
    <x:col min="4" max="4" width="58" hidden="0" customWidth="1"/>
    <x:col min="5" max="5" width="12" hidden="0" customWidth="1"/>
    <x:col min="6" max="6" width="12" hidden="0" customWidth="1"/>
    <x:col min="7" max="7" width="12" hidden="0" customWidth="1"/>
    <x:col min="8" max="8" width="12" hidden="0" customWidth="1"/>
    <x:col min="9" max="9" width="12" hidden="0" customWidth="1"/>
    <x:col min="10" max="10" width="12" hidden="0" customWidth="1"/>
    <x:col min="11" max="11" width="12" hidden="0" customWidth="1"/>
    <x:col min="12" max="12" width="12" hidden="0" customWidth="1"/>
    <x:col min="13" max="13" width="38" hidden="0" customWidth="1"/>
    <x:col min="14" max="14" width="38" hidden="0" customWidth="1"/>
    <x:col min="15" max="15" width="38" hidden="0" customWidth="1"/>
  </x:cols>
  <x:sheetData>
    <x:row r="1" ht="30" customHeight="1">
      <x:c r="A1" s="14" t="str">
        <x:v>Tema ID</x:v>
      </x:c>
      <x:c r="B1" s="14" t="str">
        <x:v>Bloque</x:v>
      </x:c>
      <x:c r="C1" s="14" t="str">
        <x:v>N.º oficial</x:v>
      </x:c>
      <x:c r="D1" s="14" t="str">
        <x:v>Título oficial</x:v>
      </x:c>
      <x:c r="E1" s="14" t="str">
        <x:v>Preguntas canónicas</x:v>
      </x:c>
      <x:c r="F1" s="14" t="str">
        <x:v>2024</x:v>
      </x:c>
      <x:c r="G1" s="14" t="str">
        <x:v>2025</x:v>
      </x:c>
      <x:c r="H1" s="14" t="str">
        <x:v>2026</x:v>
      </x:c>
      <x:c r="I1" s="14" t="str">
        <x:v>Prácticas</x:v>
      </x:c>
      <x:c r="J1" s="14" t="str">
        <x:v>Reservas</x:v>
      </x:c>
      <x:c r="K1" s="14" t="str">
        <x:v>Anuladas</x:v>
      </x:c>
      <x:c r="L1" s="14" t="str">
        <x:v>Modificadas</x:v>
      </x:c>
      <x:c r="M1" s="14" t="str">
        <x:v>Normas más citadas</x:v>
      </x:c>
      <x:c r="N1" s="14" t="str">
        <x:v>Artículos más citados</x:v>
      </x:c>
      <x:c r="O1" s="14" t="str">
        <x:v>Conceptos más frecuentes</x:v>
      </x:c>
    </x:row>
    <x:row r="2">
      <x:c r="A2" s="18" t="str">
        <x:v>G01</x:v>
      </x:c>
      <x:c r="B2" s="18" t="str">
        <x:v>Temario general</x:v>
      </x:c>
      <x:c r="C2" s="18" t="n">
        <x:v>1</x:v>
      </x:c>
      <x:c r="D2" s="18" t="str">
        <x:v>La Constitución Española de 1978: Estructura y contenido. La reforma de la Constitución.</x:v>
      </x:c>
      <x:c r="E2" s="18" t="n">
        <x:f>COUNTIFS('Preguntas oficiales'!$R$2:$R$547,A2,'Preguntas oficiales'!$I$2:$I$547,"Sí")</x:f>
        <x:v>4</x:v>
      </x:c>
      <x:c r="F2" s="18" t="n">
        <x:f>COUNTIFS('Preguntas oficiales'!$R$2:$R$547,A2,'Preguntas oficiales'!$I$2:$I$547,"Sí",'Preguntas oficiales'!$B$2:$B$547,2024)</x:f>
        <x:v>1</x:v>
      </x:c>
      <x:c r="G2" s="18" t="n">
        <x:f>COUNTIFS('Preguntas oficiales'!$R$2:$R$547,A2,'Preguntas oficiales'!$I$2:$I$547,"Sí",'Preguntas oficiales'!$B$2:$B$547,2025)</x:f>
        <x:v>2</x:v>
      </x:c>
      <x:c r="H2" s="18" t="n">
        <x:f>COUNTIFS('Preguntas oficiales'!$R$2:$R$547,A2,'Preguntas oficiales'!$I$2:$I$547,"Sí",'Preguntas oficiales'!$B$2:$B$547,2026)</x:f>
        <x:v>1</x:v>
      </x:c>
      <x:c r="I2" s="18" t="n">
        <x:f>COUNTIFS('Preguntas oficiales'!$R$2:$R$547,A2,'Preguntas oficiales'!$I$2:$I$547,"Sí",'Preguntas oficiales'!$AE$2:$AE$547,"Práctico")</x:f>
        <x:v>0</x:v>
      </x:c>
      <x:c r="J2" s="18" t="n">
        <x:f>COUNTIFS('Preguntas oficiales'!$R$2:$R$547,A2,'Preguntas oficiales'!$I$2:$I$547,"Sí",'Preguntas oficiales'!$L$2:$L$547,"Sí")</x:f>
        <x:v>0</x:v>
      </x:c>
      <x:c r="K2" s="18" t="n">
        <x:f>COUNTIFS('Preguntas oficiales'!$R$2:$R$547,A2,'Preguntas oficiales'!$I$2:$I$547,"Sí",'Preguntas oficiales'!$AH$2:$AH$547,"Anulada")</x:f>
        <x:v>0</x:v>
      </x:c>
      <x:c r="L2" s="18" t="n">
        <x:f>COUNTIFS('Preguntas oficiales'!$R$2:$R$547,A2,'Preguntas oficiales'!$I$2:$I$547,"Sí",'Preguntas oficiales'!$AH$2:$AH$547,"Modificada")</x:f>
        <x:v>0</x:v>
      </x:c>
      <x:c r="M2" s="18" t="str">
        <x:v>Constitución Española (3)</x:v>
      </x:c>
      <x:c r="N2" s="18" t="str">
        <x:v>167.1 (1); 8 (1); 168 (1)</x:v>
      </x:c>
      <x:c r="O2" s="18" t="str">
        <x:v>G01 (3); reforma constitucional (1)</x:v>
      </x:c>
    </x:row>
    <x:row r="3">
      <x:c r="A3" s="18" t="str">
        <x:v>G02</x:v>
      </x:c>
      <x:c r="B3" s="18" t="str">
        <x:v>Temario general</x:v>
      </x:c>
      <x:c r="C3" s="18" t="n">
        <x:v>2</x:v>
      </x:c>
      <x:c r="D3" s="18" t="str">
        <x:v>Derechos y deberes fundamentales. Su garantía y suspensión.</x:v>
      </x:c>
      <x:c r="E3" s="18" t="n">
        <x:f>COUNTIFS('Preguntas oficiales'!$R$2:$R$547,A3,'Preguntas oficiales'!$I$2:$I$547,"Sí")</x:f>
        <x:v>7</x:v>
      </x:c>
      <x:c r="F3" s="18" t="n">
        <x:f>COUNTIFS('Preguntas oficiales'!$R$2:$R$547,A3,'Preguntas oficiales'!$I$2:$I$547,"Sí",'Preguntas oficiales'!$B$2:$B$547,2024)</x:f>
        <x:v>1</x:v>
      </x:c>
      <x:c r="G3" s="18" t="n">
        <x:f>COUNTIFS('Preguntas oficiales'!$R$2:$R$547,A3,'Preguntas oficiales'!$I$2:$I$547,"Sí",'Preguntas oficiales'!$B$2:$B$547,2025)</x:f>
        <x:v>4</x:v>
      </x:c>
      <x:c r="H3" s="18" t="n">
        <x:f>COUNTIFS('Preguntas oficiales'!$R$2:$R$547,A3,'Preguntas oficiales'!$I$2:$I$547,"Sí",'Preguntas oficiales'!$B$2:$B$547,2026)</x:f>
        <x:v>2</x:v>
      </x:c>
      <x:c r="I3" s="18" t="n">
        <x:f>COUNTIFS('Preguntas oficiales'!$R$2:$R$547,A3,'Preguntas oficiales'!$I$2:$I$547,"Sí",'Preguntas oficiales'!$AE$2:$AE$547,"Práctico")</x:f>
        <x:v>0</x:v>
      </x:c>
      <x:c r="J3" s="18" t="n">
        <x:f>COUNTIFS('Preguntas oficiales'!$R$2:$R$547,A3,'Preguntas oficiales'!$I$2:$I$547,"Sí",'Preguntas oficiales'!$L$2:$L$547,"Sí")</x:f>
        <x:v>0</x:v>
      </x:c>
      <x:c r="K3" s="18" t="n">
        <x:f>COUNTIFS('Preguntas oficiales'!$R$2:$R$547,A3,'Preguntas oficiales'!$I$2:$I$547,"Sí",'Preguntas oficiales'!$AH$2:$AH$547,"Anulada")</x:f>
        <x:v>0</x:v>
      </x:c>
      <x:c r="L3" s="18" t="n">
        <x:f>COUNTIFS('Preguntas oficiales'!$R$2:$R$547,A3,'Preguntas oficiales'!$I$2:$I$547,"Sí",'Preguntas oficiales'!$AH$2:$AH$547,"Modificada")</x:f>
        <x:v>1</x:v>
      </x:c>
      <x:c r="M3" s="18" t="str">
        <x:v>Constitución Española (6)</x:v>
      </x:c>
      <x:c r="N3" s="18" t="str">
        <x:v>21 (1)</x:v>
      </x:c>
      <x:c r="O3" s="18" t="str">
        <x:v>G02 (4); derechos fundamentales (3)</x:v>
      </x:c>
    </x:row>
    <x:row r="4">
      <x:c r="A4" s="18" t="str">
        <x:v>G03</x:v>
      </x:c>
      <x:c r="B4" s="18" t="str">
        <x:v>Temario general</x:v>
      </x:c>
      <x:c r="C4" s="18" t="n">
        <x:v>3</x:v>
      </x:c>
      <x:c r="D4" s="18" t="str">
        <x:v>El Tribunal Constitucional. Organización, composición y atribuciones.</x:v>
      </x:c>
      <x:c r="E4" s="18" t="n">
        <x:f>COUNTIFS('Preguntas oficiales'!$R$2:$R$547,A4,'Preguntas oficiales'!$I$2:$I$547,"Sí")</x:f>
        <x:v>7</x:v>
      </x:c>
      <x:c r="F4" s="18" t="n">
        <x:f>COUNTIFS('Preguntas oficiales'!$R$2:$R$547,A4,'Preguntas oficiales'!$I$2:$I$547,"Sí",'Preguntas oficiales'!$B$2:$B$547,2024)</x:f>
        <x:v>2</x:v>
      </x:c>
      <x:c r="G4" s="18" t="n">
        <x:f>COUNTIFS('Preguntas oficiales'!$R$2:$R$547,A4,'Preguntas oficiales'!$I$2:$I$547,"Sí",'Preguntas oficiales'!$B$2:$B$547,2025)</x:f>
        <x:v>3</x:v>
      </x:c>
      <x:c r="H4" s="18" t="n">
        <x:f>COUNTIFS('Preguntas oficiales'!$R$2:$R$547,A4,'Preguntas oficiales'!$I$2:$I$547,"Sí",'Preguntas oficiales'!$B$2:$B$547,2026)</x:f>
        <x:v>2</x:v>
      </x:c>
      <x:c r="I4" s="18" t="n">
        <x:f>COUNTIFS('Preguntas oficiales'!$R$2:$R$547,A4,'Preguntas oficiales'!$I$2:$I$547,"Sí",'Preguntas oficiales'!$AE$2:$AE$547,"Práctico")</x:f>
        <x:v>0</x:v>
      </x:c>
      <x:c r="J4" s="18" t="n">
        <x:f>COUNTIFS('Preguntas oficiales'!$R$2:$R$547,A4,'Preguntas oficiales'!$I$2:$I$547,"Sí",'Preguntas oficiales'!$L$2:$L$547,"Sí")</x:f>
        <x:v>1</x:v>
      </x:c>
      <x:c r="K4" s="18" t="n">
        <x:f>COUNTIFS('Preguntas oficiales'!$R$2:$R$547,A4,'Preguntas oficiales'!$I$2:$I$547,"Sí",'Preguntas oficiales'!$AH$2:$AH$547,"Anulada")</x:f>
        <x:v>0</x:v>
      </x:c>
      <x:c r="L4" s="18" t="n">
        <x:f>COUNTIFS('Preguntas oficiales'!$R$2:$R$547,A4,'Preguntas oficiales'!$I$2:$I$547,"Sí",'Preguntas oficiales'!$AH$2:$AH$547,"Modificada")</x:f>
        <x:v>0</x:v>
      </x:c>
      <x:c r="M4" s="18" t="str">
        <x:v>Ley Orgánica 2/1979 (7)</x:v>
      </x:c>
      <x:c r="N4" s="18" t="str">
        <x:v>9 (1); 59 (1); 17 (1); 7 (1); 12 (1); 23 (1); 16 (1)</x:v>
      </x:c>
      <x:c r="O4" s="18" t="str">
        <x:v>G03 (7)</x:v>
      </x:c>
    </x:row>
    <x:row r="5">
      <x:c r="A5" s="18" t="str">
        <x:v>G04</x:v>
      </x:c>
      <x:c r="B5" s="18" t="str">
        <x:v>Temario general</x:v>
      </x:c>
      <x:c r="C5" s="18" t="n">
        <x:v>4</x:v>
      </x:c>
      <x:c r="D5" s="18" t="str">
        <x:v>La Corona. Funciones constitucionales del Rey. Sucesión y regencia. El refrendo.</x:v>
      </x:c>
      <x:c r="E5" s="18" t="n">
        <x:f>COUNTIFS('Preguntas oficiales'!$R$2:$R$547,A5,'Preguntas oficiales'!$I$2:$I$547,"Sí")</x:f>
        <x:v>5</x:v>
      </x:c>
      <x:c r="F5" s="18" t="n">
        <x:f>COUNTIFS('Preguntas oficiales'!$R$2:$R$547,A5,'Preguntas oficiales'!$I$2:$I$547,"Sí",'Preguntas oficiales'!$B$2:$B$547,2024)</x:f>
        <x:v>1</x:v>
      </x:c>
      <x:c r="G5" s="18" t="n">
        <x:f>COUNTIFS('Preguntas oficiales'!$R$2:$R$547,A5,'Preguntas oficiales'!$I$2:$I$547,"Sí",'Preguntas oficiales'!$B$2:$B$547,2025)</x:f>
        <x:v>3</x:v>
      </x:c>
      <x:c r="H5" s="18" t="n">
        <x:f>COUNTIFS('Preguntas oficiales'!$R$2:$R$547,A5,'Preguntas oficiales'!$I$2:$I$547,"Sí",'Preguntas oficiales'!$B$2:$B$547,2026)</x:f>
        <x:v>1</x:v>
      </x:c>
      <x:c r="I5" s="18" t="n">
        <x:f>COUNTIFS('Preguntas oficiales'!$R$2:$R$547,A5,'Preguntas oficiales'!$I$2:$I$547,"Sí",'Preguntas oficiales'!$AE$2:$AE$547,"Práctico")</x:f>
        <x:v>0</x:v>
      </x:c>
      <x:c r="J5" s="18" t="n">
        <x:f>COUNTIFS('Preguntas oficiales'!$R$2:$R$547,A5,'Preguntas oficiales'!$I$2:$I$547,"Sí",'Preguntas oficiales'!$L$2:$L$547,"Sí")</x:f>
        <x:v>0</x:v>
      </x:c>
      <x:c r="K5" s="18" t="n">
        <x:f>COUNTIFS('Preguntas oficiales'!$R$2:$R$547,A5,'Preguntas oficiales'!$I$2:$I$547,"Sí",'Preguntas oficiales'!$AH$2:$AH$547,"Anulada")</x:f>
        <x:v>0</x:v>
      </x:c>
      <x:c r="L5" s="18" t="n">
        <x:f>COUNTIFS('Preguntas oficiales'!$R$2:$R$547,A5,'Preguntas oficiales'!$I$2:$I$547,"Sí",'Preguntas oficiales'!$AH$2:$AH$547,"Modificada")</x:f>
        <x:v>0</x:v>
      </x:c>
      <x:c r="M5" s="18" t="str">
        <x:v>Constitución Española (4); Constitución española (1)</x:v>
      </x:c>
      <x:c r="N5" s="18" t="str">
        <x:v>62 (1); 63 (1); 58 (1); 59.3 (1)</x:v>
      </x:c>
      <x:c r="O5" s="18" t="str">
        <x:v>G04 (5)</x:v>
      </x:c>
    </x:row>
    <x:row r="6">
      <x:c r="A6" s="18" t="str">
        <x:v>G05</x:v>
      </x:c>
      <x:c r="B6" s="18" t="str">
        <x:v>Temario general</x:v>
      </x:c>
      <x:c r="C6" s="18" t="n">
        <x:v>5</x:v>
      </x:c>
      <x:c r="D6" s="18" t="str">
        <x:v>El poder legislativo. Las Cortes Generales: Composición, atribuciones y funcionamiento. El Defensor del Pueblo.</x:v>
      </x:c>
      <x:c r="E6" s="18" t="n">
        <x:f>COUNTIFS('Preguntas oficiales'!$R$2:$R$547,A6,'Preguntas oficiales'!$I$2:$I$547,"Sí")</x:f>
        <x:v>7</x:v>
      </x:c>
      <x:c r="F6" s="18" t="n">
        <x:f>COUNTIFS('Preguntas oficiales'!$R$2:$R$547,A6,'Preguntas oficiales'!$I$2:$I$547,"Sí",'Preguntas oficiales'!$B$2:$B$547,2024)</x:f>
        <x:v>1</x:v>
      </x:c>
      <x:c r="G6" s="18" t="n">
        <x:f>COUNTIFS('Preguntas oficiales'!$R$2:$R$547,A6,'Preguntas oficiales'!$I$2:$I$547,"Sí",'Preguntas oficiales'!$B$2:$B$547,2025)</x:f>
        <x:v>4</x:v>
      </x:c>
      <x:c r="H6" s="18" t="n">
        <x:f>COUNTIFS('Preguntas oficiales'!$R$2:$R$547,A6,'Preguntas oficiales'!$I$2:$I$547,"Sí",'Preguntas oficiales'!$B$2:$B$547,2026)</x:f>
        <x:v>2</x:v>
      </x:c>
      <x:c r="I6" s="18" t="n">
        <x:f>COUNTIFS('Preguntas oficiales'!$R$2:$R$547,A6,'Preguntas oficiales'!$I$2:$I$547,"Sí",'Preguntas oficiales'!$AE$2:$AE$547,"Práctico")</x:f>
        <x:v>0</x:v>
      </x:c>
      <x:c r="J6" s="18" t="n">
        <x:f>COUNTIFS('Preguntas oficiales'!$R$2:$R$547,A6,'Preguntas oficiales'!$I$2:$I$547,"Sí",'Preguntas oficiales'!$L$2:$L$547,"Sí")</x:f>
        <x:v>0</x:v>
      </x:c>
      <x:c r="K6" s="18" t="n">
        <x:f>COUNTIFS('Preguntas oficiales'!$R$2:$R$547,A6,'Preguntas oficiales'!$I$2:$I$547,"Sí",'Preguntas oficiales'!$AH$2:$AH$547,"Anulada")</x:f>
        <x:v>0</x:v>
      </x:c>
      <x:c r="L6" s="18" t="n">
        <x:f>COUNTIFS('Preguntas oficiales'!$R$2:$R$547,A6,'Preguntas oficiales'!$I$2:$I$547,"Sí",'Preguntas oficiales'!$AH$2:$AH$547,"Modificada")</x:f>
        <x:v>0</x:v>
      </x:c>
      <x:c r="M6" s="18" t="str">
        <x:v>Constitución Española (6)</x:v>
      </x:c>
      <x:c r="N6" s="18" t="str">
        <x:v>68 (2); 75 (1); 54 (1); 88 (1); 73 (1)</x:v>
      </x:c>
      <x:c r="O6" s="18" t="str">
        <x:v>G05 (7)</x:v>
      </x:c>
    </x:row>
    <x:row r="7">
      <x:c r="A7" s="18" t="str">
        <x:v>G06</x:v>
      </x:c>
      <x:c r="B7" s="18" t="str">
        <x:v>Temario general</x:v>
      </x:c>
      <x:c r="C7" s="18" t="n">
        <x:v>6</x:v>
      </x:c>
      <x:c r="D7" s="18" t="str">
        <x:v>El Poder Judicial. El principio de unidad jurisdiccional. El Consejo General del Poder Judicial. La organización judicial española.</x:v>
      </x:c>
      <x:c r="E7" s="18" t="n">
        <x:f>COUNTIFS('Preguntas oficiales'!$R$2:$R$547,A7,'Preguntas oficiales'!$I$2:$I$547,"Sí")</x:f>
        <x:v>6</x:v>
      </x:c>
      <x:c r="F7" s="18" t="n">
        <x:f>COUNTIFS('Preguntas oficiales'!$R$2:$R$547,A7,'Preguntas oficiales'!$I$2:$I$547,"Sí",'Preguntas oficiales'!$B$2:$B$547,2024)</x:f>
        <x:v>1</x:v>
      </x:c>
      <x:c r="G7" s="18" t="n">
        <x:f>COUNTIFS('Preguntas oficiales'!$R$2:$R$547,A7,'Preguntas oficiales'!$I$2:$I$547,"Sí",'Preguntas oficiales'!$B$2:$B$547,2025)</x:f>
        <x:v>4</x:v>
      </x:c>
      <x:c r="H7" s="18" t="n">
        <x:f>COUNTIFS('Preguntas oficiales'!$R$2:$R$547,A7,'Preguntas oficiales'!$I$2:$I$547,"Sí",'Preguntas oficiales'!$B$2:$B$547,2026)</x:f>
        <x:v>1</x:v>
      </x:c>
      <x:c r="I7" s="18" t="n">
        <x:f>COUNTIFS('Preguntas oficiales'!$R$2:$R$547,A7,'Preguntas oficiales'!$I$2:$I$547,"Sí",'Preguntas oficiales'!$AE$2:$AE$547,"Práctico")</x:f>
        <x:v>0</x:v>
      </x:c>
      <x:c r="J7" s="18" t="n">
        <x:f>COUNTIFS('Preguntas oficiales'!$R$2:$R$547,A7,'Preguntas oficiales'!$I$2:$I$547,"Sí",'Preguntas oficiales'!$L$2:$L$547,"Sí")</x:f>
        <x:v>1</x:v>
      </x:c>
      <x:c r="K7" s="18" t="n">
        <x:f>COUNTIFS('Preguntas oficiales'!$R$2:$R$547,A7,'Preguntas oficiales'!$I$2:$I$547,"Sí",'Preguntas oficiales'!$AH$2:$AH$547,"Anulada")</x:f>
        <x:v>0</x:v>
      </x:c>
      <x:c r="L7" s="18" t="n">
        <x:f>COUNTIFS('Preguntas oficiales'!$R$2:$R$547,A7,'Preguntas oficiales'!$I$2:$I$547,"Sí",'Preguntas oficiales'!$AH$2:$AH$547,"Modificada")</x:f>
        <x:v>0</x:v>
      </x:c>
      <x:c r="M7" s="18" t="str">
        <x:v>Constitución Española (4); Ley Orgánica 6/1985 (2)</x:v>
      </x:c>
      <x:c r="N7" s="18" t="str">
        <x:v>122 (2); 117 (1); 64.1 (1); 125 (1); 55 (1)</x:v>
      </x:c>
      <x:c r="O7" s="18" t="str">
        <x:v>G06 (6)</x:v>
      </x:c>
    </x:row>
    <x:row r="8">
      <x:c r="A8" s="18" t="str">
        <x:v>G07</x:v>
      </x:c>
      <x:c r="B8" s="18" t="str">
        <x:v>Temario general</x:v>
      </x:c>
      <x:c r="C8" s="18" t="n">
        <x:v>7</x:v>
      </x:c>
      <x:c r="D8" s="18" t="str">
        <x:v>El poder ejecutivo. El presidente del Gobierno y el Consejo de Ministros. Relaciones entre el Gobierno y las Cortes Generales. Designación, causas de cese y responsabilidad del Gobierno. El Consejo de Estado.</x:v>
      </x:c>
      <x:c r="E8" s="18" t="n">
        <x:f>COUNTIFS('Preguntas oficiales'!$R$2:$R$547,A8,'Preguntas oficiales'!$I$2:$I$547,"Sí")</x:f>
        <x:v>6</x:v>
      </x:c>
      <x:c r="F8" s="18" t="n">
        <x:f>COUNTIFS('Preguntas oficiales'!$R$2:$R$547,A8,'Preguntas oficiales'!$I$2:$I$547,"Sí",'Preguntas oficiales'!$B$2:$B$547,2024)</x:f>
        <x:v>1</x:v>
      </x:c>
      <x:c r="G8" s="18" t="n">
        <x:f>COUNTIFS('Preguntas oficiales'!$R$2:$R$547,A8,'Preguntas oficiales'!$I$2:$I$547,"Sí",'Preguntas oficiales'!$B$2:$B$547,2025)</x:f>
        <x:v>4</x:v>
      </x:c>
      <x:c r="H8" s="18" t="n">
        <x:f>COUNTIFS('Preguntas oficiales'!$R$2:$R$547,A8,'Preguntas oficiales'!$I$2:$I$547,"Sí",'Preguntas oficiales'!$B$2:$B$547,2026)</x:f>
        <x:v>1</x:v>
      </x:c>
      <x:c r="I8" s="18" t="n">
        <x:f>COUNTIFS('Preguntas oficiales'!$R$2:$R$547,A8,'Preguntas oficiales'!$I$2:$I$547,"Sí",'Preguntas oficiales'!$AE$2:$AE$547,"Práctico")</x:f>
        <x:v>0</x:v>
      </x:c>
      <x:c r="J8" s="18" t="n">
        <x:f>COUNTIFS('Preguntas oficiales'!$R$2:$R$547,A8,'Preguntas oficiales'!$I$2:$I$547,"Sí",'Preguntas oficiales'!$L$2:$L$547,"Sí")</x:f>
        <x:v>0</x:v>
      </x:c>
      <x:c r="K8" s="18" t="n">
        <x:f>COUNTIFS('Preguntas oficiales'!$R$2:$R$547,A8,'Preguntas oficiales'!$I$2:$I$547,"Sí",'Preguntas oficiales'!$AH$2:$AH$547,"Anulada")</x:f>
        <x:v>0</x:v>
      </x:c>
      <x:c r="L8" s="18" t="n">
        <x:f>COUNTIFS('Preguntas oficiales'!$R$2:$R$547,A8,'Preguntas oficiales'!$I$2:$I$547,"Sí",'Preguntas oficiales'!$AH$2:$AH$547,"Modificada")</x:f>
        <x:v>0</x:v>
      </x:c>
      <x:c r="M8" s="18" t="str">
        <x:v>Constitución Española (4); Ley 50/1997 (1)</x:v>
      </x:c>
      <x:c r="N8" s="18" t="str">
        <x:v>113 (2); 13 (1); 102 (1); 111 (1)</x:v>
      </x:c>
      <x:c r="O8" s="18" t="str">
        <x:v>G07 (6)</x:v>
      </x:c>
    </x:row>
    <x:row r="9">
      <x:c r="A9" s="18" t="str">
        <x:v>G08</x:v>
      </x:c>
      <x:c r="B9" s="18" t="str">
        <x:v>Temario general</x:v>
      </x:c>
      <x:c r="C9" s="18" t="n">
        <x:v>8</x:v>
      </x:c>
      <x:c r="D9" s="18" t="str">
        <x:v>La Administración General del Estado. Principios de organización y funcionamiento. Órganos centrales. Órganos superiores y órganos directivos: creación, nombramiento, cese y funciones. Los servicios comunes de los ministerios. Órganos territoriales. La Administración del Estado en el Exterior.</x:v>
      </x:c>
      <x:c r="E9" s="18" t="n">
        <x:f>COUNTIFS('Preguntas oficiales'!$R$2:$R$547,A9,'Preguntas oficiales'!$I$2:$I$547,"Sí")</x:f>
        <x:v>5</x:v>
      </x:c>
      <x:c r="F9" s="18" t="n">
        <x:f>COUNTIFS('Preguntas oficiales'!$R$2:$R$547,A9,'Preguntas oficiales'!$I$2:$I$547,"Sí",'Preguntas oficiales'!$B$2:$B$547,2024)</x:f>
        <x:v>1</x:v>
      </x:c>
      <x:c r="G9" s="18" t="n">
        <x:f>COUNTIFS('Preguntas oficiales'!$R$2:$R$547,A9,'Preguntas oficiales'!$I$2:$I$547,"Sí",'Preguntas oficiales'!$B$2:$B$547,2025)</x:f>
        <x:v>2</x:v>
      </x:c>
      <x:c r="H9" s="18" t="n">
        <x:f>COUNTIFS('Preguntas oficiales'!$R$2:$R$547,A9,'Preguntas oficiales'!$I$2:$I$547,"Sí",'Preguntas oficiales'!$B$2:$B$547,2026)</x:f>
        <x:v>2</x:v>
      </x:c>
      <x:c r="I9" s="18" t="n">
        <x:f>COUNTIFS('Preguntas oficiales'!$R$2:$R$547,A9,'Preguntas oficiales'!$I$2:$I$547,"Sí",'Preguntas oficiales'!$AE$2:$AE$547,"Práctico")</x:f>
        <x:v>0</x:v>
      </x:c>
      <x:c r="J9" s="18" t="n">
        <x:f>COUNTIFS('Preguntas oficiales'!$R$2:$R$547,A9,'Preguntas oficiales'!$I$2:$I$547,"Sí",'Preguntas oficiales'!$L$2:$L$547,"Sí")</x:f>
        <x:v>0</x:v>
      </x:c>
      <x:c r="K9" s="18" t="n">
        <x:f>COUNTIFS('Preguntas oficiales'!$R$2:$R$547,A9,'Preguntas oficiales'!$I$2:$I$547,"Sí",'Preguntas oficiales'!$AH$2:$AH$547,"Anulada")</x:f>
        <x:v>0</x:v>
      </x:c>
      <x:c r="L9" s="18" t="n">
        <x:f>COUNTIFS('Preguntas oficiales'!$R$2:$R$547,A9,'Preguntas oficiales'!$I$2:$I$547,"Sí",'Preguntas oficiales'!$AH$2:$AH$547,"Modificada")</x:f>
        <x:v>0</x:v>
      </x:c>
      <x:c r="M9" s="18" t="str">
        <x:v>Ley 40/2015 (4)</x:v>
      </x:c>
      <x:c r="N9" s="18" t="str">
        <x:v>58 (1); 61 (1); 57 y 58 (1)</x:v>
      </x:c>
      <x:c r="O9" s="18" t="str">
        <x:v>G08 (5)</x:v>
      </x:c>
    </x:row>
    <x:row r="10">
      <x:c r="A10" s="18" t="str">
        <x:v>G09</x:v>
      </x:c>
      <x:c r="B10" s="18" t="str">
        <x:v>Temario general</x:v>
      </x:c>
      <x:c r="C10" s="18" t="n">
        <x:v>9</x:v>
      </x:c>
      <x:c r="D10" s="18" t="str">
        <x:v>La organización territorial del Estado. Las Comunidades Autónomas. Los Estatutos de Autonomía. La delimitación de competencias entre el Estado y las Comunidades Autónomas en la Constitución y en los Estatutos de Autonomía. La Administración local: El municipio. La provincia.</x:v>
      </x:c>
      <x:c r="E10" s="18" t="n">
        <x:f>COUNTIFS('Preguntas oficiales'!$R$2:$R$547,A10,'Preguntas oficiales'!$I$2:$I$547,"Sí")</x:f>
        <x:v>5</x:v>
      </x:c>
      <x:c r="F10" s="18" t="n">
        <x:f>COUNTIFS('Preguntas oficiales'!$R$2:$R$547,A10,'Preguntas oficiales'!$I$2:$I$547,"Sí",'Preguntas oficiales'!$B$2:$B$547,2024)</x:f>
        <x:v>1</x:v>
      </x:c>
      <x:c r="G10" s="18" t="n">
        <x:f>COUNTIFS('Preguntas oficiales'!$R$2:$R$547,A10,'Preguntas oficiales'!$I$2:$I$547,"Sí",'Preguntas oficiales'!$B$2:$B$547,2025)</x:f>
        <x:v>3</x:v>
      </x:c>
      <x:c r="H10" s="18" t="n">
        <x:f>COUNTIFS('Preguntas oficiales'!$R$2:$R$547,A10,'Preguntas oficiales'!$I$2:$I$547,"Sí",'Preguntas oficiales'!$B$2:$B$547,2026)</x:f>
        <x:v>1</x:v>
      </x:c>
      <x:c r="I10" s="18" t="n">
        <x:f>COUNTIFS('Preguntas oficiales'!$R$2:$R$547,A10,'Preguntas oficiales'!$I$2:$I$547,"Sí",'Preguntas oficiales'!$AE$2:$AE$547,"Práctico")</x:f>
        <x:v>0</x:v>
      </x:c>
      <x:c r="J10" s="18" t="n">
        <x:f>COUNTIFS('Preguntas oficiales'!$R$2:$R$547,A10,'Preguntas oficiales'!$I$2:$I$547,"Sí",'Preguntas oficiales'!$L$2:$L$547,"Sí")</x:f>
        <x:v>0</x:v>
      </x:c>
      <x:c r="K10" s="18" t="n">
        <x:f>COUNTIFS('Preguntas oficiales'!$R$2:$R$547,A10,'Preguntas oficiales'!$I$2:$I$547,"Sí",'Preguntas oficiales'!$AH$2:$AH$547,"Anulada")</x:f>
        <x:v>0</x:v>
      </x:c>
      <x:c r="L10" s="18" t="n">
        <x:f>COUNTIFS('Preguntas oficiales'!$R$2:$R$547,A10,'Preguntas oficiales'!$I$2:$I$547,"Sí",'Preguntas oficiales'!$AH$2:$AH$547,"Modificada")</x:f>
        <x:v>0</x:v>
      </x:c>
      <x:c r="M10" s="18" t="str">
        <x:v>Constitución Española (5)</x:v>
      </x:c>
      <x:c r="N10" s="18" t="str">
        <x:v>153 (1); 148 (1); 146 (1); 157 (1); 155 (1)</x:v>
      </x:c>
      <x:c r="O10" s="18" t="str">
        <x:v>G09 (5)</x:v>
      </x:c>
    </x:row>
    <x:row r="11">
      <x:c r="A11" s="18" t="str">
        <x:v>G10</x:v>
      </x:c>
      <x:c r="B11" s="18" t="str">
        <x:v>Temario general</x:v>
      </x:c>
      <x:c r="C11" s="18" t="n">
        <x:v>10</x:v>
      </x:c>
      <x:c r="D11" s="18" t="str">
        <x:v>Las Instituciones de la Unión Europea: El Consejo, el Parlamento Europeo, la Comisión, el Tribunal de Justicia.</x:v>
      </x:c>
      <x:c r="E11" s="18" t="n">
        <x:f>COUNTIFS('Preguntas oficiales'!$R$2:$R$547,A11,'Preguntas oficiales'!$I$2:$I$547,"Sí")</x:f>
        <x:v>7</x:v>
      </x:c>
      <x:c r="F11" s="18" t="n">
        <x:f>COUNTIFS('Preguntas oficiales'!$R$2:$R$547,A11,'Preguntas oficiales'!$I$2:$I$547,"Sí",'Preguntas oficiales'!$B$2:$B$547,2024)</x:f>
        <x:v>1</x:v>
      </x:c>
      <x:c r="G11" s="18" t="n">
        <x:f>COUNTIFS('Preguntas oficiales'!$R$2:$R$547,A11,'Preguntas oficiales'!$I$2:$I$547,"Sí",'Preguntas oficiales'!$B$2:$B$547,2025)</x:f>
        <x:v>4</x:v>
      </x:c>
      <x:c r="H11" s="18" t="n">
        <x:f>COUNTIFS('Preguntas oficiales'!$R$2:$R$547,A11,'Preguntas oficiales'!$I$2:$I$547,"Sí",'Preguntas oficiales'!$B$2:$B$547,2026)</x:f>
        <x:v>2</x:v>
      </x:c>
      <x:c r="I11" s="18" t="n">
        <x:f>COUNTIFS('Preguntas oficiales'!$R$2:$R$547,A11,'Preguntas oficiales'!$I$2:$I$547,"Sí",'Preguntas oficiales'!$AE$2:$AE$547,"Práctico")</x:f>
        <x:v>0</x:v>
      </x:c>
      <x:c r="J11" s="18" t="n">
        <x:f>COUNTIFS('Preguntas oficiales'!$R$2:$R$547,A11,'Preguntas oficiales'!$I$2:$I$547,"Sí",'Preguntas oficiales'!$L$2:$L$547,"Sí")</x:f>
        <x:v>1</x:v>
      </x:c>
      <x:c r="K11" s="18" t="n">
        <x:f>COUNTIFS('Preguntas oficiales'!$R$2:$R$547,A11,'Preguntas oficiales'!$I$2:$I$547,"Sí",'Preguntas oficiales'!$AH$2:$AH$547,"Anulada")</x:f>
        <x:v>0</x:v>
      </x:c>
      <x:c r="L11" s="18" t="n">
        <x:f>COUNTIFS('Preguntas oficiales'!$R$2:$R$547,A11,'Preguntas oficiales'!$I$2:$I$547,"Sí",'Preguntas oficiales'!$AH$2:$AH$547,"Modificada")</x:f>
        <x:v>0</x:v>
      </x:c>
      <x:c r="M11" s="18" t="str">
        <x:v>Tratado de Funcionamiento de la Unión Europea (4); Tratado de la Unión Europea (3)</x:v>
      </x:c>
      <x:c r="N11" s="18" t="str">
        <x:v>14 (2); 3 (1); 4 (1); 17 (1)</x:v>
      </x:c>
      <x:c r="O11" s="18" t="str">
        <x:v>G10 (7)</x:v>
      </x:c>
    </x:row>
    <x:row r="12">
      <x:c r="A12" s="18" t="str">
        <x:v>G11</x:v>
      </x:c>
      <x:c r="B12" s="18" t="str">
        <x:v>Temario general</x:v>
      </x:c>
      <x:c r="C12" s="18" t="n">
        <x:v>11</x:v>
      </x:c>
      <x:c r="D12" s="18" t="str">
        <x:v>Las fuentes del derecho de la Unión Europea. Derecho originario. Derecho derivado: Reglamentos, directivas y decisiones. Otras fuentes. Las relaciones entre el Derecho de la Unión Europea y el ordenamiento jurídico de los Estados miembros.</x:v>
      </x:c>
      <x:c r="E12" s="18" t="n">
        <x:f>COUNTIFS('Preguntas oficiales'!$R$2:$R$547,A12,'Preguntas oficiales'!$I$2:$I$547,"Sí")</x:f>
        <x:v>5</x:v>
      </x:c>
      <x:c r="F12" s="18" t="n">
        <x:f>COUNTIFS('Preguntas oficiales'!$R$2:$R$547,A12,'Preguntas oficiales'!$I$2:$I$547,"Sí",'Preguntas oficiales'!$B$2:$B$547,2024)</x:f>
        <x:v>1</x:v>
      </x:c>
      <x:c r="G12" s="18" t="n">
        <x:f>COUNTIFS('Preguntas oficiales'!$R$2:$R$547,A12,'Preguntas oficiales'!$I$2:$I$547,"Sí",'Preguntas oficiales'!$B$2:$B$547,2025)</x:f>
        <x:v>3</x:v>
      </x:c>
      <x:c r="H12" s="18" t="n">
        <x:f>COUNTIFS('Preguntas oficiales'!$R$2:$R$547,A12,'Preguntas oficiales'!$I$2:$I$547,"Sí",'Preguntas oficiales'!$B$2:$B$547,2026)</x:f>
        <x:v>1</x:v>
      </x:c>
      <x:c r="I12" s="18" t="n">
        <x:f>COUNTIFS('Preguntas oficiales'!$R$2:$R$547,A12,'Preguntas oficiales'!$I$2:$I$547,"Sí",'Preguntas oficiales'!$AE$2:$AE$547,"Práctico")</x:f>
        <x:v>0</x:v>
      </x:c>
      <x:c r="J12" s="18" t="n">
        <x:f>COUNTIFS('Preguntas oficiales'!$R$2:$R$547,A12,'Preguntas oficiales'!$I$2:$I$547,"Sí",'Preguntas oficiales'!$L$2:$L$547,"Sí")</x:f>
        <x:v>1</x:v>
      </x:c>
      <x:c r="K12" s="18" t="n">
        <x:f>COUNTIFS('Preguntas oficiales'!$R$2:$R$547,A12,'Preguntas oficiales'!$I$2:$I$547,"Sí",'Preguntas oficiales'!$AH$2:$AH$547,"Anulada")</x:f>
        <x:v>0</x:v>
      </x:c>
      <x:c r="L12" s="18" t="n">
        <x:f>COUNTIFS('Preguntas oficiales'!$R$2:$R$547,A12,'Preguntas oficiales'!$I$2:$I$547,"Sí",'Preguntas oficiales'!$AH$2:$AH$547,"Modificada")</x:f>
        <x:v>0</x:v>
      </x:c>
      <x:c r="M12" s="18" t="str">
        <x:v>Tratado de Funcionamiento de la Unión Europea (4)</x:v>
      </x:c>
      <x:c r="N12" s="18" t="str">
        <x:v>288 (2); 218 (1); 290 (1)</x:v>
      </x:c>
      <x:c r="O12" s="18" t="str">
        <x:v>G11 (5)</x:v>
      </x:c>
    </x:row>
    <x:row r="13">
      <x:c r="A13" s="18" t="str">
        <x:v>G12</x:v>
      </x:c>
      <x:c r="B13" s="18" t="str">
        <x:v>Temario general</x:v>
      </x:c>
      <x:c r="C13" s="18" t="n">
        <x:v>12</x:v>
      </x:c>
      <x:c r="D13" s="18" t="str">
        <x:v>El Ministerio de Inclusión, Seguridad Social y Migraciones. Organización. Estructura y funciones.</x:v>
      </x:c>
      <x:c r="E13" s="18" t="n">
        <x:f>COUNTIFS('Preguntas oficiales'!$R$2:$R$547,A13,'Preguntas oficiales'!$I$2:$I$547,"Sí")</x:f>
        <x:v>5</x:v>
      </x:c>
      <x:c r="F13" s="18" t="n">
        <x:f>COUNTIFS('Preguntas oficiales'!$R$2:$R$547,A13,'Preguntas oficiales'!$I$2:$I$547,"Sí",'Preguntas oficiales'!$B$2:$B$547,2024)</x:f>
        <x:v>1</x:v>
      </x:c>
      <x:c r="G13" s="18" t="n">
        <x:f>COUNTIFS('Preguntas oficiales'!$R$2:$R$547,A13,'Preguntas oficiales'!$I$2:$I$547,"Sí",'Preguntas oficiales'!$B$2:$B$547,2025)</x:f>
        <x:v>3</x:v>
      </x:c>
      <x:c r="H13" s="18" t="n">
        <x:f>COUNTIFS('Preguntas oficiales'!$R$2:$R$547,A13,'Preguntas oficiales'!$I$2:$I$547,"Sí",'Preguntas oficiales'!$B$2:$B$547,2026)</x:f>
        <x:v>1</x:v>
      </x:c>
      <x:c r="I13" s="18" t="n">
        <x:f>COUNTIFS('Preguntas oficiales'!$R$2:$R$547,A13,'Preguntas oficiales'!$I$2:$I$547,"Sí",'Preguntas oficiales'!$AE$2:$AE$547,"Práctico")</x:f>
        <x:v>0</x:v>
      </x:c>
      <x:c r="J13" s="18" t="n">
        <x:f>COUNTIFS('Preguntas oficiales'!$R$2:$R$547,A13,'Preguntas oficiales'!$I$2:$I$547,"Sí",'Preguntas oficiales'!$L$2:$L$547,"Sí")</x:f>
        <x:v>0</x:v>
      </x:c>
      <x:c r="K13" s="18" t="n">
        <x:f>COUNTIFS('Preguntas oficiales'!$R$2:$R$547,A13,'Preguntas oficiales'!$I$2:$I$547,"Sí",'Preguntas oficiales'!$AH$2:$AH$547,"Anulada")</x:f>
        <x:v>0</x:v>
      </x:c>
      <x:c r="L13" s="18" t="n">
        <x:f>COUNTIFS('Preguntas oficiales'!$R$2:$R$547,A13,'Preguntas oficiales'!$I$2:$I$547,"Sí",'Preguntas oficiales'!$AH$2:$AH$547,"Modificada")</x:f>
        <x:v>0</x:v>
      </x:c>
      <x:c r="M13" s="18" t="str">
        <x:v>Real Decreto 501/2024 (5)</x:v>
      </x:c>
      <x:c r="N13" s="18" t="str">
        <x:v>7 (1); 1 (1); 2 (1); 3 (1)</x:v>
      </x:c>
      <x:c r="O13" s="18" t="str">
        <x:v>G12 (5)</x:v>
      </x:c>
    </x:row>
    <x:row r="14">
      <x:c r="A14" s="18" t="str">
        <x:v>G13</x:v>
      </x:c>
      <x:c r="B14" s="18" t="str">
        <x:v>Temario general</x:v>
      </x:c>
      <x:c r="C14" s="18" t="n">
        <x:v>13</x:v>
      </x:c>
      <x:c r="D14" s="18" t="str">
        <x:v>Las fuentes del Derecho Administrativo. Concepto y clases. La jerarquía de las fuentes.</x:v>
      </x:c>
      <x:c r="E14" s="18" t="n">
        <x:f>COUNTIFS('Preguntas oficiales'!$R$2:$R$547,A14,'Preguntas oficiales'!$I$2:$I$547,"Sí")</x:f>
        <x:v>4</x:v>
      </x:c>
      <x:c r="F14" s="18" t="n">
        <x:f>COUNTIFS('Preguntas oficiales'!$R$2:$R$547,A14,'Preguntas oficiales'!$I$2:$I$547,"Sí",'Preguntas oficiales'!$B$2:$B$547,2024)</x:f>
        <x:v>1</x:v>
      </x:c>
      <x:c r="G14" s="18" t="n">
        <x:f>COUNTIFS('Preguntas oficiales'!$R$2:$R$547,A14,'Preguntas oficiales'!$I$2:$I$547,"Sí",'Preguntas oficiales'!$B$2:$B$547,2025)</x:f>
        <x:v>2</x:v>
      </x:c>
      <x:c r="H14" s="18" t="n">
        <x:f>COUNTIFS('Preguntas oficiales'!$R$2:$R$547,A14,'Preguntas oficiales'!$I$2:$I$547,"Sí",'Preguntas oficiales'!$B$2:$B$547,2026)</x:f>
        <x:v>1</x:v>
      </x:c>
      <x:c r="I14" s="18" t="n">
        <x:f>COUNTIFS('Preguntas oficiales'!$R$2:$R$547,A14,'Preguntas oficiales'!$I$2:$I$547,"Sí",'Preguntas oficiales'!$AE$2:$AE$547,"Práctico")</x:f>
        <x:v>0</x:v>
      </x:c>
      <x:c r="J14" s="18" t="n">
        <x:f>COUNTIFS('Preguntas oficiales'!$R$2:$R$547,A14,'Preguntas oficiales'!$I$2:$I$547,"Sí",'Preguntas oficiales'!$L$2:$L$547,"Sí")</x:f>
        <x:v>0</x:v>
      </x:c>
      <x:c r="K14" s="18" t="n">
        <x:f>COUNTIFS('Preguntas oficiales'!$R$2:$R$547,A14,'Preguntas oficiales'!$I$2:$I$547,"Sí",'Preguntas oficiales'!$AH$2:$AH$547,"Anulada")</x:f>
        <x:v>0</x:v>
      </x:c>
      <x:c r="L14" s="18" t="n">
        <x:f>COUNTIFS('Preguntas oficiales'!$R$2:$R$547,A14,'Preguntas oficiales'!$I$2:$I$547,"Sí",'Preguntas oficiales'!$AH$2:$AH$547,"Modificada")</x:f>
        <x:v>0</x:v>
      </x:c>
      <x:c r="M14" s="18" t="str">
        <x:v>Constitución Española (2)</x:v>
      </x:c>
      <x:c r="N14" s="18" t="str">
        <x:v>1 (1); 2 (1); 94 y 96 (1)</x:v>
      </x:c>
      <x:c r="O14" s="18" t="str">
        <x:v>G13 (4)</x:v>
      </x:c>
    </x:row>
    <x:row r="15">
      <x:c r="A15" s="18" t="str">
        <x:v>G14</x:v>
      </x:c>
      <x:c r="B15" s="18" t="str">
        <x:v>Temario general</x:v>
      </x:c>
      <x:c r="C15" s="18" t="n">
        <x:v>14</x:v>
      </x:c>
      <x:c r="D15" s="18" t="str">
        <x:v>La Ley. Tipos de leyes. Disposiciones del Gobierno con fuerza de ley: decreto-ley y decreto legislativo. El Reglamento: concepto, clases y límites. Los principios generales del Derecho.</x:v>
      </x:c>
      <x:c r="E15" s="18" t="n">
        <x:f>COUNTIFS('Preguntas oficiales'!$R$2:$R$547,A15,'Preguntas oficiales'!$I$2:$I$547,"Sí")</x:f>
        <x:v>5</x:v>
      </x:c>
      <x:c r="F15" s="18" t="n">
        <x:f>COUNTIFS('Preguntas oficiales'!$R$2:$R$547,A15,'Preguntas oficiales'!$I$2:$I$547,"Sí",'Preguntas oficiales'!$B$2:$B$547,2024)</x:f>
        <x:v>1</x:v>
      </x:c>
      <x:c r="G15" s="18" t="n">
        <x:f>COUNTIFS('Preguntas oficiales'!$R$2:$R$547,A15,'Preguntas oficiales'!$I$2:$I$547,"Sí",'Preguntas oficiales'!$B$2:$B$547,2025)</x:f>
        <x:v>3</x:v>
      </x:c>
      <x:c r="H15" s="18" t="n">
        <x:f>COUNTIFS('Preguntas oficiales'!$R$2:$R$547,A15,'Preguntas oficiales'!$I$2:$I$547,"Sí",'Preguntas oficiales'!$B$2:$B$547,2026)</x:f>
        <x:v>1</x:v>
      </x:c>
      <x:c r="I15" s="18" t="n">
        <x:f>COUNTIFS('Preguntas oficiales'!$R$2:$R$547,A15,'Preguntas oficiales'!$I$2:$I$547,"Sí",'Preguntas oficiales'!$AE$2:$AE$547,"Práctico")</x:f>
        <x:v>0</x:v>
      </x:c>
      <x:c r="J15" s="18" t="n">
        <x:f>COUNTIFS('Preguntas oficiales'!$R$2:$R$547,A15,'Preguntas oficiales'!$I$2:$I$547,"Sí",'Preguntas oficiales'!$L$2:$L$547,"Sí")</x:f>
        <x:v>0</x:v>
      </x:c>
      <x:c r="K15" s="18" t="n">
        <x:f>COUNTIFS('Preguntas oficiales'!$R$2:$R$547,A15,'Preguntas oficiales'!$I$2:$I$547,"Sí",'Preguntas oficiales'!$AH$2:$AH$547,"Anulada")</x:f>
        <x:v>0</x:v>
      </x:c>
      <x:c r="L15" s="18" t="n">
        <x:f>COUNTIFS('Preguntas oficiales'!$R$2:$R$547,A15,'Preguntas oficiales'!$I$2:$I$547,"Sí",'Preguntas oficiales'!$AH$2:$AH$547,"Modificada")</x:f>
        <x:v>0</x:v>
      </x:c>
      <x:c r="M15" s="18" t="str">
        <x:v>Constitución Española (2); Ley 50/1997 (2); Ley 39/2015 (1)</x:v>
      </x:c>
      <x:c r="N15" s="18" t="str">
        <x:v>82 (1); 24.1 (1); 128 (1); 24 (1)</x:v>
      </x:c>
      <x:c r="O15" s="18" t="str">
        <x:v>G14 (5)</x:v>
      </x:c>
    </x:row>
    <x:row r="16">
      <x:c r="A16" s="18" t="str">
        <x:v>G15</x:v>
      </x:c>
      <x:c r="B16" s="18" t="str">
        <x:v>Temario general</x:v>
      </x:c>
      <x:c r="C16" s="18" t="n">
        <x:v>15</x:v>
      </x:c>
      <x:c r="D16" s="18" t="str">
        <x:v>Los actos administrativos. Concepto y clases. Motivación, forma y eficacia de los actos administrativos. Notificación y publicación. Nulidad y anulabilidad. La revisión de oficio.</x:v>
      </x:c>
      <x:c r="E16" s="18" t="n">
        <x:f>COUNTIFS('Preguntas oficiales'!$R$2:$R$547,A16,'Preguntas oficiales'!$I$2:$I$547,"Sí")</x:f>
        <x:v>5</x:v>
      </x:c>
      <x:c r="F16" s="18" t="n">
        <x:f>COUNTIFS('Preguntas oficiales'!$R$2:$R$547,A16,'Preguntas oficiales'!$I$2:$I$547,"Sí",'Preguntas oficiales'!$B$2:$B$547,2024)</x:f>
        <x:v>1</x:v>
      </x:c>
      <x:c r="G16" s="18" t="n">
        <x:f>COUNTIFS('Preguntas oficiales'!$R$2:$R$547,A16,'Preguntas oficiales'!$I$2:$I$547,"Sí",'Preguntas oficiales'!$B$2:$B$547,2025)</x:f>
        <x:v>3</x:v>
      </x:c>
      <x:c r="H16" s="18" t="n">
        <x:f>COUNTIFS('Preguntas oficiales'!$R$2:$R$547,A16,'Preguntas oficiales'!$I$2:$I$547,"Sí",'Preguntas oficiales'!$B$2:$B$547,2026)</x:f>
        <x:v>1</x:v>
      </x:c>
      <x:c r="I16" s="18" t="n">
        <x:f>COUNTIFS('Preguntas oficiales'!$R$2:$R$547,A16,'Preguntas oficiales'!$I$2:$I$547,"Sí",'Preguntas oficiales'!$AE$2:$AE$547,"Práctico")</x:f>
        <x:v>0</x:v>
      </x:c>
      <x:c r="J16" s="18" t="n">
        <x:f>COUNTIFS('Preguntas oficiales'!$R$2:$R$547,A16,'Preguntas oficiales'!$I$2:$I$547,"Sí",'Preguntas oficiales'!$L$2:$L$547,"Sí")</x:f>
        <x:v>0</x:v>
      </x:c>
      <x:c r="K16" s="18" t="n">
        <x:f>COUNTIFS('Preguntas oficiales'!$R$2:$R$547,A16,'Preguntas oficiales'!$I$2:$I$547,"Sí",'Preguntas oficiales'!$AH$2:$AH$547,"Anulada")</x:f>
        <x:v>0</x:v>
      </x:c>
      <x:c r="L16" s="18" t="n">
        <x:f>COUNTIFS('Preguntas oficiales'!$R$2:$R$547,A16,'Preguntas oficiales'!$I$2:$I$547,"Sí",'Preguntas oficiales'!$AH$2:$AH$547,"Modificada")</x:f>
        <x:v>0</x:v>
      </x:c>
      <x:c r="M16" s="18" t="str">
        <x:v>Ley 39/2015 (5)</x:v>
      </x:c>
      <x:c r="N16" s="18" t="str">
        <x:v>50 (1); 108 (1); 36 (1); 35 (1); 49 (1)</x:v>
      </x:c>
      <x:c r="O16" s="18" t="str">
        <x:v>G15 (4); embargo (1)</x:v>
      </x:c>
    </x:row>
    <x:row r="17">
      <x:c r="A17" s="18" t="str">
        <x:v>G16</x:v>
      </x:c>
      <x:c r="B17" s="18" t="str">
        <x:v>Temario general</x:v>
      </x:c>
      <x:c r="C17" s="18" t="n">
        <x:v>16</x:v>
      </x:c>
      <x:c r="D17" s="18" t="str">
        <x:v>El procedimiento administrativo común. La capacidad de obrar y el concepto de interesado. Representación. Identificación y firma de los interesados. Derechos del interesado en el procedimiento administrativo. Obligación de resolver y silencio administrativo. Términos y plazos.</x:v>
      </x:c>
      <x:c r="E17" s="18" t="n">
        <x:f>COUNTIFS('Preguntas oficiales'!$R$2:$R$547,A17,'Preguntas oficiales'!$I$2:$I$547,"Sí")</x:f>
        <x:v>7</x:v>
      </x:c>
      <x:c r="F17" s="18" t="n">
        <x:f>COUNTIFS('Preguntas oficiales'!$R$2:$R$547,A17,'Preguntas oficiales'!$I$2:$I$547,"Sí",'Preguntas oficiales'!$B$2:$B$547,2024)</x:f>
        <x:v>1</x:v>
      </x:c>
      <x:c r="G17" s="18" t="n">
        <x:f>COUNTIFS('Preguntas oficiales'!$R$2:$R$547,A17,'Preguntas oficiales'!$I$2:$I$547,"Sí",'Preguntas oficiales'!$B$2:$B$547,2025)</x:f>
        <x:v>5</x:v>
      </x:c>
      <x:c r="H17" s="18" t="n">
        <x:f>COUNTIFS('Preguntas oficiales'!$R$2:$R$547,A17,'Preguntas oficiales'!$I$2:$I$547,"Sí",'Preguntas oficiales'!$B$2:$B$547,2026)</x:f>
        <x:v>1</x:v>
      </x:c>
      <x:c r="I17" s="18" t="n">
        <x:f>COUNTIFS('Preguntas oficiales'!$R$2:$R$547,A17,'Preguntas oficiales'!$I$2:$I$547,"Sí",'Preguntas oficiales'!$AE$2:$AE$547,"Práctico")</x:f>
        <x:v>0</x:v>
      </x:c>
      <x:c r="J17" s="18" t="n">
        <x:f>COUNTIFS('Preguntas oficiales'!$R$2:$R$547,A17,'Preguntas oficiales'!$I$2:$I$547,"Sí",'Preguntas oficiales'!$L$2:$L$547,"Sí")</x:f>
        <x:v>1</x:v>
      </x:c>
      <x:c r="K17" s="18" t="n">
        <x:f>COUNTIFS('Preguntas oficiales'!$R$2:$R$547,A17,'Preguntas oficiales'!$I$2:$I$547,"Sí",'Preguntas oficiales'!$AH$2:$AH$547,"Anulada")</x:f>
        <x:v>0</x:v>
      </x:c>
      <x:c r="L17" s="18" t="n">
        <x:f>COUNTIFS('Preguntas oficiales'!$R$2:$R$547,A17,'Preguntas oficiales'!$I$2:$I$547,"Sí",'Preguntas oficiales'!$AH$2:$AH$547,"Modificada")</x:f>
        <x:v>0</x:v>
      </x:c>
      <x:c r="M17" s="18" t="str">
        <x:v>Ley 39/2015 (6); ley 39/2015 (1)</x:v>
      </x:c>
      <x:c r="N17" s="18" t="str">
        <x:v>53 (1); 24 (1); 11 (1); 21 (1); 6 (1)</x:v>
      </x:c>
      <x:c r="O17" s="18" t="str">
        <x:v>G16 (6); silencio administrativo (1)</x:v>
      </x:c>
    </x:row>
    <x:row r="18">
      <x:c r="A18" s="18" t="str">
        <x:v>G17</x:v>
      </x:c>
      <x:c r="B18" s="18" t="str">
        <x:v>Temario general</x:v>
      </x:c>
      <x:c r="C18" s="18" t="n">
        <x:v>17</x:v>
      </x:c>
      <x:c r="D18" s="18" t="str">
        <x:v>Las fases del procedimiento administrativo: Iniciación, ordenación, instrucción y finalización. La ejecución de los actos y resoluciones administrativas.</x:v>
      </x:c>
      <x:c r="E18" s="18" t="n">
        <x:f>COUNTIFS('Preguntas oficiales'!$R$2:$R$547,A18,'Preguntas oficiales'!$I$2:$I$547,"Sí")</x:f>
        <x:v>5</x:v>
      </x:c>
      <x:c r="F18" s="18" t="n">
        <x:f>COUNTIFS('Preguntas oficiales'!$R$2:$R$547,A18,'Preguntas oficiales'!$I$2:$I$547,"Sí",'Preguntas oficiales'!$B$2:$B$547,2024)</x:f>
        <x:v>1</x:v>
      </x:c>
      <x:c r="G18" s="18" t="n">
        <x:f>COUNTIFS('Preguntas oficiales'!$R$2:$R$547,A18,'Preguntas oficiales'!$I$2:$I$547,"Sí",'Preguntas oficiales'!$B$2:$B$547,2025)</x:f>
        <x:v>2</x:v>
      </x:c>
      <x:c r="H18" s="18" t="n">
        <x:f>COUNTIFS('Preguntas oficiales'!$R$2:$R$547,A18,'Preguntas oficiales'!$I$2:$I$547,"Sí",'Preguntas oficiales'!$B$2:$B$547,2026)</x:f>
        <x:v>2</x:v>
      </x:c>
      <x:c r="I18" s="18" t="n">
        <x:f>COUNTIFS('Preguntas oficiales'!$R$2:$R$547,A18,'Preguntas oficiales'!$I$2:$I$547,"Sí",'Preguntas oficiales'!$AE$2:$AE$547,"Práctico")</x:f>
        <x:v>0</x:v>
      </x:c>
      <x:c r="J18" s="18" t="n">
        <x:f>COUNTIFS('Preguntas oficiales'!$R$2:$R$547,A18,'Preguntas oficiales'!$I$2:$I$547,"Sí",'Preguntas oficiales'!$L$2:$L$547,"Sí")</x:f>
        <x:v>0</x:v>
      </x:c>
      <x:c r="K18" s="18" t="n">
        <x:f>COUNTIFS('Preguntas oficiales'!$R$2:$R$547,A18,'Preguntas oficiales'!$I$2:$I$547,"Sí",'Preguntas oficiales'!$AH$2:$AH$547,"Anulada")</x:f>
        <x:v>0</x:v>
      </x:c>
      <x:c r="L18" s="18" t="n">
        <x:f>COUNTIFS('Preguntas oficiales'!$R$2:$R$547,A18,'Preguntas oficiales'!$I$2:$I$547,"Sí",'Preguntas oficiales'!$AH$2:$AH$547,"Modificada")</x:f>
        <x:v>0</x:v>
      </x:c>
      <x:c r="M18" s="18" t="str">
        <x:v>Ley 39/2015 (4)</x:v>
      </x:c>
      <x:c r="N18" s="18" t="str">
        <x:v>63 (1); 83 (1); 100 (1)</x:v>
      </x:c>
      <x:c r="O18" s="18" t="str">
        <x:v>G17 (5)</x:v>
      </x:c>
    </x:row>
    <x:row r="19">
      <x:c r="A19" s="18" t="str">
        <x:v>G18</x:v>
      </x:c>
      <x:c r="B19" s="18" t="str">
        <x:v>Temario general</x:v>
      </x:c>
      <x:c r="C19" s="18" t="n">
        <x:v>18</x:v>
      </x:c>
      <x:c r="D19" s="18" t="str">
        <x:v>Los recursos administrativos: concepto y clases. Recurso de alzada. Recurso potestativo de reposición. Recurso extraordinario de revisión. La jurisdicción contencioso-administrativa: objeto y plazos de interposición del recurso contencioso administrativo.</x:v>
      </x:c>
      <x:c r="E19" s="18" t="n">
        <x:f>COUNTIFS('Preguntas oficiales'!$R$2:$R$547,A19,'Preguntas oficiales'!$I$2:$I$547,"Sí")</x:f>
        <x:v>5</x:v>
      </x:c>
      <x:c r="F19" s="18" t="n">
        <x:f>COUNTIFS('Preguntas oficiales'!$R$2:$R$547,A19,'Preguntas oficiales'!$I$2:$I$547,"Sí",'Preguntas oficiales'!$B$2:$B$547,2024)</x:f>
        <x:v>1</x:v>
      </x:c>
      <x:c r="G19" s="18" t="n">
        <x:f>COUNTIFS('Preguntas oficiales'!$R$2:$R$547,A19,'Preguntas oficiales'!$I$2:$I$547,"Sí",'Preguntas oficiales'!$B$2:$B$547,2025)</x:f>
        <x:v>3</x:v>
      </x:c>
      <x:c r="H19" s="18" t="n">
        <x:f>COUNTIFS('Preguntas oficiales'!$R$2:$R$547,A19,'Preguntas oficiales'!$I$2:$I$547,"Sí",'Preguntas oficiales'!$B$2:$B$547,2026)</x:f>
        <x:v>1</x:v>
      </x:c>
      <x:c r="I19" s="18" t="n">
        <x:f>COUNTIFS('Preguntas oficiales'!$R$2:$R$547,A19,'Preguntas oficiales'!$I$2:$I$547,"Sí",'Preguntas oficiales'!$AE$2:$AE$547,"Práctico")</x:f>
        <x:v>0</x:v>
      </x:c>
      <x:c r="J19" s="18" t="n">
        <x:f>COUNTIFS('Preguntas oficiales'!$R$2:$R$547,A19,'Preguntas oficiales'!$I$2:$I$547,"Sí",'Preguntas oficiales'!$L$2:$L$547,"Sí")</x:f>
        <x:v>0</x:v>
      </x:c>
      <x:c r="K19" s="18" t="n">
        <x:f>COUNTIFS('Preguntas oficiales'!$R$2:$R$547,A19,'Preguntas oficiales'!$I$2:$I$547,"Sí",'Preguntas oficiales'!$AH$2:$AH$547,"Anulada")</x:f>
        <x:v>0</x:v>
      </x:c>
      <x:c r="L19" s="18" t="n">
        <x:f>COUNTIFS('Preguntas oficiales'!$R$2:$R$547,A19,'Preguntas oficiales'!$I$2:$I$547,"Sí",'Preguntas oficiales'!$AH$2:$AH$547,"Modificada")</x:f>
        <x:v>0</x:v>
      </x:c>
      <x:c r="M19" s="18" t="str">
        <x:v>Ley 39/2015 (3); Ley 29/1998 (1)</x:v>
      </x:c>
      <x:c r="N19" s="18" t="str">
        <x:v>122 (2); 11 (1); 126 (1)</x:v>
      </x:c>
      <x:c r="O19" s="18" t="str">
        <x:v>G18 (4); recurso de alzada (1)</x:v>
      </x:c>
    </x:row>
    <x:row r="20">
      <x:c r="A20" s="18" t="str">
        <x:v>G19</x:v>
      </x:c>
      <x:c r="B20" s="18" t="str">
        <x:v>Temario general</x:v>
      </x:c>
      <x:c r="C20" s="18" t="n">
        <x:v>19</x:v>
      </x:c>
      <x:c r="D20" s="18" t="str">
        <x:v>El personal al servicio de las Administraciones Públicas: concepto y clases. Derechos y deberes de los funcionarios. La carrera administrativa. Las incompatibilidades. Régimen disciplinario: faltas, sanciones y procedimiento.</x:v>
      </x:c>
      <x:c r="E20" s="18" t="n">
        <x:f>COUNTIFS('Preguntas oficiales'!$R$2:$R$547,A20,'Preguntas oficiales'!$I$2:$I$547,"Sí")</x:f>
        <x:v>5</x:v>
      </x:c>
      <x:c r="F20" s="18" t="n">
        <x:f>COUNTIFS('Preguntas oficiales'!$R$2:$R$547,A20,'Preguntas oficiales'!$I$2:$I$547,"Sí",'Preguntas oficiales'!$B$2:$B$547,2024)</x:f>
        <x:v>1</x:v>
      </x:c>
      <x:c r="G20" s="18" t="n">
        <x:f>COUNTIFS('Preguntas oficiales'!$R$2:$R$547,A20,'Preguntas oficiales'!$I$2:$I$547,"Sí",'Preguntas oficiales'!$B$2:$B$547,2025)</x:f>
        <x:v>3</x:v>
      </x:c>
      <x:c r="H20" s="18" t="n">
        <x:f>COUNTIFS('Preguntas oficiales'!$R$2:$R$547,A20,'Preguntas oficiales'!$I$2:$I$547,"Sí",'Preguntas oficiales'!$B$2:$B$547,2026)</x:f>
        <x:v>1</x:v>
      </x:c>
      <x:c r="I20" s="18" t="n">
        <x:f>COUNTIFS('Preguntas oficiales'!$R$2:$R$547,A20,'Preguntas oficiales'!$I$2:$I$547,"Sí",'Preguntas oficiales'!$AE$2:$AE$547,"Práctico")</x:f>
        <x:v>0</x:v>
      </x:c>
      <x:c r="J20" s="18" t="n">
        <x:f>COUNTIFS('Preguntas oficiales'!$R$2:$R$547,A20,'Preguntas oficiales'!$I$2:$I$547,"Sí",'Preguntas oficiales'!$L$2:$L$547,"Sí")</x:f>
        <x:v>0</x:v>
      </x:c>
      <x:c r="K20" s="18" t="n">
        <x:f>COUNTIFS('Preguntas oficiales'!$R$2:$R$547,A20,'Preguntas oficiales'!$I$2:$I$547,"Sí",'Preguntas oficiales'!$AH$2:$AH$547,"Anulada")</x:f>
        <x:v>0</x:v>
      </x:c>
      <x:c r="L20" s="18" t="n">
        <x:f>COUNTIFS('Preguntas oficiales'!$R$2:$R$547,A20,'Preguntas oficiales'!$I$2:$I$547,"Sí",'Preguntas oficiales'!$AH$2:$AH$547,"Modificada")</x:f>
        <x:v>0</x:v>
      </x:c>
      <x:c r="M20" s="18" t="str">
        <x:v>Real Decreto Legislativo 5/2015 (4)</x:v>
      </x:c>
      <x:c r="N20" s="18" t="str">
        <x:v>8 (1); 39 (1)</x:v>
      </x:c>
      <x:c r="O20" s="18" t="str">
        <x:v>G19 (5)</x:v>
      </x:c>
    </x:row>
    <x:row r="21">
      <x:c r="A21" s="18" t="str">
        <x:v>G20</x:v>
      </x:c>
      <x:c r="B21" s="18" t="str">
        <x:v>Temario general</x:v>
      </x:c>
      <x:c r="C21" s="18" t="n">
        <x:v>20</x:v>
      </x:c>
      <x:c r="D21" s="18" t="str">
        <x:v>Atención al público. Atención de personas con discapacidad. Los servicios de información administrativa. Información general y particular al ciudadano. Iniciativas. Reclamaciones. Quejas. Peticiones.</x:v>
      </x:c>
      <x:c r="E21" s="18" t="n">
        <x:f>COUNTIFS('Preguntas oficiales'!$R$2:$R$547,A21,'Preguntas oficiales'!$I$2:$I$547,"Sí")</x:f>
        <x:v>4</x:v>
      </x:c>
      <x:c r="F21" s="18" t="n">
        <x:f>COUNTIFS('Preguntas oficiales'!$R$2:$R$547,A21,'Preguntas oficiales'!$I$2:$I$547,"Sí",'Preguntas oficiales'!$B$2:$B$547,2024)</x:f>
        <x:v>1</x:v>
      </x:c>
      <x:c r="G21" s="18" t="n">
        <x:f>COUNTIFS('Preguntas oficiales'!$R$2:$R$547,A21,'Preguntas oficiales'!$I$2:$I$547,"Sí",'Preguntas oficiales'!$B$2:$B$547,2025)</x:f>
        <x:v>3</x:v>
      </x:c>
      <x:c r="H21" s="18" t="n">
        <x:f>COUNTIFS('Preguntas oficiales'!$R$2:$R$547,A21,'Preguntas oficiales'!$I$2:$I$547,"Sí",'Preguntas oficiales'!$B$2:$B$547,2026)</x:f>
        <x:v>0</x:v>
      </x:c>
      <x:c r="I21" s="18" t="n">
        <x:f>COUNTIFS('Preguntas oficiales'!$R$2:$R$547,A21,'Preguntas oficiales'!$I$2:$I$547,"Sí",'Preguntas oficiales'!$AE$2:$AE$547,"Práctico")</x:f>
        <x:v>0</x:v>
      </x:c>
      <x:c r="J21" s="18" t="n">
        <x:f>COUNTIFS('Preguntas oficiales'!$R$2:$R$547,A21,'Preguntas oficiales'!$I$2:$I$547,"Sí",'Preguntas oficiales'!$L$2:$L$547,"Sí")</x:f>
        <x:v>0</x:v>
      </x:c>
      <x:c r="K21" s="18" t="n">
        <x:f>COUNTIFS('Preguntas oficiales'!$R$2:$R$547,A21,'Preguntas oficiales'!$I$2:$I$547,"Sí",'Preguntas oficiales'!$AH$2:$AH$547,"Anulada")</x:f>
        <x:v>0</x:v>
      </x:c>
      <x:c r="L21" s="18" t="n">
        <x:f>COUNTIFS('Preguntas oficiales'!$R$2:$R$547,A21,'Preguntas oficiales'!$I$2:$I$547,"Sí",'Preguntas oficiales'!$AH$2:$AH$547,"Modificada")</x:f>
        <x:v>0</x:v>
      </x:c>
      <x:c r="M21" s="18" t="str">
        <x:v>Ley Orgánica 4/2001 (2); Real Decreto 208/1996 (2)</x:v>
      </x:c>
      <x:c r="N21" s="18" t="str">
        <x:v>7 (1); 5 (1); 6 (1)</x:v>
      </x:c>
      <x:c r="O21" s="18" t="str">
        <x:v>G20 (4)</x:v>
      </x:c>
    </x:row>
    <x:row r="22">
      <x:c r="A22" s="18" t="str">
        <x:v>G21</x:v>
      </x:c>
      <x:c r="B22" s="18" t="str">
        <x:v>Temario general</x:v>
      </x:c>
      <x:c r="C22" s="18" t="n">
        <x:v>21</x:v>
      </x:c>
      <x:c r="D22" s="18" t="str">
        <x:v>Políticas de igualdad y contra la violencia de género. Discapacidad y dependencia: régimen jurídico. La Ley 4/2023, de 28 de febrero, para la igualdad real y efectiva de las personas trans y para la garantía de los derechos de las personas LGTBI.</x:v>
      </x:c>
      <x:c r="E22" s="18" t="n">
        <x:f>COUNTIFS('Preguntas oficiales'!$R$2:$R$547,A22,'Preguntas oficiales'!$I$2:$I$547,"Sí")</x:f>
        <x:v>7</x:v>
      </x:c>
      <x:c r="F22" s="18" t="n">
        <x:f>COUNTIFS('Preguntas oficiales'!$R$2:$R$547,A22,'Preguntas oficiales'!$I$2:$I$547,"Sí",'Preguntas oficiales'!$B$2:$B$547,2024)</x:f>
        <x:v>1</x:v>
      </x:c>
      <x:c r="G22" s="18" t="n">
        <x:f>COUNTIFS('Preguntas oficiales'!$R$2:$R$547,A22,'Preguntas oficiales'!$I$2:$I$547,"Sí",'Preguntas oficiales'!$B$2:$B$547,2025)</x:f>
        <x:v>3</x:v>
      </x:c>
      <x:c r="H22" s="18" t="n">
        <x:f>COUNTIFS('Preguntas oficiales'!$R$2:$R$547,A22,'Preguntas oficiales'!$I$2:$I$547,"Sí",'Preguntas oficiales'!$B$2:$B$547,2026)</x:f>
        <x:v>3</x:v>
      </x:c>
      <x:c r="I22" s="18" t="n">
        <x:f>COUNTIFS('Preguntas oficiales'!$R$2:$R$547,A22,'Preguntas oficiales'!$I$2:$I$547,"Sí",'Preguntas oficiales'!$AE$2:$AE$547,"Práctico")</x:f>
        <x:v>0</x:v>
      </x:c>
      <x:c r="J22" s="18" t="n">
        <x:f>COUNTIFS('Preguntas oficiales'!$R$2:$R$547,A22,'Preguntas oficiales'!$I$2:$I$547,"Sí",'Preguntas oficiales'!$L$2:$L$547,"Sí")</x:f>
        <x:v>0</x:v>
      </x:c>
      <x:c r="K22" s="18" t="n">
        <x:f>COUNTIFS('Preguntas oficiales'!$R$2:$R$547,A22,'Preguntas oficiales'!$I$2:$I$547,"Sí",'Preguntas oficiales'!$AH$2:$AH$547,"Anulada")</x:f>
        <x:v>0</x:v>
      </x:c>
      <x:c r="L22" s="18" t="n">
        <x:f>COUNTIFS('Preguntas oficiales'!$R$2:$R$547,A22,'Preguntas oficiales'!$I$2:$I$547,"Sí",'Preguntas oficiales'!$AH$2:$AH$547,"Modificada")</x:f>
        <x:v>0</x:v>
      </x:c>
      <x:c r="M22" s="18" t="str">
        <x:v>Real Decreto Legislativo 1/2013 (2); Ley 4/2023 (1); ley 4/2023 (1); Ley Orgánica 3/2007 (1)</x:v>
      </x:c>
      <x:c r="N22" s="18" t="str">
        <x:v>10 (2); 87 (1); 60 (1); 56 (1); 27 (1); 37 (1)</x:v>
      </x:c>
      <x:c r="O22" s="18" t="str">
        <x:v>G21 (7)</x:v>
      </x:c>
    </x:row>
    <x:row r="23">
      <x:c r="A23" s="18" t="str">
        <x:v>G22</x:v>
      </x:c>
      <x:c r="B23" s="18" t="str">
        <x:v>Temario general</x:v>
      </x:c>
      <x:c r="C23" s="18" t="n">
        <x:v>22</x:v>
      </x:c>
      <x:c r="D23" s="18" t="str">
        <x:v>Normativa reguladora de la protección de datos personales: principios, derechos de las personas y ejercicios de los derechos.</x:v>
      </x:c>
      <x:c r="E23" s="18" t="n">
        <x:f>COUNTIFS('Preguntas oficiales'!$R$2:$R$547,A23,'Preguntas oficiales'!$I$2:$I$547,"Sí")</x:f>
        <x:v>5</x:v>
      </x:c>
      <x:c r="F23" s="18" t="n">
        <x:f>COUNTIFS('Preguntas oficiales'!$R$2:$R$547,A23,'Preguntas oficiales'!$I$2:$I$547,"Sí",'Preguntas oficiales'!$B$2:$B$547,2024)</x:f>
        <x:v>1</x:v>
      </x:c>
      <x:c r="G23" s="18" t="n">
        <x:f>COUNTIFS('Preguntas oficiales'!$R$2:$R$547,A23,'Preguntas oficiales'!$I$2:$I$547,"Sí",'Preguntas oficiales'!$B$2:$B$547,2025)</x:f>
        <x:v>3</x:v>
      </x:c>
      <x:c r="H23" s="18" t="n">
        <x:f>COUNTIFS('Preguntas oficiales'!$R$2:$R$547,A23,'Preguntas oficiales'!$I$2:$I$547,"Sí",'Preguntas oficiales'!$B$2:$B$547,2026)</x:f>
        <x:v>1</x:v>
      </x:c>
      <x:c r="I23" s="18" t="n">
        <x:f>COUNTIFS('Preguntas oficiales'!$R$2:$R$547,A23,'Preguntas oficiales'!$I$2:$I$547,"Sí",'Preguntas oficiales'!$AE$2:$AE$547,"Práctico")</x:f>
        <x:v>0</x:v>
      </x:c>
      <x:c r="J23" s="18" t="n">
        <x:f>COUNTIFS('Preguntas oficiales'!$R$2:$R$547,A23,'Preguntas oficiales'!$I$2:$I$547,"Sí",'Preguntas oficiales'!$L$2:$L$547,"Sí")</x:f>
        <x:v>0</x:v>
      </x:c>
      <x:c r="K23" s="18" t="n">
        <x:f>COUNTIFS('Preguntas oficiales'!$R$2:$R$547,A23,'Preguntas oficiales'!$I$2:$I$547,"Sí",'Preguntas oficiales'!$AH$2:$AH$547,"Anulada")</x:f>
        <x:v>0</x:v>
      </x:c>
      <x:c r="L23" s="18" t="n">
        <x:f>COUNTIFS('Preguntas oficiales'!$R$2:$R$547,A23,'Preguntas oficiales'!$I$2:$I$547,"Sí",'Preguntas oficiales'!$AH$2:$AH$547,"Modificada")</x:f>
        <x:v>0</x:v>
      </x:c>
      <x:c r="M23" s="18" t="str">
        <x:v>Ley Orgánica 3/2018 (3); Reglamento (UE) 2016/679 (1)</x:v>
      </x:c>
      <x:c r="N23" s="18" t="str">
        <x:v>13 (2); 12 (1); 12.5 (1)</x:v>
      </x:c>
      <x:c r="O23" s="18" t="str">
        <x:v>G22 (5)</x:v>
      </x:c>
    </x:row>
    <x:row r="24">
      <x:c r="A24" s="18" t="str">
        <x:v>G23</x:v>
      </x:c>
      <x:c r="B24" s="18" t="str">
        <x:v>Temario general</x:v>
      </x:c>
      <x:c r="C24" s="18" t="n">
        <x:v>23</x:v>
      </x:c>
      <x:c r="D24" s="18" t="str">
        <x:v>El funcionamiento electrónico del sector público. Derecho y obligación de relacionarse electrónicamente con las Administraciones Públicas, registros y archivo electrónico.</x:v>
      </x:c>
      <x:c r="E24" s="18" t="n">
        <x:f>COUNTIFS('Preguntas oficiales'!$R$2:$R$547,A24,'Preguntas oficiales'!$I$2:$I$547,"Sí")</x:f>
        <x:v>5</x:v>
      </x:c>
      <x:c r="F24" s="18" t="n">
        <x:f>COUNTIFS('Preguntas oficiales'!$R$2:$R$547,A24,'Preguntas oficiales'!$I$2:$I$547,"Sí",'Preguntas oficiales'!$B$2:$B$547,2024)</x:f>
        <x:v>1</x:v>
      </x:c>
      <x:c r="G24" s="18" t="n">
        <x:f>COUNTIFS('Preguntas oficiales'!$R$2:$R$547,A24,'Preguntas oficiales'!$I$2:$I$547,"Sí",'Preguntas oficiales'!$B$2:$B$547,2025)</x:f>
        <x:v>3</x:v>
      </x:c>
      <x:c r="H24" s="18" t="n">
        <x:f>COUNTIFS('Preguntas oficiales'!$R$2:$R$547,A24,'Preguntas oficiales'!$I$2:$I$547,"Sí",'Preguntas oficiales'!$B$2:$B$547,2026)</x:f>
        <x:v>1</x:v>
      </x:c>
      <x:c r="I24" s="18" t="n">
        <x:f>COUNTIFS('Preguntas oficiales'!$R$2:$R$547,A24,'Preguntas oficiales'!$I$2:$I$547,"Sí",'Preguntas oficiales'!$AE$2:$AE$547,"Práctico")</x:f>
        <x:v>0</x:v>
      </x:c>
      <x:c r="J24" s="18" t="n">
        <x:f>COUNTIFS('Preguntas oficiales'!$R$2:$R$547,A24,'Preguntas oficiales'!$I$2:$I$547,"Sí",'Preguntas oficiales'!$L$2:$L$547,"Sí")</x:f>
        <x:v>0</x:v>
      </x:c>
      <x:c r="K24" s="18" t="n">
        <x:f>COUNTIFS('Preguntas oficiales'!$R$2:$R$547,A24,'Preguntas oficiales'!$I$2:$I$547,"Sí",'Preguntas oficiales'!$AH$2:$AH$547,"Anulada")</x:f>
        <x:v>0</x:v>
      </x:c>
      <x:c r="L24" s="18" t="n">
        <x:f>COUNTIFS('Preguntas oficiales'!$R$2:$R$547,A24,'Preguntas oficiales'!$I$2:$I$547,"Sí",'Preguntas oficiales'!$AH$2:$AH$547,"Modificada")</x:f>
        <x:v>0</x:v>
      </x:c>
      <x:c r="M24" s="18" t="str">
        <x:v>Real Decreto 203/2021 (3); Ley 39/2015 (2)</x:v>
      </x:c>
      <x:c r="N24" s="18" t="str">
        <x:v>53 (1); 14 (1); 43 (1); 51 (1)</x:v>
      </x:c>
      <x:c r="O24" s="18" t="str">
        <x:v>G23 (4); notificación (1)</x:v>
      </x:c>
    </x:row>
    <x:row r="25">
      <x:c r="A25" s="18" t="str">
        <x:v>S01</x:v>
      </x:c>
      <x:c r="B25" s="18" t="str">
        <x:v>Temario específico Seguridad Social</x:v>
      </x:c>
      <x:c r="C25" s="18" t="n">
        <x:v>1</x:v>
      </x:c>
      <x:c r="D25" s="18" t="str">
        <x:v>La Seguridad Social en la Constitución española de 1978. El texto refundido de la Ley General de la Seguridad Social.</x:v>
      </x:c>
      <x:c r="E25" s="18" t="n">
        <x:f>COUNTIFS('Preguntas oficiales'!$R$2:$R$547,A25,'Preguntas oficiales'!$I$2:$I$547,"Sí")</x:f>
        <x:v>11</x:v>
      </x:c>
      <x:c r="F25" s="18" t="n">
        <x:f>COUNTIFS('Preguntas oficiales'!$R$2:$R$547,A25,'Preguntas oficiales'!$I$2:$I$547,"Sí",'Preguntas oficiales'!$B$2:$B$547,2024)</x:f>
        <x:v>2</x:v>
      </x:c>
      <x:c r="G25" s="18" t="n">
        <x:f>COUNTIFS('Preguntas oficiales'!$R$2:$R$547,A25,'Preguntas oficiales'!$I$2:$I$547,"Sí",'Preguntas oficiales'!$B$2:$B$547,2025)</x:f>
        <x:v>7</x:v>
      </x:c>
      <x:c r="H25" s="18" t="n">
        <x:f>COUNTIFS('Preguntas oficiales'!$R$2:$R$547,A25,'Preguntas oficiales'!$I$2:$I$547,"Sí",'Preguntas oficiales'!$B$2:$B$547,2026)</x:f>
        <x:v>2</x:v>
      </x:c>
      <x:c r="I25" s="18" t="n">
        <x:f>COUNTIFS('Preguntas oficiales'!$R$2:$R$547,A25,'Preguntas oficiales'!$I$2:$I$547,"Sí",'Preguntas oficiales'!$AE$2:$AE$547,"Práctico")</x:f>
        <x:v>0</x:v>
      </x:c>
      <x:c r="J25" s="18" t="n">
        <x:f>COUNTIFS('Preguntas oficiales'!$R$2:$R$547,A25,'Preguntas oficiales'!$I$2:$I$547,"Sí",'Preguntas oficiales'!$L$2:$L$547,"Sí")</x:f>
        <x:v>0</x:v>
      </x:c>
      <x:c r="K25" s="18" t="n">
        <x:f>COUNTIFS('Preguntas oficiales'!$R$2:$R$547,A25,'Preguntas oficiales'!$I$2:$I$547,"Sí",'Preguntas oficiales'!$AH$2:$AH$547,"Anulada")</x:f>
        <x:v>1</x:v>
      </x:c>
      <x:c r="L25" s="18" t="n">
        <x:f>COUNTIFS('Preguntas oficiales'!$R$2:$R$547,A25,'Preguntas oficiales'!$I$2:$I$547,"Sí",'Preguntas oficiales'!$AH$2:$AH$547,"Modificada")</x:f>
        <x:v>0</x:v>
      </x:c>
      <x:c r="M25" s="18" t="str">
        <x:v>Constitución Española (5); texto refundido de la Ley General de la Seguridad Social (5); Texto Refundido de la Ley General de la Seguridad Social (1)</x:v>
      </x:c>
      <x:c r="N25" s="18" t="str">
        <x:v>41 (1); 49 (1); 2 (1); 43 (1)</x:v>
      </x:c>
      <x:c r="O25" s="18" t="str">
        <x:v>S01 (11)</x:v>
      </x:c>
    </x:row>
    <x:row r="26">
      <x:c r="A26" s="18" t="str">
        <x:v>S02</x:v>
      </x:c>
      <x:c r="B26" s="18" t="str">
        <x:v>Temario específico Seguridad Social</x:v>
      </x:c>
      <x:c r="C26" s="18" t="n">
        <x:v>2</x:v>
      </x:c>
      <x:c r="D26" s="18" t="str">
        <x:v>Campo de aplicación y composición del sistema de la Seguridad Social. Régimen general: ámbito subjetivo de aplicación, inclusiones y exclusiones. Regímenes especiales: enumeración, características generales, altas, bajas y cotización. Particularidades de la acción protectora. Sistemas especiales: enumeración y características generales. Altas, bajas y cotización. Particularidades de la acción protectora.</x:v>
      </x:c>
      <x:c r="E26" s="18" t="n">
        <x:f>COUNTIFS('Preguntas oficiales'!$R$2:$R$547,A26,'Preguntas oficiales'!$I$2:$I$547,"Sí")</x:f>
        <x:v>19</x:v>
      </x:c>
      <x:c r="F26" s="18" t="n">
        <x:f>COUNTIFS('Preguntas oficiales'!$R$2:$R$547,A26,'Preguntas oficiales'!$I$2:$I$547,"Sí",'Preguntas oficiales'!$B$2:$B$547,2024)</x:f>
        <x:v>4</x:v>
      </x:c>
      <x:c r="G26" s="18" t="n">
        <x:f>COUNTIFS('Preguntas oficiales'!$R$2:$R$547,A26,'Preguntas oficiales'!$I$2:$I$547,"Sí",'Preguntas oficiales'!$B$2:$B$547,2025)</x:f>
        <x:v>11</x:v>
      </x:c>
      <x:c r="H26" s="18" t="n">
        <x:f>COUNTIFS('Preguntas oficiales'!$R$2:$R$547,A26,'Preguntas oficiales'!$I$2:$I$547,"Sí",'Preguntas oficiales'!$B$2:$B$547,2026)</x:f>
        <x:v>4</x:v>
      </x:c>
      <x:c r="I26" s="18" t="n">
        <x:f>COUNTIFS('Preguntas oficiales'!$R$2:$R$547,A26,'Preguntas oficiales'!$I$2:$I$547,"Sí",'Preguntas oficiales'!$AE$2:$AE$547,"Práctico")</x:f>
        <x:v>1</x:v>
      </x:c>
      <x:c r="J26" s="18" t="n">
        <x:f>COUNTIFS('Preguntas oficiales'!$R$2:$R$547,A26,'Preguntas oficiales'!$I$2:$I$547,"Sí",'Preguntas oficiales'!$L$2:$L$547,"Sí")</x:f>
        <x:v>1</x:v>
      </x:c>
      <x:c r="K26" s="18" t="n">
        <x:f>COUNTIFS('Preguntas oficiales'!$R$2:$R$547,A26,'Preguntas oficiales'!$I$2:$I$547,"Sí",'Preguntas oficiales'!$AH$2:$AH$547,"Anulada")</x:f>
        <x:v>0</x:v>
      </x:c>
      <x:c r="L26" s="18" t="n">
        <x:f>COUNTIFS('Preguntas oficiales'!$R$2:$R$547,A26,'Preguntas oficiales'!$I$2:$I$547,"Sí",'Preguntas oficiales'!$AH$2:$AH$547,"Modificada")</x:f>
        <x:v>0</x:v>
      </x:c>
      <x:c r="M26" s="18" t="str">
        <x:v>texto refundido de la Ley General de la Seguridad Social (10); Texto Refundido de la Ley General de la Seguridad Social (4); Real Decreto legislativo 8/2015 (1); Ley 47/2015 (1); Real Decreto 84/1996 (1)</x:v>
      </x:c>
      <x:c r="N26" s="18" t="str">
        <x:v>253 (2); 10 (2); 7.3 (1); 4 (1); 8 (1); 136.2 (1); 10.2 (1); 7 (1)</x:v>
      </x:c>
      <x:c r="O26" s="18" t="str">
        <x:v>S02 (17); incapacidad temporal (1); baja (1)</x:v>
      </x:c>
    </x:row>
    <x:row r="27">
      <x:c r="A27" s="18" t="str">
        <x:v>S03</x:v>
      </x:c>
      <x:c r="B27" s="18" t="str">
        <x:v>Temario específico Seguridad Social</x:v>
      </x:c>
      <x:c r="C27" s="18" t="n">
        <x:v>3</x:v>
      </x:c>
      <x:c r="D27" s="18" t="str">
        <x:v>Normas sobre afiliación. Altas y bajas en el régimen general. Procedimiento y efectos. El convenio especial y otras situaciones asimiladas a la del alta. Encuadramiento e inscripción.</x:v>
      </x:c>
      <x:c r="E27" s="18" t="n">
        <x:f>COUNTIFS('Preguntas oficiales'!$R$2:$R$547,A27,'Preguntas oficiales'!$I$2:$I$547,"Sí")</x:f>
        <x:v>30</x:v>
      </x:c>
      <x:c r="F27" s="18" t="n">
        <x:f>COUNTIFS('Preguntas oficiales'!$R$2:$R$547,A27,'Preguntas oficiales'!$I$2:$I$547,"Sí",'Preguntas oficiales'!$B$2:$B$547,2024)</x:f>
        <x:v>8</x:v>
      </x:c>
      <x:c r="G27" s="18" t="n">
        <x:f>COUNTIFS('Preguntas oficiales'!$R$2:$R$547,A27,'Preguntas oficiales'!$I$2:$I$547,"Sí",'Preguntas oficiales'!$B$2:$B$547,2025)</x:f>
        <x:v>16</x:v>
      </x:c>
      <x:c r="H27" s="18" t="n">
        <x:f>COUNTIFS('Preguntas oficiales'!$R$2:$R$547,A27,'Preguntas oficiales'!$I$2:$I$547,"Sí",'Preguntas oficiales'!$B$2:$B$547,2026)</x:f>
        <x:v>6</x:v>
      </x:c>
      <x:c r="I27" s="18" t="n">
        <x:f>COUNTIFS('Preguntas oficiales'!$R$2:$R$547,A27,'Preguntas oficiales'!$I$2:$I$547,"Sí",'Preguntas oficiales'!$AE$2:$AE$547,"Práctico")</x:f>
        <x:v>11</x:v>
      </x:c>
      <x:c r="J27" s="18" t="n">
        <x:f>COUNTIFS('Preguntas oficiales'!$R$2:$R$547,A27,'Preguntas oficiales'!$I$2:$I$547,"Sí",'Preguntas oficiales'!$L$2:$L$547,"Sí")</x:f>
        <x:v>3</x:v>
      </x:c>
      <x:c r="K27" s="18" t="n">
        <x:f>COUNTIFS('Preguntas oficiales'!$R$2:$R$547,A27,'Preguntas oficiales'!$I$2:$I$547,"Sí",'Preguntas oficiales'!$AH$2:$AH$547,"Anulada")</x:f>
        <x:v>0</x:v>
      </x:c>
      <x:c r="L27" s="18" t="n">
        <x:f>COUNTIFS('Preguntas oficiales'!$R$2:$R$547,A27,'Preguntas oficiales'!$I$2:$I$547,"Sí",'Preguntas oficiales'!$AH$2:$AH$547,"Modificada")</x:f>
        <x:v>0</x:v>
      </x:c>
      <x:c r="M27" s="18" t="str">
        <x:v>Real Decreto 84/1996 (12); Real Decreto Legislativo 8/2015 (1); texto Refundido de la Ley General de la Seguridad Social (1); Real Decreto Legislativo 5/2000 (1)</x:v>
      </x:c>
      <x:c r="N27" s="18" t="str">
        <x:v>29 (2); 63 (2); 28 (1); 6.1 (1); 32 (1); 33 (1); 10 (1); 24 (1)</x:v>
      </x:c>
      <x:c r="O27" s="18" t="str">
        <x:v>S03 (11); afiliación (8); baja (5); alta (4); incapacidad temporal (1)</x:v>
      </x:c>
    </x:row>
    <x:row r="28">
      <x:c r="A28" s="18" t="str">
        <x:v>S04</x:v>
      </x:c>
      <x:c r="B28" s="18" t="str">
        <x:v>Temario específico Seguridad Social</x:v>
      </x:c>
      <x:c r="C28" s="18" t="n">
        <x:v>4</x:v>
      </x:c>
      <x:c r="D28" s="18" t="str">
        <x:v>La cotización a la Seguridad Social: normas comunes del sistema. La liquidación de cuotas. El régimen general de la Seguridad Social. Supuestos especiales. Bases y tipos de cotización. Liquidación de otras deudas.</x:v>
      </x:c>
      <x:c r="E28" s="18" t="n">
        <x:f>COUNTIFS('Preguntas oficiales'!$R$2:$R$547,A28,'Preguntas oficiales'!$I$2:$I$547,"Sí")</x:f>
        <x:v>30</x:v>
      </x:c>
      <x:c r="F28" s="18" t="n">
        <x:f>COUNTIFS('Preguntas oficiales'!$R$2:$R$547,A28,'Preguntas oficiales'!$I$2:$I$547,"Sí",'Preguntas oficiales'!$B$2:$B$547,2024)</x:f>
        <x:v>7</x:v>
      </x:c>
      <x:c r="G28" s="18" t="n">
        <x:f>COUNTIFS('Preguntas oficiales'!$R$2:$R$547,A28,'Preguntas oficiales'!$I$2:$I$547,"Sí",'Preguntas oficiales'!$B$2:$B$547,2025)</x:f>
        <x:v>17</x:v>
      </x:c>
      <x:c r="H28" s="18" t="n">
        <x:f>COUNTIFS('Preguntas oficiales'!$R$2:$R$547,A28,'Preguntas oficiales'!$I$2:$I$547,"Sí",'Preguntas oficiales'!$B$2:$B$547,2026)</x:f>
        <x:v>6</x:v>
      </x:c>
      <x:c r="I28" s="18" t="n">
        <x:f>COUNTIFS('Preguntas oficiales'!$R$2:$R$547,A28,'Preguntas oficiales'!$I$2:$I$547,"Sí",'Preguntas oficiales'!$AE$2:$AE$547,"Práctico")</x:f>
        <x:v>14</x:v>
      </x:c>
      <x:c r="J28" s="18" t="n">
        <x:f>COUNTIFS('Preguntas oficiales'!$R$2:$R$547,A28,'Preguntas oficiales'!$I$2:$I$547,"Sí",'Preguntas oficiales'!$L$2:$L$547,"Sí")</x:f>
        <x:v>2</x:v>
      </x:c>
      <x:c r="K28" s="18" t="n">
        <x:f>COUNTIFS('Preguntas oficiales'!$R$2:$R$547,A28,'Preguntas oficiales'!$I$2:$I$547,"Sí",'Preguntas oficiales'!$AH$2:$AH$547,"Anulada")</x:f>
        <x:v>1</x:v>
      </x:c>
      <x:c r="L28" s="18" t="n">
        <x:f>COUNTIFS('Preguntas oficiales'!$R$2:$R$547,A28,'Preguntas oficiales'!$I$2:$I$547,"Sí",'Preguntas oficiales'!$AH$2:$AH$547,"Modificada")</x:f>
        <x:v>0</x:v>
      </x:c>
      <x:c r="M28" s="18" t="str">
        <x:v>Real Decreto 2064/1995 (6); texto refundido de la Ley General de la Seguridad Social (4); Texto Refundido de la Ley General de la Seguridad Social (2); Real Decreto Legislativo 8/2015 (1); Ley 42/2006 (1)</x:v>
      </x:c>
      <x:c r="N28" s="18" t="str">
        <x:v>18 (2); 7.1 (1); 255.3 (1); 152 (1); 57 (1); 60 (1); 34 (1); 45 (1)</x:v>
      </x:c>
      <x:c r="O28" s="18" t="str">
        <x:v>S04 (18); base de cotización (9); liquidación de cuotas (1); jubilación (1); alta (1)</x:v>
      </x:c>
    </x:row>
    <x:row r="29">
      <x:c r="A29" s="18" t="str">
        <x:v>S05</x:v>
      </x:c>
      <x:c r="B29" s="18" t="str">
        <x:v>Temario específico Seguridad Social</x:v>
      </x:c>
      <x:c r="C29" s="18" t="n">
        <x:v>5</x:v>
      </x:c>
      <x:c r="D29" s="18" t="str">
        <x:v>La gestión recaudatoria: concepto, competencia y objeto. Responsables del pago. Requisitos para el pago. Medios de pago. Control de recaudación. Revisión de los actos de gestión recaudatoria. La recaudación en periodo voluntario. Efectos de la falta de cotización en período reglamentario. Recaudación de otros recursos. Aplazamientos. Devolución de ingresos indebidos. Capital coste de pensiones.</x:v>
      </x:c>
      <x:c r="E29" s="18" t="n">
        <x:f>COUNTIFS('Preguntas oficiales'!$R$2:$R$547,A29,'Preguntas oficiales'!$I$2:$I$547,"Sí")</x:f>
        <x:v>32</x:v>
      </x:c>
      <x:c r="F29" s="18" t="n">
        <x:f>COUNTIFS('Preguntas oficiales'!$R$2:$R$547,A29,'Preguntas oficiales'!$I$2:$I$547,"Sí",'Preguntas oficiales'!$B$2:$B$547,2024)</x:f>
        <x:v>3</x:v>
      </x:c>
      <x:c r="G29" s="18" t="n">
        <x:f>COUNTIFS('Preguntas oficiales'!$R$2:$R$547,A29,'Preguntas oficiales'!$I$2:$I$547,"Sí",'Preguntas oficiales'!$B$2:$B$547,2025)</x:f>
        <x:v>21</x:v>
      </x:c>
      <x:c r="H29" s="18" t="n">
        <x:f>COUNTIFS('Preguntas oficiales'!$R$2:$R$547,A29,'Preguntas oficiales'!$I$2:$I$547,"Sí",'Preguntas oficiales'!$B$2:$B$547,2026)</x:f>
        <x:v>8</x:v>
      </x:c>
      <x:c r="I29" s="18" t="n">
        <x:f>COUNTIFS('Preguntas oficiales'!$R$2:$R$547,A29,'Preguntas oficiales'!$I$2:$I$547,"Sí",'Preguntas oficiales'!$AE$2:$AE$547,"Práctico")</x:f>
        <x:v>11</x:v>
      </x:c>
      <x:c r="J29" s="18" t="n">
        <x:f>COUNTIFS('Preguntas oficiales'!$R$2:$R$547,A29,'Preguntas oficiales'!$I$2:$I$547,"Sí",'Preguntas oficiales'!$L$2:$L$547,"Sí")</x:f>
        <x:v>2</x:v>
      </x:c>
      <x:c r="K29" s="18" t="n">
        <x:f>COUNTIFS('Preguntas oficiales'!$R$2:$R$547,A29,'Preguntas oficiales'!$I$2:$I$547,"Sí",'Preguntas oficiales'!$AH$2:$AH$547,"Anulada")</x:f>
        <x:v>2</x:v>
      </x:c>
      <x:c r="L29" s="18" t="n">
        <x:f>COUNTIFS('Preguntas oficiales'!$R$2:$R$547,A29,'Preguntas oficiales'!$I$2:$I$547,"Sí",'Preguntas oficiales'!$AH$2:$AH$547,"Modificada")</x:f>
        <x:v>0</x:v>
      </x:c>
      <x:c r="M29" s="18" t="str">
        <x:v>Real Decreto 1415/2004 (14); Texto Refundido de la Ley General de la Seguridad Social (1); texto refundido de la Ley General de la Seguridad Social (1)</x:v>
      </x:c>
      <x:c r="N29" s="18" t="str">
        <x:v>8 (2); 6 (1); 19 (1); 31 (1); 2 (1); 44 (1); 32 (1); 65 (1)</x:v>
      </x:c>
      <x:c r="O29" s="18" t="str">
        <x:v>S05 (28); aplazamiento (3); incapacidad temporal (1)</x:v>
      </x:c>
    </x:row>
    <x:row r="30">
      <x:c r="A30" s="18" t="str">
        <x:v>S06</x:v>
      </x:c>
      <x:c r="B30" s="18" t="str">
        <x:v>Temario específico Seguridad Social</x:v>
      </x:c>
      <x:c r="C30" s="18" t="n">
        <x:v>6</x:v>
      </x:c>
      <x:c r="D30" s="18" t="str">
        <x:v>La recaudación en vía ejecutiva. Normas generales. Iniciación y título ejecutivo. La providencia de apremio. Oposición y efectos. El embargo de bienes. Enajenación de bienes: modalidades. Créditos incobrables. Tercerías.</x:v>
      </x:c>
      <x:c r="E30" s="18" t="n">
        <x:f>COUNTIFS('Preguntas oficiales'!$R$2:$R$547,A30,'Preguntas oficiales'!$I$2:$I$547,"Sí")</x:f>
        <x:v>29</x:v>
      </x:c>
      <x:c r="F30" s="18" t="n">
        <x:f>COUNTIFS('Preguntas oficiales'!$R$2:$R$547,A30,'Preguntas oficiales'!$I$2:$I$547,"Sí",'Preguntas oficiales'!$B$2:$B$547,2024)</x:f>
        <x:v>6</x:v>
      </x:c>
      <x:c r="G30" s="18" t="n">
        <x:f>COUNTIFS('Preguntas oficiales'!$R$2:$R$547,A30,'Preguntas oficiales'!$I$2:$I$547,"Sí",'Preguntas oficiales'!$B$2:$B$547,2025)</x:f>
        <x:v>17</x:v>
      </x:c>
      <x:c r="H30" s="18" t="n">
        <x:f>COUNTIFS('Preguntas oficiales'!$R$2:$R$547,A30,'Preguntas oficiales'!$I$2:$I$547,"Sí",'Preguntas oficiales'!$B$2:$B$547,2026)</x:f>
        <x:v>6</x:v>
      </x:c>
      <x:c r="I30" s="18" t="n">
        <x:f>COUNTIFS('Preguntas oficiales'!$R$2:$R$547,A30,'Preguntas oficiales'!$I$2:$I$547,"Sí",'Preguntas oficiales'!$AE$2:$AE$547,"Práctico")</x:f>
        <x:v>6</x:v>
      </x:c>
      <x:c r="J30" s="18" t="n">
        <x:f>COUNTIFS('Preguntas oficiales'!$R$2:$R$547,A30,'Preguntas oficiales'!$I$2:$I$547,"Sí",'Preguntas oficiales'!$L$2:$L$547,"Sí")</x:f>
        <x:v>2</x:v>
      </x:c>
      <x:c r="K30" s="18" t="n">
        <x:f>COUNTIFS('Preguntas oficiales'!$R$2:$R$547,A30,'Preguntas oficiales'!$I$2:$I$547,"Sí",'Preguntas oficiales'!$AH$2:$AH$547,"Anulada")</x:f>
        <x:v>0</x:v>
      </x:c>
      <x:c r="L30" s="18" t="n">
        <x:f>COUNTIFS('Preguntas oficiales'!$R$2:$R$547,A30,'Preguntas oficiales'!$I$2:$I$547,"Sí",'Preguntas oficiales'!$AH$2:$AH$547,"Modificada")</x:f>
        <x:v>0</x:v>
      </x:c>
      <x:c r="M30" s="18" t="str">
        <x:v>Real Decreto 1415/2004 (19)</x:v>
      </x:c>
      <x:c r="N30" s="18" t="str">
        <x:v>84 (3); 87 (3); 135 (2); 120 (2); 90 (1); 86 (1); 88 (1); 94 (1)</x:v>
      </x:c>
      <x:c r="O30" s="18" t="str">
        <x:v>S06 (22); providencia de apremio (4); embargo (2); recurso de alzada (1)</x:v>
      </x:c>
    </x:row>
    <x:row r="31">
      <x:c r="A31" s="18" t="str">
        <x:v>S07</x:v>
      </x:c>
      <x:c r="B31" s="18" t="str">
        <x:v>Temario específico Seguridad Social</x:v>
      </x:c>
      <x:c r="C31" s="18" t="n">
        <x:v>7</x:v>
      </x:c>
      <x:c r="D31" s="18" t="str">
        <x:v>Acción protectora. Contenido y clasificación de las prestaciones. Caracteres de las prestaciones. Incompatibilidades. Reintegro de las prestaciones indebidas. Requisitos generales del derecho a las prestaciones. Responsabilidades en orden a las prestaciones por incumplimiento de las obligaciones de afiliación, altas, bajas y cotización. Automaticidad y anticipo de prestaciones. Riesgo protegido: contingencias comunes y profesionales.</x:v>
      </x:c>
      <x:c r="E31" s="18" t="n">
        <x:f>COUNTIFS('Preguntas oficiales'!$R$2:$R$547,A31,'Preguntas oficiales'!$I$2:$I$547,"Sí")</x:f>
        <x:v>19</x:v>
      </x:c>
      <x:c r="F31" s="18" t="n">
        <x:f>COUNTIFS('Preguntas oficiales'!$R$2:$R$547,A31,'Preguntas oficiales'!$I$2:$I$547,"Sí",'Preguntas oficiales'!$B$2:$B$547,2024)</x:f>
        <x:v>4</x:v>
      </x:c>
      <x:c r="G31" s="18" t="n">
        <x:f>COUNTIFS('Preguntas oficiales'!$R$2:$R$547,A31,'Preguntas oficiales'!$I$2:$I$547,"Sí",'Preguntas oficiales'!$B$2:$B$547,2025)</x:f>
        <x:v>12</x:v>
      </x:c>
      <x:c r="H31" s="18" t="n">
        <x:f>COUNTIFS('Preguntas oficiales'!$R$2:$R$547,A31,'Preguntas oficiales'!$I$2:$I$547,"Sí",'Preguntas oficiales'!$B$2:$B$547,2026)</x:f>
        <x:v>3</x:v>
      </x:c>
      <x:c r="I31" s="18" t="n">
        <x:f>COUNTIFS('Preguntas oficiales'!$R$2:$R$547,A31,'Preguntas oficiales'!$I$2:$I$547,"Sí",'Preguntas oficiales'!$AE$2:$AE$547,"Práctico")</x:f>
        <x:v>0</x:v>
      </x:c>
      <x:c r="J31" s="18" t="n">
        <x:f>COUNTIFS('Preguntas oficiales'!$R$2:$R$547,A31,'Preguntas oficiales'!$I$2:$I$547,"Sí",'Preguntas oficiales'!$L$2:$L$547,"Sí")</x:f>
        <x:v>0</x:v>
      </x:c>
      <x:c r="K31" s="18" t="n">
        <x:f>COUNTIFS('Preguntas oficiales'!$R$2:$R$547,A31,'Preguntas oficiales'!$I$2:$I$547,"Sí",'Preguntas oficiales'!$AH$2:$AH$547,"Anulada")</x:f>
        <x:v>0</x:v>
      </x:c>
      <x:c r="L31" s="18" t="n">
        <x:f>COUNTIFS('Preguntas oficiales'!$R$2:$R$547,A31,'Preguntas oficiales'!$I$2:$I$547,"Sí",'Preguntas oficiales'!$AH$2:$AH$547,"Modificada")</x:f>
        <x:v>0</x:v>
      </x:c>
      <x:c r="M31" s="18" t="str">
        <x:v>texto refundido de la Ley General de la Seguridad Social (14); Texto Refundido de la Ley General de la Seguridad Social (4); Real Decreto 1299/2006 (1)</x:v>
      </x:c>
      <x:c r="N31" s="18" t="str">
        <x:v>54 (3); 58 (3); 46 (2); 61 (2); 59 (2); 53 (1); 51 (1); 164 (1)</x:v>
      </x:c>
      <x:c r="O31" s="18" t="str">
        <x:v>S07 (18); embargo (1)</x:v>
      </x:c>
    </x:row>
    <x:row r="32">
      <x:c r="A32" s="18" t="str">
        <x:v>S08</x:v>
      </x:c>
      <x:c r="B32" s="18" t="str">
        <x:v>Temario específico Seguridad Social</x:v>
      </x:c>
      <x:c r="C32" s="18" t="n">
        <x:v>8</x:v>
      </x:c>
      <x:c r="D32" s="18" t="str">
        <x:v>Incapacidad temporal: concepto y causas que motivan esta situación. Beneficiarios. Prestación económica: determinación y cuantía. Nacimiento, duración y extinción del derecho al subsidio. Reconocimiento y pago. Control de la incapacidad. Incapacidad permanente contributiva: concepto. Grados de incapacidad. Prestaciones. Determinación y cuantía. Beneficiarios. Nacimiento, duración y extinción del derecho. Lesiones permanentes no incapacitantes. La calificación y revisión de la incapacidad permanente.</x:v>
      </x:c>
      <x:c r="E32" s="18" t="n">
        <x:f>COUNTIFS('Preguntas oficiales'!$R$2:$R$547,A32,'Preguntas oficiales'!$I$2:$I$547,"Sí")</x:f>
        <x:v>32</x:v>
      </x:c>
      <x:c r="F32" s="18" t="n">
        <x:f>COUNTIFS('Preguntas oficiales'!$R$2:$R$547,A32,'Preguntas oficiales'!$I$2:$I$547,"Sí",'Preguntas oficiales'!$B$2:$B$547,2024)</x:f>
        <x:v>6</x:v>
      </x:c>
      <x:c r="G32" s="18" t="n">
        <x:f>COUNTIFS('Preguntas oficiales'!$R$2:$R$547,A32,'Preguntas oficiales'!$I$2:$I$547,"Sí",'Preguntas oficiales'!$B$2:$B$547,2025)</x:f>
        <x:v>19</x:v>
      </x:c>
      <x:c r="H32" s="18" t="n">
        <x:f>COUNTIFS('Preguntas oficiales'!$R$2:$R$547,A32,'Preguntas oficiales'!$I$2:$I$547,"Sí",'Preguntas oficiales'!$B$2:$B$547,2026)</x:f>
        <x:v>7</x:v>
      </x:c>
      <x:c r="I32" s="18" t="n">
        <x:f>COUNTIFS('Preguntas oficiales'!$R$2:$R$547,A32,'Preguntas oficiales'!$I$2:$I$547,"Sí",'Preguntas oficiales'!$AE$2:$AE$547,"Práctico")</x:f>
        <x:v>14</x:v>
      </x:c>
      <x:c r="J32" s="18" t="n">
        <x:f>COUNTIFS('Preguntas oficiales'!$R$2:$R$547,A32,'Preguntas oficiales'!$I$2:$I$547,"Sí",'Preguntas oficiales'!$L$2:$L$547,"Sí")</x:f>
        <x:v>3</x:v>
      </x:c>
      <x:c r="K32" s="18" t="n">
        <x:f>COUNTIFS('Preguntas oficiales'!$R$2:$R$547,A32,'Preguntas oficiales'!$I$2:$I$547,"Sí",'Preguntas oficiales'!$AH$2:$AH$547,"Anulada")</x:f>
        <x:v>1</x:v>
      </x:c>
      <x:c r="L32" s="18" t="n">
        <x:f>COUNTIFS('Preguntas oficiales'!$R$2:$R$547,A32,'Preguntas oficiales'!$I$2:$I$547,"Sí",'Preguntas oficiales'!$AH$2:$AH$547,"Modificada")</x:f>
        <x:v>0</x:v>
      </x:c>
      <x:c r="M32" s="18" t="str">
        <x:v>texto refundido de la Ley General de la Seguridad Social (12); Texto Refundido de la Ley General de la Seguridad Social (3); Real Decreto 1300/1995 (1)</x:v>
      </x:c>
      <x:c r="N32" s="18" t="str">
        <x:v>173 (3); 174 (2); 169.1 (1); 2 (1); 169 (1); 195 (1); 201 (1); 23 (1)</x:v>
      </x:c>
      <x:c r="O32" s="18" t="str">
        <x:v>incapacidad temporal (12); incapacidad permanente (8); S08 (7); alta (3); baja (2)</x:v>
      </x:c>
    </x:row>
    <x:row r="33">
      <x:c r="A33" s="18" t="str">
        <x:v>S09</x:v>
      </x:c>
      <x:c r="B33" s="18" t="str">
        <x:v>Temario específico Seguridad Social</x:v>
      </x:c>
      <x:c r="C33" s="18" t="n">
        <x:v>9</x:v>
      </x:c>
      <x:c r="D33" s="18" t="str">
        <x:v>Nacimiento y cuidado de menor. Ejercicio corresponsable del cuidado del lactante. Prestación por riesgo durante el embarazo. Prestación por riesgo durante la lactancia natural. Asignación económica por hijo o menor acogido a cargo. Prestación económica por nacimiento o adopción de hijo en supuestos de familias numerosas o monoparentales y en los casos de madres o padres con discapacidad. Prestación por parto o adopción Subsidio por cuidado de menores afectados por cáncer u otra enfermedad grave.</x:v>
      </x:c>
      <x:c r="E33" s="18" t="n">
        <x:f>COUNTIFS('Preguntas oficiales'!$R$2:$R$547,A33,'Preguntas oficiales'!$I$2:$I$547,"Sí")</x:f>
        <x:v>30</x:v>
      </x:c>
      <x:c r="F33" s="18" t="n">
        <x:f>COUNTIFS('Preguntas oficiales'!$R$2:$R$547,A33,'Preguntas oficiales'!$I$2:$I$547,"Sí",'Preguntas oficiales'!$B$2:$B$547,2024)</x:f>
        <x:v>6</x:v>
      </x:c>
      <x:c r="G33" s="18" t="n">
        <x:f>COUNTIFS('Preguntas oficiales'!$R$2:$R$547,A33,'Preguntas oficiales'!$I$2:$I$547,"Sí",'Preguntas oficiales'!$B$2:$B$547,2025)</x:f>
        <x:v>20</x:v>
      </x:c>
      <x:c r="H33" s="18" t="n">
        <x:f>COUNTIFS('Preguntas oficiales'!$R$2:$R$547,A33,'Preguntas oficiales'!$I$2:$I$547,"Sí",'Preguntas oficiales'!$B$2:$B$547,2026)</x:f>
        <x:v>4</x:v>
      </x:c>
      <x:c r="I33" s="18" t="n">
        <x:f>COUNTIFS('Preguntas oficiales'!$R$2:$R$547,A33,'Preguntas oficiales'!$I$2:$I$547,"Sí",'Preguntas oficiales'!$AE$2:$AE$547,"Práctico")</x:f>
        <x:v>11</x:v>
      </x:c>
      <x:c r="J33" s="18" t="n">
        <x:f>COUNTIFS('Preguntas oficiales'!$R$2:$R$547,A33,'Preguntas oficiales'!$I$2:$I$547,"Sí",'Preguntas oficiales'!$L$2:$L$547,"Sí")</x:f>
        <x:v>2</x:v>
      </x:c>
      <x:c r="K33" s="18" t="n">
        <x:f>COUNTIFS('Preguntas oficiales'!$R$2:$R$547,A33,'Preguntas oficiales'!$I$2:$I$547,"Sí",'Preguntas oficiales'!$AH$2:$AH$547,"Anulada")</x:f>
        <x:v>0</x:v>
      </x:c>
      <x:c r="L33" s="18" t="n">
        <x:f>COUNTIFS('Preguntas oficiales'!$R$2:$R$547,A33,'Preguntas oficiales'!$I$2:$I$547,"Sí",'Preguntas oficiales'!$AH$2:$AH$547,"Modificada")</x:f>
        <x:v>0</x:v>
      </x:c>
      <x:c r="M33" s="18" t="str">
        <x:v>texto refundido de la Ley General de la Seguridad Social (11); Real Decreto 295/2009 (3); Real Decreto 1148/2011 (1); Texto Refundido de la Ley General de la Seguridad Social (1)</x:v>
      </x:c>
      <x:c r="N33" s="18" t="str">
        <x:v>185 (2); 48 (2); 7 (1); 360 (1); 358 (1); 182 (1); 183 (1); 189 (1)</x:v>
      </x:c>
      <x:c r="O33" s="18" t="str">
        <x:v>S09 (20); nacimiento y cuidado de menor (7); incapacidad temporal (2); base de cotización (1)</x:v>
      </x:c>
    </x:row>
    <x:row r="34">
      <x:c r="A34" s="18" t="str">
        <x:v>S10</x:v>
      </x:c>
      <x:c r="B34" s="18" t="str">
        <x:v>Temario específico Seguridad Social</x:v>
      </x:c>
      <x:c r="C34" s="18" t="n">
        <x:v>10</x:v>
      </x:c>
      <x:c r="D34" s="18" t="str">
        <x:v>Jubilación en la modalidad contributiva: concepto. Jubilación ordinaria: requisitos: especial referencia a la edad de jubilación. Determinación de la cuantía de la prestación: base reguladora y porcentaje. Jubilación anticipada, jubilación parcial y jubilación flexible. Compatibilidad de la pensión de jubilación y el trabajo. Suspensión y extinción de la prestación. Especial referencia a la aplicación de la normativa anterior a la Ley 27/2011.</x:v>
      </x:c>
      <x:c r="E34" s="18" t="n">
        <x:f>COUNTIFS('Preguntas oficiales'!$R$2:$R$547,A34,'Preguntas oficiales'!$I$2:$I$547,"Sí")</x:f>
        <x:v>32</x:v>
      </x:c>
      <x:c r="F34" s="18" t="n">
        <x:f>COUNTIFS('Preguntas oficiales'!$R$2:$R$547,A34,'Preguntas oficiales'!$I$2:$I$547,"Sí",'Preguntas oficiales'!$B$2:$B$547,2024)</x:f>
        <x:v>10</x:v>
      </x:c>
      <x:c r="G34" s="18" t="n">
        <x:f>COUNTIFS('Preguntas oficiales'!$R$2:$R$547,A34,'Preguntas oficiales'!$I$2:$I$547,"Sí",'Preguntas oficiales'!$B$2:$B$547,2025)</x:f>
        <x:v>17</x:v>
      </x:c>
      <x:c r="H34" s="18" t="n">
        <x:f>COUNTIFS('Preguntas oficiales'!$R$2:$R$547,A34,'Preguntas oficiales'!$I$2:$I$547,"Sí",'Preguntas oficiales'!$B$2:$B$547,2026)</x:f>
        <x:v>5</x:v>
      </x:c>
      <x:c r="I34" s="18" t="n">
        <x:f>COUNTIFS('Preguntas oficiales'!$R$2:$R$547,A34,'Preguntas oficiales'!$I$2:$I$547,"Sí",'Preguntas oficiales'!$AE$2:$AE$547,"Práctico")</x:f>
        <x:v>15</x:v>
      </x:c>
      <x:c r="J34" s="18" t="n">
        <x:f>COUNTIFS('Preguntas oficiales'!$R$2:$R$547,A34,'Preguntas oficiales'!$I$2:$I$547,"Sí",'Preguntas oficiales'!$L$2:$L$547,"Sí")</x:f>
        <x:v>8</x:v>
      </x:c>
      <x:c r="K34" s="18" t="n">
        <x:f>COUNTIFS('Preguntas oficiales'!$R$2:$R$547,A34,'Preguntas oficiales'!$I$2:$I$547,"Sí",'Preguntas oficiales'!$AH$2:$AH$547,"Anulada")</x:f>
        <x:v>1</x:v>
      </x:c>
      <x:c r="L34" s="18" t="n">
        <x:f>COUNTIFS('Preguntas oficiales'!$R$2:$R$547,A34,'Preguntas oficiales'!$I$2:$I$547,"Sí",'Preguntas oficiales'!$AH$2:$AH$547,"Modificada")</x:f>
        <x:v>0</x:v>
      </x:c>
      <x:c r="M34" s="18" t="str">
        <x:v>texto refundido de la Ley General de la Seguridad Social (13); Texto Refundido de la Ley General de la Seguridad Social (4)</x:v>
      </x:c>
      <x:c r="N34" s="18" t="str">
        <x:v>205 (3); 215 (3); 207 (3); 213 (1); 210 (1); 153 (1); 205.1 (1); 206 (1)</x:v>
      </x:c>
      <x:c r="O34" s="18" t="str">
        <x:v>jubilación (19); jubilación anticipada (7); S10 (5); alta (1)</x:v>
      </x:c>
    </x:row>
    <x:row r="35">
      <x:c r="A35" s="18" t="str">
        <x:v>S11</x:v>
      </x:c>
      <x:c r="B35" s="18" t="str">
        <x:v>Temario específico Seguridad Social</x:v>
      </x:c>
      <x:c r="C35" s="18" t="n">
        <x:v>11</x:v>
      </x:c>
      <x:c r="D35" s="18" t="str">
        <x:v>La protección por muerte y supervivencia. Hecho causante. Requisitos para las prestaciones de viudedad, orfandad y en favor de familiares. Cuantía de las prestaciones. Compatibilidad. Suspensión y Extinción. Normas específicas en caso de muerte derivada de accidente de trabajo o enfermedad profesional. Efectividad económica de las prestaciones. El auxilio por defunción.</x:v>
      </x:c>
      <x:c r="E35" s="18" t="n">
        <x:f>COUNTIFS('Preguntas oficiales'!$R$2:$R$547,A35,'Preguntas oficiales'!$I$2:$I$547,"Sí")</x:f>
        <x:v>24</x:v>
      </x:c>
      <x:c r="F35" s="18" t="n">
        <x:f>COUNTIFS('Preguntas oficiales'!$R$2:$R$547,A35,'Preguntas oficiales'!$I$2:$I$547,"Sí",'Preguntas oficiales'!$B$2:$B$547,2024)</x:f>
        <x:v>4</x:v>
      </x:c>
      <x:c r="G35" s="18" t="n">
        <x:f>COUNTIFS('Preguntas oficiales'!$R$2:$R$547,A35,'Preguntas oficiales'!$I$2:$I$547,"Sí",'Preguntas oficiales'!$B$2:$B$547,2025)</x:f>
        <x:v>17</x:v>
      </x:c>
      <x:c r="H35" s="18" t="n">
        <x:f>COUNTIFS('Preguntas oficiales'!$R$2:$R$547,A35,'Preguntas oficiales'!$I$2:$I$547,"Sí",'Preguntas oficiales'!$B$2:$B$547,2026)</x:f>
        <x:v>3</x:v>
      </x:c>
      <x:c r="I35" s="18" t="n">
        <x:f>COUNTIFS('Preguntas oficiales'!$R$2:$R$547,A35,'Preguntas oficiales'!$I$2:$I$547,"Sí",'Preguntas oficiales'!$AE$2:$AE$547,"Práctico")</x:f>
        <x:v>7</x:v>
      </x:c>
      <x:c r="J35" s="18" t="n">
        <x:f>COUNTIFS('Preguntas oficiales'!$R$2:$R$547,A35,'Preguntas oficiales'!$I$2:$I$547,"Sí",'Preguntas oficiales'!$L$2:$L$547,"Sí")</x:f>
        <x:v>1</x:v>
      </x:c>
      <x:c r="K35" s="18" t="n">
        <x:f>COUNTIFS('Preguntas oficiales'!$R$2:$R$547,A35,'Preguntas oficiales'!$I$2:$I$547,"Sí",'Preguntas oficiales'!$AH$2:$AH$547,"Anulada")</x:f>
        <x:v>2</x:v>
      </x:c>
      <x:c r="L35" s="18" t="n">
        <x:f>COUNTIFS('Preguntas oficiales'!$R$2:$R$547,A35,'Preguntas oficiales'!$I$2:$I$547,"Sí",'Preguntas oficiales'!$AH$2:$AH$547,"Modificada")</x:f>
        <x:v>0</x:v>
      </x:c>
      <x:c r="M35" s="18" t="str">
        <x:v>texto refundido de la Ley General de la Seguridad Social (6); Texto Refundido de la Ley General de la Seguridad Social (1)</x:v>
      </x:c>
      <x:c r="N35" s="18" t="str">
        <x:v>224 (2); 31 (2); 224.1 (1); 232 (1); 7.2 (1); 231 (1); 2 (1); 9 (1)</x:v>
      </x:c>
      <x:c r="O35" s="18" t="str">
        <x:v>S11 (8); orfandad (7); viudedad (6); incapacidad permanente (2); alta (1)</x:v>
      </x:c>
    </x:row>
    <x:row r="36">
      <x:c r="A36" s="18" t="str">
        <x:v>S12</x:v>
      </x:c>
      <x:c r="B36" s="18" t="str">
        <x:v>Temario específico Seguridad Social</x:v>
      </x:c>
      <x:c r="C36" s="18" t="n">
        <x:v>12</x:v>
      </x:c>
      <x:c r="D36" s="18" t="str">
        <x:v>Prestaciones no contributivas y asistenciales. El ingreso mínimo vital: beneficiarios, requisitos y duración. Obligaciones de las personas beneficiarias. Cuantía, pago, reintegro de prestaciones indebidas. Prestaciones familiares múltiples. Prestaciones familiares en la modalidad contributiva. Las pensiones no contributivas: Invalidez no contributiva: Jubilación no contributiva.</x:v>
      </x:c>
      <x:c r="E36" s="18" t="n">
        <x:f>COUNTIFS('Preguntas oficiales'!$R$2:$R$547,A36,'Preguntas oficiales'!$I$2:$I$547,"Sí")</x:f>
        <x:v>25</x:v>
      </x:c>
      <x:c r="F36" s="18" t="n">
        <x:f>COUNTIFS('Preguntas oficiales'!$R$2:$R$547,A36,'Preguntas oficiales'!$I$2:$I$547,"Sí",'Preguntas oficiales'!$B$2:$B$547,2024)</x:f>
        <x:v>6</x:v>
      </x:c>
      <x:c r="G36" s="18" t="n">
        <x:f>COUNTIFS('Preguntas oficiales'!$R$2:$R$547,A36,'Preguntas oficiales'!$I$2:$I$547,"Sí",'Preguntas oficiales'!$B$2:$B$547,2025)</x:f>
        <x:v>16</x:v>
      </x:c>
      <x:c r="H36" s="18" t="n">
        <x:f>COUNTIFS('Preguntas oficiales'!$R$2:$R$547,A36,'Preguntas oficiales'!$I$2:$I$547,"Sí",'Preguntas oficiales'!$B$2:$B$547,2026)</x:f>
        <x:v>3</x:v>
      </x:c>
      <x:c r="I36" s="18" t="n">
        <x:f>COUNTIFS('Preguntas oficiales'!$R$2:$R$547,A36,'Preguntas oficiales'!$I$2:$I$547,"Sí",'Preguntas oficiales'!$AE$2:$AE$547,"Práctico")</x:f>
        <x:v>0</x:v>
      </x:c>
      <x:c r="J36" s="18" t="n">
        <x:f>COUNTIFS('Preguntas oficiales'!$R$2:$R$547,A36,'Preguntas oficiales'!$I$2:$I$547,"Sí",'Preguntas oficiales'!$L$2:$L$547,"Sí")</x:f>
        <x:v>1</x:v>
      </x:c>
      <x:c r="K36" s="18" t="n">
        <x:f>COUNTIFS('Preguntas oficiales'!$R$2:$R$547,A36,'Preguntas oficiales'!$I$2:$I$547,"Sí",'Preguntas oficiales'!$AH$2:$AH$547,"Anulada")</x:f>
        <x:v>0</x:v>
      </x:c>
      <x:c r="L36" s="18" t="n">
        <x:f>COUNTIFS('Preguntas oficiales'!$R$2:$R$547,A36,'Preguntas oficiales'!$I$2:$I$547,"Sí",'Preguntas oficiales'!$AH$2:$AH$547,"Modificada")</x:f>
        <x:v>0</x:v>
      </x:c>
      <x:c r="M36" s="18" t="str">
        <x:v>Ley 19/2021 (9); texto refundido de la Ley General de la Seguridad Social (5); Texto Refundido de la Ley General de la Seguridad Social (3); Ley 26/1990 (2); ley 19/2021 (2)</x:v>
      </x:c>
      <x:c r="N36" s="18" t="str">
        <x:v>3 (2); 363 (2); 5 (2); 7 (2); 4 (2); 235 (1); 6 (1); 366 (1)</x:v>
      </x:c>
      <x:c r="O36" s="18" t="str">
        <x:v>ingreso mínimo vital (11); S12 (11); incapacidad permanente (1); jubilación (1); base de cotización (1)</x:v>
      </x:c>
    </x:row>
    <x:row r="37">
      <x:c r="A37" s="18" t="str">
        <x:v>S13</x:v>
      </x:c>
      <x:c r="B37" s="18" t="str">
        <x:v>Temario específico Seguridad Social</x:v>
      </x:c>
      <x:c r="C37" s="18" t="n">
        <x:v>13</x:v>
      </x:c>
      <x:c r="D37" s="18" t="str">
        <x:v>Recursos generales del sistema de la Seguridad Social. El patrimonio único de la seguridad social: titularidad, adscripción, administración y custodia. Los negocios jurídicos patrimoniales: adquisición, enajenación, arrendamiento y cesión. El Fondo de Reserva de la Seguridad Social: constitución, dotación y disposición. Gestión de los recursos financieros: atribución de funciones. Pago de prestaciones de la Seguridad Social.</x:v>
      </x:c>
      <x:c r="E37" s="18" t="n">
        <x:f>COUNTIFS('Preguntas oficiales'!$R$2:$R$547,A37,'Preguntas oficiales'!$I$2:$I$547,"Sí")</x:f>
        <x:v>16</x:v>
      </x:c>
      <x:c r="F37" s="18" t="n">
        <x:f>COUNTIFS('Preguntas oficiales'!$R$2:$R$547,A37,'Preguntas oficiales'!$I$2:$I$547,"Sí",'Preguntas oficiales'!$B$2:$B$547,2024)</x:f>
        <x:v>1</x:v>
      </x:c>
      <x:c r="G37" s="18" t="n">
        <x:f>COUNTIFS('Preguntas oficiales'!$R$2:$R$547,A37,'Preguntas oficiales'!$I$2:$I$547,"Sí",'Preguntas oficiales'!$B$2:$B$547,2025)</x:f>
        <x:v>11</x:v>
      </x:c>
      <x:c r="H37" s="18" t="n">
        <x:f>COUNTIFS('Preguntas oficiales'!$R$2:$R$547,A37,'Preguntas oficiales'!$I$2:$I$547,"Sí",'Preguntas oficiales'!$B$2:$B$547,2026)</x:f>
        <x:v>4</x:v>
      </x:c>
      <x:c r="I37" s="18" t="n">
        <x:f>COUNTIFS('Preguntas oficiales'!$R$2:$R$547,A37,'Preguntas oficiales'!$I$2:$I$547,"Sí",'Preguntas oficiales'!$AE$2:$AE$547,"Práctico")</x:f>
        <x:v>0</x:v>
      </x:c>
      <x:c r="J37" s="18" t="n">
        <x:f>COUNTIFS('Preguntas oficiales'!$R$2:$R$547,A37,'Preguntas oficiales'!$I$2:$I$547,"Sí",'Preguntas oficiales'!$L$2:$L$547,"Sí")</x:f>
        <x:v>0</x:v>
      </x:c>
      <x:c r="K37" s="18" t="n">
        <x:f>COUNTIFS('Preguntas oficiales'!$R$2:$R$547,A37,'Preguntas oficiales'!$I$2:$I$547,"Sí",'Preguntas oficiales'!$AH$2:$AH$547,"Anulada")</x:f>
        <x:v>0</x:v>
      </x:c>
      <x:c r="L37" s="18" t="n">
        <x:f>COUNTIFS('Preguntas oficiales'!$R$2:$R$547,A37,'Preguntas oficiales'!$I$2:$I$547,"Sí",'Preguntas oficiales'!$AH$2:$AH$547,"Modificada")</x:f>
        <x:v>0</x:v>
      </x:c>
      <x:c r="M37" s="18" t="str">
        <x:v>texto refundido de la Ley General de la Seguridad Social (5); Real Decreto 1221/1992 (5); Texto Refundido de la Ley General de la Seguridad Social (3); Real Decreto 696/2018 (2)</x:v>
      </x:c>
      <x:c r="N37" s="18" t="str">
        <x:v>12 (2); 9 (2); 117 (1); 109.3 (1); 104.1 (1); 108 (1); 123 (1); 18 (1)</x:v>
      </x:c>
      <x:c r="O37" s="18" t="str">
        <x:v>S13 (14); Fondo de Reserva (2)</x:v>
      </x:c>
    </x:row>
  </x:sheetData>
  <x:conditionalFormatting sqref="E2:E37">
    <x:cfRule type="dataBar" priority="1">
      <x:dataBar>
        <x:cfvo type="min"/>
        <x:cfvo type="max"/>
        <x:color rgb="FF0F766E"/>
      </x:dataBar>
      <x:extLst>
        <x:ext xmlns:x14="http://schemas.microsoft.com/office/spreadsheetml/2009/9/main" uri="{B025F937-C7B1-47D3-B67F-A62EFF666E3E}">
          <x14:id>{726AF992-5F01-E19B-CEAF-3246C707ECB2}</x14:id>
        </x:ext>
      </x:extLst>
    </x:cfRule>
  </x:conditionalFormatting>
  <x:pageMargins left="0.7" right="0.7" top="0.75" bottom="0.75" header="0.3" footer="0.3"/>
  <x:tableParts count="1">
    <x:tablePart xmlns:r="http://schemas.openxmlformats.org/officeDocument/2006/relationships" r:id="Rc584101437024ecc"/>
  </x:tableParts>
  <x:extLst>
    <x:ext xmlns:x14="http://schemas.microsoft.com/office/spreadsheetml/2009/9/main" xmlns:xm="http://schemas.microsoft.com/office/excel/2006/main" uri="{78C0D931-6437-407d-A8EE-F0AAD7539E65}">
      <x14:conditionalFormattings>
        <x14:conditionalFormatting>
          <x14:cfRule type="dataBar" priority="1" id="{726AF992-5F01-E19B-CEAF-3246C707ECB2}">
            <x14:dataBar gradient="1">
              <x14:cfvo type="min"/>
              <x14:cfvo type="max"/>
              <x14:fillColor rgb="FF0F766E"/>
            </x14:dataBar>
          </x14:cfRule>
          <xm:sqref>E2:E37</xm:sqref>
        </x14:conditionalFormatting>
      </x14:conditionalFormattings>
    </x:ext>
  </x:extLst>
</x:worksheet>
</file>

<file path=xl/worksheets/sheet5.xml><?xml version="1.0" encoding="utf-8"?>
<x:worksheet xmlns:x="http://schemas.openxmlformats.org/spreadsheetml/2006/main">
  <x:sheetViews>
    <x:sheetView showGridLines="0" workbookViewId="0"/>
  </x:sheetViews>
  <x:sheetFormatPr defaultRowHeight="15"/>
  <x:cols>
    <x:col min="1" max="1" width="34" hidden="0" customWidth="1"/>
    <x:col min="4" max="4" width="25" hidden="0" customWidth="1"/>
    <x:col min="5" max="5" width="25" hidden="0" customWidth="1"/>
    <x:col min="6" max="6" width="25" hidden="0" customWidth="1"/>
    <x:col min="7" max="7" width="25" hidden="0" customWidth="1"/>
    <x:col min="8" max="8" width="62" hidden="0" customWidth="1"/>
  </x:cols>
  <x:sheetData>
    <x:row r="1" ht="30" customHeight="1">
      <x:c r="A1" s="14" t="str">
        <x:v>ID</x:v>
      </x:c>
      <x:c r="B1" s="14" t="str">
        <x:v>Año</x:v>
      </x:c>
      <x:c r="C1" s="14" t="str">
        <x:v>Tema</x:v>
      </x:c>
      <x:c r="D1" s="14" t="str">
        <x:v>Norma</x:v>
      </x:c>
      <x:c r="E1" s="14" t="str">
        <x:v>Artículo / precepto</x:v>
      </x:c>
      <x:c r="F1" s="14" t="str">
        <x:v>Plazo, cifra, porcentaje o edad</x:v>
      </x:c>
      <x:c r="G1" s="14" t="str">
        <x:v>Tipo</x:v>
      </x:c>
      <x:c r="H1" s="14" t="str">
        <x:v>Enunciado</x:v>
      </x:c>
      <x:c r="I1" s="14" t="str">
        <x:v>Respuesta definitiva</x:v>
      </x:c>
      <x:c r="J1" s="14" t="str">
        <x:v>Resultado</x:v>
      </x:c>
    </x:row>
    <x:row r="2">
      <x:c r="A2" s="18" t="str">
        <x:v>2024_conv2023_ordinario_A-T01</x:v>
      </x:c>
      <x:c r="B2" s="18" t="n">
        <x:v>2024</x:v>
      </x:c>
      <x:c r="C2" s="18" t="str">
        <x:v>G01</x:v>
      </x:c>
      <x:c r="D2" s="18" t="str">
        <x:v>Constitución Española</x:v>
      </x:c>
      <x:c r="E2" s="18" t="str">
        <x:v>167.1</x:v>
      </x:c>
      <x:c r="F2" s="18" t="str"/>
      <x:c r="G2" s="18" t="str">
        <x:v>Artículos literales</x:v>
      </x:c>
      <x:c r="H2" s="18" t="str">
        <x:v>De acuerdo con 10 establecido en el artículo 167.1 de la Constitución Española, los proyectos de reforma constitucional deberán ser aprobados:</x:v>
      </x:c>
      <x:c r="I2" s="18" t="str">
        <x:v>A</x:v>
      </x:c>
      <x:c r="J2" s="18" t="str">
        <x:v>Válida</x:v>
      </x:c>
    </x:row>
    <x:row r="3">
      <x:c r="A3" s="18" t="str">
        <x:v>2024_conv2023_ordinario_A-T02</x:v>
      </x:c>
      <x:c r="B3" s="18" t="n">
        <x:v>2024</x:v>
      </x:c>
      <x:c r="C3" s="18" t="str">
        <x:v>G02</x:v>
      </x:c>
      <x:c r="D3" s="18" t="str">
        <x:v>Constitución Española</x:v>
      </x:c>
      <x:c r="E3" s="18" t="str">
        <x:v>21</x:v>
      </x:c>
      <x:c r="F3" s="18" t="str"/>
      <x:c r="G3" s="18" t="str">
        <x:v>Artículos literales</x:v>
      </x:c>
      <x:c r="H3" s="18" t="str">
        <x:v>En relación con eI derecho de reunión pacífica y sin armas que establece el artículo 21 de la Constitución Española, señale la respuesta CORRECTA:</x:v>
      </x:c>
      <x:c r="I3" s="18" t="str">
        <x:v>B</x:v>
      </x:c>
      <x:c r="J3" s="18" t="str">
        <x:v>Válida</x:v>
      </x:c>
    </x:row>
    <x:row r="4">
      <x:c r="A4" s="18" t="str">
        <x:v>2024_conv2023_ordinario_A-T03</x:v>
      </x:c>
      <x:c r="B4" s="18" t="n">
        <x:v>2024</x:v>
      </x:c>
      <x:c r="C4" s="18" t="str">
        <x:v>G03</x:v>
      </x:c>
      <x:c r="D4" s="18" t="str">
        <x:v>Ley Orgánica 2/1979</x:v>
      </x:c>
      <x:c r="E4" s="18" t="str">
        <x:v>9</x:v>
      </x:c>
      <x:c r="F4" s="18" t="str"/>
      <x:c r="G4" s="18" t="str">
        <x:v>Artículos literales</x:v>
      </x:c>
      <x:c r="H4" s="18" t="str">
        <x:v>Según 10 establecido en el artículo 9 de la Ley Orgánica 2/1979, de 3 de octubre, del Tribunal Constitucional, en relación al Presidente:</x:v>
      </x:c>
      <x:c r="I4" s="18" t="str">
        <x:v>A</x:v>
      </x:c>
      <x:c r="J4" s="18" t="str">
        <x:v>Válida</x:v>
      </x:c>
    </x:row>
    <x:row r="5">
      <x:c r="A5" s="18" t="str">
        <x:v>2024_conv2023_ordinario_A-T04</x:v>
      </x:c>
      <x:c r="B5" s="18" t="n">
        <x:v>2024</x:v>
      </x:c>
      <x:c r="C5" s="18" t="str">
        <x:v>G04</x:v>
      </x:c>
      <x:c r="D5" s="18" t="str">
        <x:v>Constitución Española</x:v>
      </x:c>
      <x:c r="E5" s="18" t="str">
        <x:v>62</x:v>
      </x:c>
      <x:c r="F5" s="18" t="str"/>
      <x:c r="G5" s="18" t="str">
        <x:v>Artículos literales</x:v>
      </x:c>
      <x:c r="H5" s="18" t="str">
        <x:v>Entre las funciones que el artículo 62 de la Constitución Española atribuye al Rey, ¿se encuentra la posibilidad de presidir eI Consejo de Ministros?</x:v>
      </x:c>
      <x:c r="I5" s="18" t="str">
        <x:v>D</x:v>
      </x:c>
      <x:c r="J5" s="18" t="str">
        <x:v>Válida</x:v>
      </x:c>
    </x:row>
    <x:row r="6">
      <x:c r="A6" s="18" t="str">
        <x:v>2024_conv2023_ordinario_A-T06</x:v>
      </x:c>
      <x:c r="B6" s="18" t="n">
        <x:v>2024</x:v>
      </x:c>
      <x:c r="C6" s="18" t="str">
        <x:v>G06</x:v>
      </x:c>
      <x:c r="D6" s="18" t="str">
        <x:v>Constitución Española</x:v>
      </x:c>
      <x:c r="E6" s="18" t="str">
        <x:v>117</x:v>
      </x:c>
      <x:c r="F6" s="18" t="str"/>
      <x:c r="G6" s="18" t="str">
        <x:v>Artículos literales</x:v>
      </x:c>
      <x:c r="H6" s="18" t="str">
        <x:v>De acuerdo con el artículo 117,5 de la Constitución Española, el principio de unidad jurisdiccional es la base de la organización y funcionamiento de los Tribunales. La ley regulará el ejercicio de la jurisdicción militar en el ámbito estrictamente castrense y, de acuerdo con los principios de la Constitución, ¿en qué supuestos?</x:v>
      </x:c>
      <x:c r="I6" s="18" t="str">
        <x:v>B</x:v>
      </x:c>
      <x:c r="J6" s="18" t="str">
        <x:v>Válida</x:v>
      </x:c>
    </x:row>
    <x:row r="7">
      <x:c r="A7" s="18" t="str">
        <x:v>2024_conv2023_ordinario_A-T07</x:v>
      </x:c>
      <x:c r="B7" s="18" t="n">
        <x:v>2024</x:v>
      </x:c>
      <x:c r="C7" s="18" t="str">
        <x:v>G07</x:v>
      </x:c>
      <x:c r="D7" s="18" t="str">
        <x:v>Constitución Española</x:v>
      </x:c>
      <x:c r="E7" s="18" t="str">
        <x:v>113</x:v>
      </x:c>
      <x:c r="F7" s="18" t="str"/>
      <x:c r="G7" s="18" t="str">
        <x:v>Artículos literales</x:v>
      </x:c>
      <x:c r="H7" s="18" t="str">
        <x:v>Según eI articulo 113 de la Constitución Española, señale la afirmación CORRECTA:</x:v>
      </x:c>
      <x:c r="I7" s="18" t="str">
        <x:v>A</x:v>
      </x:c>
      <x:c r="J7" s="18" t="str">
        <x:v>Válida</x:v>
      </x:c>
    </x:row>
    <x:row r="8">
      <x:c r="A8" s="18" t="str">
        <x:v>2024_conv2023_ordinario_A-T08</x:v>
      </x:c>
      <x:c r="B8" s="18" t="n">
        <x:v>2024</x:v>
      </x:c>
      <x:c r="C8" s="18" t="str">
        <x:v>G08</x:v>
      </x:c>
      <x:c r="D8" s="18" t="str">
        <x:v>Ley 40/2015</x:v>
      </x:c>
      <x:c r="E8" s="18" t="str">
        <x:v>58</x:v>
      </x:c>
      <x:c r="F8" s="18" t="str"/>
      <x:c r="G8" s="18" t="str">
        <x:v>Artículos literales</x:v>
      </x:c>
      <x:c r="H8" s="18" t="str">
        <x:v>De acuerdo con 10 establecido en el artículo 58 de la Ley 40/2015, de 1 de octubre, de Régimen Jurídico del Sector Público, señale la respuesta INCORRECTA:</x:v>
      </x:c>
      <x:c r="I8" s="18" t="str">
        <x:v>B</x:v>
      </x:c>
      <x:c r="J8" s="18" t="str">
        <x:v>Válida</x:v>
      </x:c>
    </x:row>
    <x:row r="9">
      <x:c r="A9" s="18" t="str">
        <x:v>2024_conv2023_ordinario_A-T09</x:v>
      </x:c>
      <x:c r="B9" s="18" t="n">
        <x:v>2024</x:v>
      </x:c>
      <x:c r="C9" s="18" t="str">
        <x:v>G09</x:v>
      </x:c>
      <x:c r="D9" s="18" t="str">
        <x:v>Constitución Española</x:v>
      </x:c>
      <x:c r="E9" s="18" t="str">
        <x:v>153</x:v>
      </x:c>
      <x:c r="F9" s="18" t="str"/>
      <x:c r="G9" s="18" t="str">
        <x:v>Órganos</x:v>
      </x:c>
      <x:c r="H9" s="18" t="str">
        <x:v>Según el artículo 153 de la Constitución Española, señale la respuesta INCORRECTA respeto al control de la actividad de los órganos de las comunidades autónomas:</x:v>
      </x:c>
      <x:c r="I9" s="18" t="str">
        <x:v>B</x:v>
      </x:c>
      <x:c r="J9" s="18" t="str">
        <x:v>Válida</x:v>
      </x:c>
    </x:row>
    <x:row r="10">
      <x:c r="A10" s="18" t="str">
        <x:v>2024_conv2023_ordinario_A-T10</x:v>
      </x:c>
      <x:c r="B10" s="18" t="n">
        <x:v>2024</x:v>
      </x:c>
      <x:c r="C10" s="18" t="str">
        <x:v>G10</x:v>
      </x:c>
      <x:c r="D10" s="18" t="str">
        <x:v>Tratado de Funcionamiento de la Unión Europea</x:v>
      </x:c>
      <x:c r="E10" s="18" t="str">
        <x:v>3</x:v>
      </x:c>
      <x:c r="F10" s="18" t="str"/>
      <x:c r="G10" s="18" t="str">
        <x:v>Competencias</x:v>
      </x:c>
      <x:c r="H10" s="18" t="str">
        <x:v>Indique cuál de las siguientes NO es una competencia exclusiva de la Unión Europea, de acuerdo con el artículo 3 del Tratado de Funcionamiento de la Unión Europea.</x:v>
      </x:c>
      <x:c r="I10" s="18" t="str">
        <x:v>B</x:v>
      </x:c>
      <x:c r="J10" s="18" t="str">
        <x:v>Válida</x:v>
      </x:c>
    </x:row>
    <x:row r="11">
      <x:c r="A11" s="18" t="str">
        <x:v>2024_conv2023_ordinario_A-T11</x:v>
      </x:c>
      <x:c r="B11" s="18" t="n">
        <x:v>2024</x:v>
      </x:c>
      <x:c r="C11" s="18" t="str">
        <x:v>G11</x:v>
      </x:c>
      <x:c r="D11" s="18" t="str">
        <x:v>Tratado de Funcionamiento de la Unión Europea</x:v>
      </x:c>
      <x:c r="E11" s="18" t="str">
        <x:v>288</x:v>
      </x:c>
      <x:c r="F11" s="18" t="str"/>
      <x:c r="G11" s="18" t="str">
        <x:v>Artículos literales</x:v>
      </x:c>
      <x:c r="H11" s="18" t="str">
        <x:v>En el artículo 288 del Tratado de Funcionamiento de la Unión Europea, se recogen los tipos de normas que regulan el Derecho Comunitario, entre ellas se encuentran las denominadas "Decisiones" ¿tienen carácter vinculante?</x:v>
      </x:c>
      <x:c r="I11" s="18" t="str">
        <x:v>C</x:v>
      </x:c>
      <x:c r="J11" s="18" t="str">
        <x:v>Válida</x:v>
      </x:c>
    </x:row>
    <x:row r="12">
      <x:c r="A12" s="18" t="str">
        <x:v>2024_conv2023_ordinario_A-T13</x:v>
      </x:c>
      <x:c r="B12" s="18" t="n">
        <x:v>2024</x:v>
      </x:c>
      <x:c r="C12" s="18" t="str">
        <x:v>G13</x:v>
      </x:c>
      <x:c r="D12" s="18" t="str"/>
      <x:c r="E12" s="18" t="str">
        <x:v>1</x:v>
      </x:c>
      <x:c r="F12" s="18" t="str"/>
      <x:c r="G12" s="18" t="str">
        <x:v>Artículos literales</x:v>
      </x:c>
      <x:c r="H12" s="18" t="str">
        <x:v>Señale la respuesta CORRECTA de acuerdo con 10 dispuesto en el articulo 1 del Código Civil:</x:v>
      </x:c>
      <x:c r="I12" s="18" t="str">
        <x:v>A</x:v>
      </x:c>
      <x:c r="J12" s="18" t="str">
        <x:v>Válida</x:v>
      </x:c>
    </x:row>
    <x:row r="13">
      <x:c r="A13" s="18" t="str">
        <x:v>2024_conv2023_ordinario_A-T14</x:v>
      </x:c>
      <x:c r="B13" s="18" t="n">
        <x:v>2024</x:v>
      </x:c>
      <x:c r="C13" s="18" t="str">
        <x:v>G14</x:v>
      </x:c>
      <x:c r="D13" s="18" t="str">
        <x:v>Constitución Española</x:v>
      </x:c>
      <x:c r="E13" s="18" t="str">
        <x:v>82</x:v>
      </x:c>
      <x:c r="F13" s="18" t="str"/>
      <x:c r="G13" s="18" t="str">
        <x:v>Artículos literales</x:v>
      </x:c>
      <x:c r="H13" s="18" t="str">
        <x:v>De acuerdo con 10 regulado en eI artículo 82 de la Constitución Española:</x:v>
      </x:c>
      <x:c r="I13" s="18" t="str">
        <x:v>A</x:v>
      </x:c>
      <x:c r="J13" s="18" t="str">
        <x:v>Válida</x:v>
      </x:c>
    </x:row>
    <x:row r="14">
      <x:c r="A14" s="18" t="str">
        <x:v>2024_conv2023_ordinario_A-T15</x:v>
      </x:c>
      <x:c r="B14" s="18" t="n">
        <x:v>2024</x:v>
      </x:c>
      <x:c r="C14" s="18" t="str">
        <x:v>G15</x:v>
      </x:c>
      <x:c r="D14" s="18" t="str">
        <x:v>Ley 39/2015</x:v>
      </x:c>
      <x:c r="E14" s="18" t="str">
        <x:v>50</x:v>
      </x:c>
      <x:c r="F14" s="18" t="str"/>
      <x:c r="G14" s="18" t="str">
        <x:v>Procedimientos</x:v>
      </x:c>
      <x:c r="H14" s="18" t="str">
        <x:v>De acuerdo con 10 establecido en eI artículo 50 de la Ley 39/2015, de 1 de octubre, del Procedimiento Administrativo Común de las Administraciones Públicas, los actos nulos o anulables que, sín embargo, contengan los elementos constitutivos de otro distinto:</x:v>
      </x:c>
      <x:c r="I14" s="18" t="str">
        <x:v>A</x:v>
      </x:c>
      <x:c r="J14" s="18" t="str">
        <x:v>Válida</x:v>
      </x:c>
    </x:row>
    <x:row r="15">
      <x:c r="A15" s="18" t="str">
        <x:v>2024_conv2023_ordinario_A-T16</x:v>
      </x:c>
      <x:c r="B15" s="18" t="n">
        <x:v>2024</x:v>
      </x:c>
      <x:c r="C15" s="18" t="str">
        <x:v>G16</x:v>
      </x:c>
      <x:c r="D15" s="18" t="str">
        <x:v>Ley 39/2015</x:v>
      </x:c>
      <x:c r="E15" s="18" t="str">
        <x:v>53</x:v>
      </x:c>
      <x:c r="F15" s="18" t="str"/>
      <x:c r="G15" s="18" t="str">
        <x:v>Procedimientos</x:v>
      </x:c>
      <x:c r="H15" s="18" t="str">
        <x:v>Es un derecho de los interesados en eI procedimiento administrativo común, en virtud del artículo 53 de la Ley 39/2015, de I de octubre, del Procedimiento Administrativo Común de las Administraciones Públicas:</x:v>
      </x:c>
      <x:c r="I15" s="18" t="str">
        <x:v>D</x:v>
      </x:c>
      <x:c r="J15" s="18" t="str">
        <x:v>Válida</x:v>
      </x:c>
    </x:row>
    <x:row r="16">
      <x:c r="A16" s="18" t="str">
        <x:v>2024_conv2023_ordinario_A-T18</x:v>
      </x:c>
      <x:c r="B16" s="18" t="n">
        <x:v>2024</x:v>
      </x:c>
      <x:c r="C16" s="18" t="str">
        <x:v>G18</x:v>
      </x:c>
      <x:c r="D16" s="18" t="str">
        <x:v>Ley 39/2015</x:v>
      </x:c>
      <x:c r="E16" s="18" t="str">
        <x:v>122</x:v>
      </x:c>
      <x:c r="F16" s="18" t="str"/>
      <x:c r="G16" s="18" t="str">
        <x:v>Procedimientos</x:v>
      </x:c>
      <x:c r="H16" s="18" t="str">
        <x:v>En virtud del artículo 122 de la Ley 39/2015, de I de octubre, del Procedimiento Administrativo Común de las Administraciones Públicas:</x:v>
      </x:c>
      <x:c r="I16" s="18" t="str">
        <x:v>A</x:v>
      </x:c>
      <x:c r="J16" s="18" t="str">
        <x:v>Válida</x:v>
      </x:c>
    </x:row>
    <x:row r="17">
      <x:c r="A17" s="18" t="str">
        <x:v>2024_conv2023_ordinario_A-T19</x:v>
      </x:c>
      <x:c r="B17" s="18" t="n">
        <x:v>2024</x:v>
      </x:c>
      <x:c r="C17" s="18" t="str">
        <x:v>G19</x:v>
      </x:c>
      <x:c r="D17" s="18" t="str">
        <x:v>Real Decreto Legislativo 5/2015</x:v>
      </x:c>
      <x:c r="E17" s="18" t="str">
        <x:v>8</x:v>
      </x:c>
      <x:c r="F17" s="18" t="str"/>
      <x:c r="G17" s="18" t="str">
        <x:v>Artículos literales</x:v>
      </x:c>
      <x:c r="H17" s="18" t="str">
        <x:v>Según el artículo 8 del Real Decreto Legislativo 5/2015, de 30 de octubre, por el que se aprueba el texto refundido de la Ley del Estatuto Básico del Empleado Público (TREBEP) ¿quiénes desempeñan funciones retribuidas en las Administraciones Públicas al servicio de los intereses generales?</x:v>
      </x:c>
      <x:c r="I17" s="18" t="str">
        <x:v>A</x:v>
      </x:c>
      <x:c r="J17" s="18" t="str">
        <x:v>Válida</x:v>
      </x:c>
    </x:row>
    <x:row r="18">
      <x:c r="A18" s="18" t="str">
        <x:v>2024_conv2023_ordinario_A-T21</x:v>
      </x:c>
      <x:c r="B18" s="18" t="n">
        <x:v>2024</x:v>
      </x:c>
      <x:c r="C18" s="18" t="str">
        <x:v>G21</x:v>
      </x:c>
      <x:c r="D18" s="18" t="str">
        <x:v>Ley 4/2023</x:v>
      </x:c>
      <x:c r="E18" s="18" t="str">
        <x:v>10</x:v>
      </x:c>
      <x:c r="F18" s="18" t="str"/>
      <x:c r="G18" s="18" t="str">
        <x:v>Artículos literales</x:v>
      </x:c>
      <x:c r="H18" s="18" t="str">
        <x:v>Según eI artículo 10 de la Ley 4/2023, de 28 de febrero, para la igualdad real y efectiva de las personas trans y para la garantía de los derechos de las personas LGTBI, la Estrategia estatal para la igualdad de trato y no discriminación de las personas LGTBI será aprobada mediante:</x:v>
      </x:c>
      <x:c r="I18" s="18" t="str">
        <x:v>A</x:v>
      </x:c>
      <x:c r="J18" s="18" t="str">
        <x:v>Válida</x:v>
      </x:c>
    </x:row>
    <x:row r="19">
      <x:c r="A19" s="18" t="str">
        <x:v>2024_conv2023_ordinario_A-T22</x:v>
      </x:c>
      <x:c r="B19" s="18" t="n">
        <x:v>2024</x:v>
      </x:c>
      <x:c r="C19" s="18" t="str">
        <x:v>G22</x:v>
      </x:c>
      <x:c r="D19" s="18" t="str"/>
      <x:c r="E19" s="18" t="str">
        <x:v>13</x:v>
      </x:c>
      <x:c r="F19" s="18" t="str"/>
      <x:c r="G19" s="18" t="str">
        <x:v>Artículos literales</x:v>
      </x:c>
      <x:c r="H19" s="18" t="str">
        <x:v>La Ley Orgánica 312018, de 5 de diciembre, de Protección de Datos Personales y garantía de los derechos digitales establece en eI artículo 13 y siguientes que serán derechos de las personas o afectados:</x:v>
      </x:c>
      <x:c r="I19" s="18" t="str">
        <x:v>C</x:v>
      </x:c>
      <x:c r="J19" s="18" t="str">
        <x:v>Válida</x:v>
      </x:c>
    </x:row>
    <x:row r="20">
      <x:c r="A20" s="18" t="str">
        <x:v>2024_conv2023_ordinario_A-T23</x:v>
      </x:c>
      <x:c r="B20" s="18" t="n">
        <x:v>2024</x:v>
      </x:c>
      <x:c r="C20" s="18" t="str">
        <x:v>G23</x:v>
      </x:c>
      <x:c r="D20" s="18" t="str">
        <x:v>Real Decreto 203/2021</x:v>
      </x:c>
      <x:c r="E20" s="18" t="str">
        <x:v>53</x:v>
      </x:c>
      <x:c r="F20" s="18" t="str"/>
      <x:c r="G20" s="18" t="str">
        <x:v>Artículos literales</x:v>
      </x:c>
      <x:c r="H20" s="18" t="str">
        <x:v>Según eI apartado 1 del artículo 53 del Real Decreto 203/2021, de 30 de marzo, por el que se aprueba el Reglamento de actuación y funcionamiento del sector público por medios electrónicos, los documentos presentados por eI interesado en soporte papel que no puedan serle devueltos en el momento de su presentación, una vez digitalizados serán conservados a su disposición, para que pueda recogerlos, durante:</x:v>
      </x:c>
      <x:c r="I20" s="18" t="str">
        <x:v>A</x:v>
      </x:c>
      <x:c r="J20" s="18" t="str">
        <x:v>Válida</x:v>
      </x:c>
    </x:row>
    <x:row r="21">
      <x:c r="A21" s="18" t="str">
        <x:v>2024_conv2023_ordinario_A-T24</x:v>
      </x:c>
      <x:c r="B21" s="18" t="n">
        <x:v>2024</x:v>
      </x:c>
      <x:c r="C21" s="18" t="str">
        <x:v>S01</x:v>
      </x:c>
      <x:c r="D21" s="18" t="str">
        <x:v>Constitución Española</x:v>
      </x:c>
      <x:c r="E21" s="18" t="str">
        <x:v>41</x:v>
      </x:c>
      <x:c r="F21" s="18" t="str"/>
      <x:c r="G21" s="18" t="str">
        <x:v>Artículos literales</x:v>
      </x:c>
      <x:c r="H21" s="18" t="str">
        <x:v>Según se establece en el artículo 41 de la Constitución Española, los poderes públicos mantendrán un régimen público de Seguridad Social para todos los ciudadanos que garantice la asistencia y prestaciones sociales suficientes ante situaciones de necesidad:</x:v>
      </x:c>
      <x:c r="I21" s="18" t="str">
        <x:v>B</x:v>
      </x:c>
      <x:c r="J21" s="18" t="str">
        <x:v>Válida</x:v>
      </x:c>
    </x:row>
    <x:row r="22">
      <x:c r="A22" s="18" t="str">
        <x:v>2024_conv2023_ordinario_A-T27</x:v>
      </x:c>
      <x:c r="B22" s="18" t="n">
        <x:v>2024</x:v>
      </x:c>
      <x:c r="C22" s="18" t="str">
        <x:v>S02</x:v>
      </x:c>
      <x:c r="D22" s="18" t="str">
        <x:v>texto refundido de la Ley General de la Seguridad Social</x:v>
      </x:c>
      <x:c r="E22" s="18" t="str">
        <x:v>7.3</x:v>
      </x:c>
      <x:c r="F22" s="18" t="str"/>
      <x:c r="G22" s="18" t="str">
        <x:v>Artículos literales</x:v>
      </x:c>
      <x:c r="H22" s="18" t="str">
        <x:v>De acuerdo con el articulo 7.3 del texto refundido de la Ley General de la Seguridad Social, el Gobierno, en el marco de los sistemas de protección social pública, puede establecer medidas de protección social en favor de:</x:v>
      </x:c>
      <x:c r="I22" s="18" t="str">
        <x:v>C</x:v>
      </x:c>
      <x:c r="J22" s="18" t="str">
        <x:v>Válida</x:v>
      </x:c>
    </x:row>
    <x:row r="23">
      <x:c r="A23" s="18" t="str">
        <x:v>2024_conv2023_ordinario_A-T28</x:v>
      </x:c>
      <x:c r="B23" s="18" t="n">
        <x:v>2024</x:v>
      </x:c>
      <x:c r="C23" s="18" t="str">
        <x:v>S02</x:v>
      </x:c>
      <x:c r="D23" s="18" t="str">
        <x:v>Ley 47/2015</x:v>
      </x:c>
      <x:c r="E23" s="18" t="str">
        <x:v>4</x:v>
      </x:c>
      <x:c r="F23" s="18" t="str"/>
      <x:c r="G23" s="18" t="str">
        <x:v>Artículos literales</x:v>
      </x:c>
      <x:c r="H23" s="18" t="str">
        <x:v>Según el artículo 4 de la Ley 47/2015, quedan comprendidos en eI Régimen Especial de la Seguridad Social de los Trabajadores del Mar, entre otros, como trabajadores por cuenta propia o autónomos:</x:v>
      </x:c>
      <x:c r="I23" s="18" t="str">
        <x:v>C</x:v>
      </x:c>
      <x:c r="J23" s="18" t="str">
        <x:v>Válida</x:v>
      </x:c>
    </x:row>
    <x:row r="24">
      <x:c r="A24" s="18" t="str">
        <x:v>2024_conv2023_ordinario_A-T29</x:v>
      </x:c>
      <x:c r="B24" s="18" t="n">
        <x:v>2024</x:v>
      </x:c>
      <x:c r="C24" s="18" t="str">
        <x:v>S02</x:v>
      </x:c>
      <x:c r="D24" s="18" t="str">
        <x:v>texto refundido de la Ley General de la Seguridad Social</x:v>
      </x:c>
      <x:c r="E24" s="18" t="str">
        <x:v>253</x:v>
      </x:c>
      <x:c r="F24" s="18" t="str"/>
      <x:c r="G24" s="18" t="str">
        <x:v>Requisitos</x:v>
      </x:c>
      <x:c r="H24" s="18" t="str">
        <x:v>De acuerdo con el articulo 253,2. del texto refundido de la Ley General de la Seguridad Social, para quedar incluido en eI Sistema Especial de Trabajadores por Cuenta Ajena Agrarios durante los períodos de inactividad son requisitos necesarios que el trabajador:</x:v>
      </x:c>
      <x:c r="I24" s="18" t="str">
        <x:v>A</x:v>
      </x:c>
      <x:c r="J24" s="18" t="str">
        <x:v>Válida</x:v>
      </x:c>
    </x:row>
    <x:row r="25">
      <x:c r="A25" s="18" t="str">
        <x:v>2024_conv2023_ordinario_A-T30</x:v>
      </x:c>
      <x:c r="B25" s="18" t="n">
        <x:v>2024</x:v>
      </x:c>
      <x:c r="C25" s="18" t="str">
        <x:v>S03</x:v>
      </x:c>
      <x:c r="D25" s="18" t="str">
        <x:v>Real Decreto 84/1996</x:v>
      </x:c>
      <x:c r="E25" s="18" t="str">
        <x:v>28</x:v>
      </x:c>
      <x:c r="F25" s="18" t="str"/>
      <x:c r="G25" s="18" t="str">
        <x:v>Afiliación, altas y bajas</x:v>
      </x:c>
      <x:c r="H25" s="18" t="str">
        <x:v>De acuerdo con 10 previsto en eI artículo 28 del Real Decreto 84/1996, de 26 de enero, la variación de los datos de la afiliación deberá comunicarse:</x:v>
      </x:c>
      <x:c r="I25" s="18" t="str">
        <x:v>C</x:v>
      </x:c>
      <x:c r="J25" s="18" t="str">
        <x:v>Válida</x:v>
      </x:c>
    </x:row>
    <x:row r="26">
      <x:c r="A26" s="18" t="str">
        <x:v>2024_conv2023_ordinario_A-T31</x:v>
      </x:c>
      <x:c r="B26" s="18" t="n">
        <x:v>2024</x:v>
      </x:c>
      <x:c r="C26" s="18" t="str">
        <x:v>S03</x:v>
      </x:c>
      <x:c r="D26" s="18" t="str">
        <x:v>Real Decreto 84/1996</x:v>
      </x:c>
      <x:c r="E26" s="18" t="str">
        <x:v>6.1</x:v>
      </x:c>
      <x:c r="F26" s="18" t="str"/>
      <x:c r="G26" s="18" t="str">
        <x:v>Afiliación, altas y bajas</x:v>
      </x:c>
      <x:c r="H26" s="18" t="str">
        <x:v>Según el artículo 6.1 del Real Decreto 84/1996, de 26 de enero, mediante el acto administrativo de afiliación, la Tesorería General de la Seguridad Social reconoce la condición de incluida en el sistema de la Seguridad Social, a la persona física que por vez primera realiza una actividad determinante de su inclusión en el ámbito de aplicación del mismo, estableciendo que:</x:v>
      </x:c>
      <x:c r="I26" s="18" t="str">
        <x:v>A</x:v>
      </x:c>
      <x:c r="J26" s="18" t="str">
        <x:v>Válida</x:v>
      </x:c>
    </x:row>
    <x:row r="27">
      <x:c r="A27" s="18" t="str">
        <x:v>2024_conv2023_ordinario_A-T32</x:v>
      </x:c>
      <x:c r="B27" s="18" t="n">
        <x:v>2024</x:v>
      </x:c>
      <x:c r="C27" s="18" t="str">
        <x:v>S03</x:v>
      </x:c>
      <x:c r="D27" s="18" t="str">
        <x:v>Real Decreto 84/1996</x:v>
      </x:c>
      <x:c r="E27" s="18" t="str">
        <x:v>32</x:v>
      </x:c>
      <x:c r="F27" s="18" t="str"/>
      <x:c r="G27" s="18" t="str">
        <x:v>Procedimientos</x:v>
      </x:c>
      <x:c r="H27" s="18" t="str">
        <x:v>Según el artículo 32 del Real Decreto 84/1996, de 26 de enero, las solicitudes para la baja y variaciones de datos de trabajadores deberán dirigirse a:</x:v>
      </x:c>
      <x:c r="I27" s="18" t="str">
        <x:v>A</x:v>
      </x:c>
      <x:c r="J27" s="18" t="str">
        <x:v>Válida</x:v>
      </x:c>
    </x:row>
    <x:row r="28">
      <x:c r="A28" s="18" t="str">
        <x:v>2024_conv2023_ordinario_A-T33</x:v>
      </x:c>
      <x:c r="B28" s="18" t="n">
        <x:v>2024</x:v>
      </x:c>
      <x:c r="C28" s="18" t="str">
        <x:v>S03</x:v>
      </x:c>
      <x:c r="D28" s="18" t="str">
        <x:v>Real Decreto 84/1996</x:v>
      </x:c>
      <x:c r="E28" s="18" t="str">
        <x:v>33</x:v>
      </x:c>
      <x:c r="F28" s="18" t="str"/>
      <x:c r="G28" s="18" t="str">
        <x:v>Competencias</x:v>
      </x:c>
      <x:c r="H28" s="18" t="str">
        <x:v>Según eI artículo 33 del Real Decreto 84/1996, de 26 de enero, establece que es competente para reconocer el derecho a la afiliación, al alta o a la baja en la Seguridad Social la Dirección Provincial de la Tesorería General de la Seguridad Social o la Administración de la misma en la provincia:</x:v>
      </x:c>
      <x:c r="I28" s="18" t="str">
        <x:v>C</x:v>
      </x:c>
      <x:c r="J28" s="18" t="str">
        <x:v>Válida</x:v>
      </x:c>
    </x:row>
    <x:row r="29">
      <x:c r="A29" s="18" t="str">
        <x:v>2024_conv2023_ordinario_A-T34</x:v>
      </x:c>
      <x:c r="B29" s="18" t="n">
        <x:v>2024</x:v>
      </x:c>
      <x:c r="C29" s="18" t="str">
        <x:v>S04</x:v>
      </x:c>
      <x:c r="D29" s="18" t="str">
        <x:v>Real Decreto 2064/1995</x:v>
      </x:c>
      <x:c r="E29" s="18" t="str">
        <x:v>7.1</x:v>
      </x:c>
      <x:c r="F29" s="18" t="str"/>
      <x:c r="G29" s="18" t="str">
        <x:v>Cotización</x:v>
      </x:c>
      <x:c r="H29" s="18" t="str">
        <x:v>¿Quién es el sujeto activo de la obligación de cotizar a la Seguridad Social, conforme a 10 dispuesto en eI artículo 7.1 del Real Decreto 2064/1995, de 22 de diciembre, por el que se aprueba el Reglamento General sobre Cotización y Liquidación de otros Derechos de la Seguridad Social?</x:v>
      </x:c>
      <x:c r="I29" s="18" t="str">
        <x:v>B</x:v>
      </x:c>
      <x:c r="J29" s="18" t="str">
        <x:v>Válida</x:v>
      </x:c>
    </x:row>
    <x:row r="30">
      <x:c r="A30" s="18" t="str">
        <x:v>2024_conv2023_ordinario_A-T37</x:v>
      </x:c>
      <x:c r="B30" s="18" t="n">
        <x:v>2024</x:v>
      </x:c>
      <x:c r="C30" s="18" t="str">
        <x:v>S05</x:v>
      </x:c>
      <x:c r="D30" s="18" t="str">
        <x:v>Real Decreto 1415/2004</x:v>
      </x:c>
      <x:c r="E30" s="18" t="str">
        <x:v>6</x:v>
      </x:c>
      <x:c r="F30" s="18" t="str"/>
      <x:c r="G30" s="18" t="str">
        <x:v>Recaudación</x:v>
      </x:c>
      <x:c r="H30" s="18" t="str">
        <x:v>Según establece el artículo 6 del Reglamento General de Recaudación de la Seguridad Social, aprobado por Real Decreto 1415/2004, de II de junio ¿Cuándo se inicia y finaliza el período voluntario de recaudación?</x:v>
      </x:c>
      <x:c r="I30" s="18" t="str">
        <x:v>D</x:v>
      </x:c>
      <x:c r="J30" s="18" t="str">
        <x:v>Válida</x:v>
      </x:c>
    </x:row>
    <x:row r="31">
      <x:c r="A31" s="18" t="str">
        <x:v>2024_conv2023_ordinario_A-T40</x:v>
      </x:c>
      <x:c r="B31" s="18" t="n">
        <x:v>2024</x:v>
      </x:c>
      <x:c r="C31" s="18" t="str">
        <x:v>S06</x:v>
      </x:c>
      <x:c r="D31" s="18" t="str"/>
      <x:c r="E31" s="18" t="str">
        <x:v>84</x:v>
      </x:c>
      <x:c r="F31" s="18" t="str"/>
      <x:c r="G31" s="18" t="str">
        <x:v>Plazos</x:v>
      </x:c>
      <x:c r="H31" s="18" t="str">
        <x:v>De acuerdo con el artículo 84 del Reglamento General de Recaudación de la Seguridad Social, aprobado por Real Decreto 141512004, de 11 de junio, la providencia de apremio contendrá la advertencia expresa de que serán exigibles los intereses de demora devengados desde la finalización del plazo reglamentario de ingreso, si no se efectúa el pago en el plazo de:</x:v>
      </x:c>
      <x:c r="I31" s="18" t="str">
        <x:v>B</x:v>
      </x:c>
      <x:c r="J31" s="18" t="str">
        <x:v>Válida</x:v>
      </x:c>
    </x:row>
    <x:row r="32">
      <x:c r="A32" s="18" t="str">
        <x:v>2024_conv2023_ordinario_A-T41</x:v>
      </x:c>
      <x:c r="B32" s="18" t="n">
        <x:v>2024</x:v>
      </x:c>
      <x:c r="C32" s="18" t="str">
        <x:v>S06</x:v>
      </x:c>
      <x:c r="D32" s="18" t="str"/>
      <x:c r="E32" s="18" t="str">
        <x:v>87</x:v>
      </x:c>
      <x:c r="F32" s="18" t="str"/>
      <x:c r="G32" s="18" t="str">
        <x:v>Cálculos</x:v>
      </x:c>
      <x:c r="H32" s="18" t="str">
        <x:v>EI artículo 87 del Reglamento General de Recaudación de la Seguridad Social, aprobado por Real Decreto 141512004, de II de junio, permite prever un incremento sobre la cuantia exigible en las actuaciones del procedimiento de apremio para el cobro de la deuda, en concepto de previsión de costas e intereses que puedan devengarse hasta eI momento efectivo del cobro, pero la previsión de costas no puede superar:</x:v>
      </x:c>
      <x:c r="I32" s="18" t="str">
        <x:v>D</x:v>
      </x:c>
      <x:c r="J32" s="18" t="str">
        <x:v>Válida</x:v>
      </x:c>
    </x:row>
    <x:row r="33">
      <x:c r="A33" s="18" t="str">
        <x:v>2024_conv2023_ordinario_A-T42</x:v>
      </x:c>
      <x:c r="B33" s="18" t="n">
        <x:v>2024</x:v>
      </x:c>
      <x:c r="C33" s="18" t="str">
        <x:v>S06</x:v>
      </x:c>
      <x:c r="D33" s="18" t="str">
        <x:v>Real Decreto 1415/2004</x:v>
      </x:c>
      <x:c r="E33" s="18" t="str">
        <x:v>90</x:v>
      </x:c>
      <x:c r="F33" s="18" t="str"/>
      <x:c r="G33" s="18" t="str">
        <x:v>Procedimientos</x:v>
      </x:c>
      <x:c r="H33" s="18" t="str">
        <x:v>Conforme establece el artículo 90 del Reglamento General de Recaudación de la Seguridad Social, aprobado por Real Decreto 1415/2004, de II de junio, la solicitud de información de movimientos de cuentas corrientes a bancos o cajas de ahorro exigirá la autorización previa:</x:v>
      </x:c>
      <x:c r="I33" s="18" t="str">
        <x:v>A</x:v>
      </x:c>
      <x:c r="J33" s="18" t="str">
        <x:v>Válida</x:v>
      </x:c>
    </x:row>
    <x:row r="34">
      <x:c r="A34" s="18" t="str">
        <x:v>2024_conv2023_ordinario_A-T43</x:v>
      </x:c>
      <x:c r="B34" s="18" t="n">
        <x:v>2024</x:v>
      </x:c>
      <x:c r="C34" s="18" t="str">
        <x:v>S06</x:v>
      </x:c>
      <x:c r="D34" s="18" t="str">
        <x:v>Real Decreto 1415/2004</x:v>
      </x:c>
      <x:c r="E34" s="18" t="str">
        <x:v>135</x:v>
      </x:c>
      <x:c r="F34" s="18" t="str"/>
      <x:c r="G34" s="18" t="str">
        <x:v>Plazos</x:v>
      </x:c>
      <x:c r="H34" s="18" t="str">
        <x:v>EI artículo 135 del Reglamento General de Recaudación de la Seguridad Social, aprobado por Real Decreto 1415/2004, de II de junio, establece que la reclamación en tercería se resolverá, previa la práctica de la prueba que pueda estimarse oportuna, por el Director Provincial de la Tesorería General de la Seguridad Social en eI plazo máximo de:</x:v>
      </x:c>
      <x:c r="I34" s="18" t="str">
        <x:v>B</x:v>
      </x:c>
      <x:c r="J34" s="18" t="str">
        <x:v>Válida</x:v>
      </x:c>
    </x:row>
    <x:row r="35">
      <x:c r="A35" s="18" t="str">
        <x:v>2024_conv2023_ordinario_A-T44</x:v>
      </x:c>
      <x:c r="B35" s="18" t="n">
        <x:v>2024</x:v>
      </x:c>
      <x:c r="C35" s="18" t="str">
        <x:v>S07</x:v>
      </x:c>
      <x:c r="D35" s="18" t="str">
        <x:v>texto refundido de la Ley General de la Seguridad Social</x:v>
      </x:c>
      <x:c r="E35" s="18" t="str">
        <x:v>54</x:v>
      </x:c>
      <x:c r="F35" s="18" t="str"/>
      <x:c r="G35" s="18" t="str">
        <x:v>Artículos literales</x:v>
      </x:c>
      <x:c r="H35" s="18" t="str">
        <x:v>Según eI artículo 54 del texto refundido de la Ley General de la Seguridad Social, ¿cuándo caduca eI derecho al percibo de las prestaciones a tanto alzado y por una sola vez?</x:v>
      </x:c>
      <x:c r="I35" s="18" t="str">
        <x:v>B</x:v>
      </x:c>
      <x:c r="J35" s="18" t="str">
        <x:v>Válida</x:v>
      </x:c>
    </x:row>
    <x:row r="36">
      <x:c r="A36" s="18" t="str">
        <x:v>2024_conv2023_ordinario_A-T45</x:v>
      </x:c>
      <x:c r="B36" s="18" t="n">
        <x:v>2024</x:v>
      </x:c>
      <x:c r="C36" s="18" t="str">
        <x:v>S07</x:v>
      </x:c>
      <x:c r="D36" s="18" t="str">
        <x:v>texto refundido de la Ley General de la Seguridad Social</x:v>
      </x:c>
      <x:c r="E36" s="18" t="str">
        <x:v>53</x:v>
      </x:c>
      <x:c r="F36" s="18" t="str"/>
      <x:c r="G36" s="18" t="str">
        <x:v>Artículos literales</x:v>
      </x:c>
      <x:c r="H36" s="18" t="str">
        <x:v>Según eI artículo 53 del texto refundido de la Ley General de la Seguridad Social, con carácter general, con la salvedad de las excepciones que se determinen en la propia ley, ¿cuándo prescribirá el derecho al reconocimiento de las prestaciones?</x:v>
      </x:c>
      <x:c r="I36" s="18" t="str">
        <x:v>C</x:v>
      </x:c>
      <x:c r="J36" s="18" t="str">
        <x:v>Válida</x:v>
      </x:c>
    </x:row>
    <x:row r="37">
      <x:c r="A37" s="18" t="str">
        <x:v>2024_conv2023_ordinario_A-T46</x:v>
      </x:c>
      <x:c r="B37" s="18" t="n">
        <x:v>2024</x:v>
      </x:c>
      <x:c r="C37" s="18" t="str">
        <x:v>S07</x:v>
      </x:c>
      <x:c r="D37" s="18" t="str">
        <x:v>texto refundido de la Ley General de la Seguridad Social</x:v>
      </x:c>
      <x:c r="E37" s="18" t="str">
        <x:v>46</x:v>
      </x:c>
      <x:c r="F37" s="18" t="str"/>
      <x:c r="G37" s="18" t="str">
        <x:v>Artículos literales</x:v>
      </x:c>
      <x:c r="H37" s="18" t="str">
        <x:v>Según 10 establecido en eI artículo 46 del texto refundido de la Ley General de la Seguridad Social, ¿cómo se efectuará eI pago de las pensiones contributivas derivadas de contingencias comunes?</x:v>
      </x:c>
      <x:c r="I37" s="18" t="str">
        <x:v>D</x:v>
      </x:c>
      <x:c r="J37" s="18" t="str">
        <x:v>Válida</x:v>
      </x:c>
    </x:row>
    <x:row r="38">
      <x:c r="A38" s="18" t="str">
        <x:v>2024_conv2023_ordinario_A-T49</x:v>
      </x:c>
      <x:c r="B38" s="18" t="n">
        <x:v>2024</x:v>
      </x:c>
      <x:c r="C38" s="18" t="str">
        <x:v>S08</x:v>
      </x:c>
      <x:c r="D38" s="18" t="str">
        <x:v>texto refundido de la Ley General de la Seguridad Social</x:v>
      </x:c>
      <x:c r="E38" s="18" t="str">
        <x:v>169.1</x:v>
      </x:c>
      <x:c r="F38" s="18" t="str"/>
      <x:c r="G38" s="18" t="str">
        <x:v>Incapacidad</x:v>
      </x:c>
      <x:c r="H38" s="18" t="str">
        <x:v>En la situación especial de incapacidad temporal por menstruación incapacitante secundaria prevista en el párrafo segundo del articulo 169.1 .a) del texto refundido de la Ley General de la Seguridad Social, el subsidio se abonará</x:v>
      </x:c>
      <x:c r="I38" s="18" t="str">
        <x:v>A</x:v>
      </x:c>
      <x:c r="J38" s="18" t="str">
        <x:v>Válida</x:v>
      </x:c>
    </x:row>
    <x:row r="39">
      <x:c r="A39" s="18" t="str">
        <x:v>2024_conv2023_ordinario_A-T51</x:v>
      </x:c>
      <x:c r="B39" s="18" t="n">
        <x:v>2024</x:v>
      </x:c>
      <x:c r="C39" s="18" t="str">
        <x:v>S08</x:v>
      </x:c>
      <x:c r="D39" s="18" t="str">
        <x:v>Real Decreto 1300/1995</x:v>
      </x:c>
      <x:c r="E39" s="18" t="str">
        <x:v>2</x:v>
      </x:c>
      <x:c r="F39" s="18" t="str"/>
      <x:c r="G39" s="18" t="str">
        <x:v>Incapacidad</x:v>
      </x:c>
      <x:c r="H39" s="18" t="str">
        <x:v>Según el artículo 2 del Real Decreto 1300/1995, de 21 de julio, el Equipo de Valoración de Incapacidades, estará constituido por</x:v>
      </x:c>
      <x:c r="I39" s="18" t="str">
        <x:v>A</x:v>
      </x:c>
      <x:c r="J39" s="18" t="str">
        <x:v>Válida</x:v>
      </x:c>
    </x:row>
    <x:row r="40">
      <x:c r="A40" s="18" t="str">
        <x:v>2024_conv2023_ordinario_A-T55</x:v>
      </x:c>
      <x:c r="B40" s="18" t="n">
        <x:v>2024</x:v>
      </x:c>
      <x:c r="C40" s="18" t="str">
        <x:v>S09</x:v>
      </x:c>
      <x:c r="D40" s="18" t="str">
        <x:v>Real Decreto 1148/2011</x:v>
      </x:c>
      <x:c r="E40" s="18" t="str">
        <x:v>7</x:v>
      </x:c>
      <x:c r="F40" s="18" t="str"/>
      <x:c r="G40" s="18" t="str">
        <x:v>Prestaciones familiares</x:v>
      </x:c>
      <x:c r="H40" s="18" t="str">
        <x:v>En virtud del artículo 7 del Real Decreto 1148/2011, de 29 de julio, el subsidio por cuidado de menores afectados por cáncer u otra enfermedad grave se reconocerá:</x:v>
      </x:c>
      <x:c r="I40" s="18" t="str">
        <x:v>D</x:v>
      </x:c>
      <x:c r="J40" s="18" t="str">
        <x:v>Válida</x:v>
      </x:c>
    </x:row>
    <x:row r="41">
      <x:c r="A41" s="18" t="str">
        <x:v>2024_conv2023_ordinario_A-T56</x:v>
      </x:c>
      <x:c r="B41" s="18" t="n">
        <x:v>2024</x:v>
      </x:c>
      <x:c r="C41" s="18" t="str">
        <x:v>S10</x:v>
      </x:c>
      <x:c r="D41" s="18" t="str">
        <x:v>texto refundido de la Ley General de la Seguridad Social</x:v>
      </x:c>
      <x:c r="E41" s="18" t="str">
        <x:v>205</x:v>
      </x:c>
      <x:c r="F41" s="18" t="str"/>
      <x:c r="G41" s="18" t="str">
        <x:v>Requisitos</x:v>
      </x:c>
      <x:c r="H41" s="18" t="str">
        <x:v>Según el artículo 205 del texto refundido de la Ley General de la Seguridad Social, ¿qué periodo mínimo de cotización será necesario para acceder a la jubilación en su modalidad contributiva?</x:v>
      </x:c>
      <x:c r="I41" s="18" t="str">
        <x:v>D</x:v>
      </x:c>
      <x:c r="J41" s="18" t="str">
        <x:v>Válida</x:v>
      </x:c>
    </x:row>
    <x:row r="42">
      <x:c r="A42" s="18" t="str">
        <x:v>2024_conv2023_ordinario_A-T57</x:v>
      </x:c>
      <x:c r="B42" s="18" t="n">
        <x:v>2024</x:v>
      </x:c>
      <x:c r="C42" s="18" t="str">
        <x:v>S12</x:v>
      </x:c>
      <x:c r="D42" s="18" t="str">
        <x:v>texto refundido de la Ley General de la Seguridad Social</x:v>
      </x:c>
      <x:c r="E42" s="18" t="str">
        <x:v>235</x:v>
      </x:c>
      <x:c r="F42" s="18" t="str"/>
      <x:c r="G42" s="18" t="str">
        <x:v>Plazos</x:v>
      </x:c>
      <x:c r="H42" s="18" t="str">
        <x:v>Según el artículo 235 del texto refundido de la Ley General de la Seguridad Social, ¿qué número de días se reconocerán como periodos de cotización asimilados por parto a efectos de pensiones contributivas de jubilación y de incapacidad permanente?</x:v>
      </x:c>
      <x:c r="I42" s="18" t="str">
        <x:v>C</x:v>
      </x:c>
      <x:c r="J42" s="18" t="str">
        <x:v>Válida</x:v>
      </x:c>
    </x:row>
    <x:row r="43">
      <x:c r="A43" s="18" t="str">
        <x:v>2024_conv2023_ordinario_A-T58</x:v>
      </x:c>
      <x:c r="B43" s="18" t="n">
        <x:v>2024</x:v>
      </x:c>
      <x:c r="C43" s="18" t="str">
        <x:v>S10</x:v>
      </x:c>
      <x:c r="D43" s="18" t="str">
        <x:v>texto refundido de la Ley General de la Seguridad Social</x:v>
      </x:c>
      <x:c r="E43" s="18" t="str">
        <x:v>213</x:v>
      </x:c>
      <x:c r="F43" s="18" t="str"/>
      <x:c r="G43" s="18" t="str">
        <x:v>Jubilación</x:v>
      </x:c>
      <x:c r="H43" s="18" t="str">
        <x:v>Según 10 establecido en el articulo 213 del texto refundido de la Ley General de la Seguridad Social, ¿en cuál de los siguientes casos será compatible el percibo de la pensión de jubilación con la realización de trabajos por cuenta propia?</x:v>
      </x:c>
      <x:c r="I43" s="18" t="str">
        <x:v>A</x:v>
      </x:c>
      <x:c r="J43" s="18" t="str">
        <x:v>Válida</x:v>
      </x:c>
    </x:row>
    <x:row r="44">
      <x:c r="A44" s="18" t="str">
        <x:v>2024_conv2023_ordinario_A-T59</x:v>
      </x:c>
      <x:c r="B44" s="18" t="n">
        <x:v>2024</x:v>
      </x:c>
      <x:c r="C44" s="18" t="str">
        <x:v>S10</x:v>
      </x:c>
      <x:c r="D44" s="18" t="str">
        <x:v>texto refundido de la Ley General de la Seguridad Social</x:v>
      </x:c>
      <x:c r="E44" s="18" t="str">
        <x:v>210</x:v>
      </x:c>
      <x:c r="F44" s="18" t="str"/>
      <x:c r="G44" s="18" t="str">
        <x:v>Cálculos</x:v>
      </x:c>
      <x:c r="H44" s="18" t="str">
        <x:v>De acuerdo con 10 establecido en el articulo 210 del texto refundido de la Ley General de la Seguridad Social, respecto de la cuantía de la pensión de jubilación anticipada por causas no imputables al trabajador en los supuestos en que deban aplicarse coeficientes reductores por edad en el momento del hecho causante, una vez aplicados, ¿a qué cuantia no podrá ser superior el importe de la pensión resultante?</x:v>
      </x:c>
      <x:c r="I44" s="18" t="str">
        <x:v>B</x:v>
      </x:c>
      <x:c r="J44" s="18" t="str">
        <x:v>Válida</x:v>
      </x:c>
    </x:row>
    <x:row r="45">
      <x:c r="A45" s="18" t="str">
        <x:v>2024_conv2023_ordinario_A-T60</x:v>
      </x:c>
      <x:c r="B45" s="18" t="n">
        <x:v>2024</x:v>
      </x:c>
      <x:c r="C45" s="18" t="str">
        <x:v>S10</x:v>
      </x:c>
      <x:c r="D45" s="18" t="str">
        <x:v>texto refundido de la Ley General de la Seguridad Social</x:v>
      </x:c>
      <x:c r="E45" s="18" t="str">
        <x:v>215</x:v>
      </x:c>
      <x:c r="F45" s="18" t="str"/>
      <x:c r="G45" s="18" t="str">
        <x:v>Requisitos</x:v>
      </x:c>
      <x:c r="H45" s="18" t="str">
        <x:v>Según 10 establecido en el artículo 215 del texto refundido de la Ley General de la Seguridad Social, ¿cuál será eI período mínimo de cotización necesario en el momento del hecho causante para acceder a la jubilación parcial?</x:v>
      </x:c>
      <x:c r="I45" s="18" t="str">
        <x:v>B</x:v>
      </x:c>
      <x:c r="J45" s="18" t="str">
        <x:v>Válida</x:v>
      </x:c>
    </x:row>
    <x:row r="46">
      <x:c r="A46" s="18" t="str">
        <x:v>2024_conv2023_ordinario_A-T62</x:v>
      </x:c>
      <x:c r="B46" s="18" t="n">
        <x:v>2024</x:v>
      </x:c>
      <x:c r="C46" s="18" t="str">
        <x:v>S11</x:v>
      </x:c>
      <x:c r="D46" s="18" t="str">
        <x:v>texto refundido de la Ley General de la Seguridad Social</x:v>
      </x:c>
      <x:c r="E46" s="18" t="str">
        <x:v>224.1</x:v>
      </x:c>
      <x:c r="F46" s="18" t="str"/>
      <x:c r="G46" s="18" t="str">
        <x:v>Muerte y supervivencia</x:v>
      </x:c>
      <x:c r="H46" s="18" t="str">
        <x:v>De acuerdo con eI artículo 224.1 del texto refundido de la Ley General de la Seguridad Social, señale la respuesta INCORRECTA:</x:v>
      </x:c>
      <x:c r="I46" s="18" t="str">
        <x:v>D</x:v>
      </x:c>
      <x:c r="J46" s="18" t="str">
        <x:v>Válida</x:v>
      </x:c>
    </x:row>
    <x:row r="47">
      <x:c r="A47" s="18" t="str">
        <x:v>2024_conv2023_ordinario_A-T64</x:v>
      </x:c>
      <x:c r="B47" s="18" t="n">
        <x:v>2024</x:v>
      </x:c>
      <x:c r="C47" s="18" t="str">
        <x:v>S11</x:v>
      </x:c>
      <x:c r="D47" s="18" t="str">
        <x:v>texto refundido de la Ley General de la Seguridad Social</x:v>
      </x:c>
      <x:c r="E47" s="18" t="str">
        <x:v>232</x:v>
      </x:c>
      <x:c r="F47" s="18" t="str"/>
      <x:c r="G47" s="18" t="str">
        <x:v>Causas de suspensión</x:v>
      </x:c>
      <x:c r="H47" s="18" t="str">
        <x:v>Según el artículo 232 del texto refundido de la Ley General de la Seguridad Social, en relación con la suspensión cautelar de las prestaciones de muerte y supervivencia:</x:v>
      </x:c>
      <x:c r="I47" s="18" t="str">
        <x:v>A</x:v>
      </x:c>
      <x:c r="J47" s="18" t="str">
        <x:v>Válida</x:v>
      </x:c>
    </x:row>
    <x:row r="48">
      <x:c r="A48" s="18" t="str">
        <x:v>2024_conv2023_ordinario_A-T65</x:v>
      </x:c>
      <x:c r="B48" s="18" t="n">
        <x:v>2024</x:v>
      </x:c>
      <x:c r="C48" s="18" t="str">
        <x:v>S12</x:v>
      </x:c>
      <x:c r="D48" s="18" t="str">
        <x:v>Ley 19/2021</x:v>
      </x:c>
      <x:c r="E48" s="18" t="str">
        <x:v>3</x:v>
      </x:c>
      <x:c r="F48" s="18" t="str"/>
      <x:c r="G48" s="18" t="str">
        <x:v>Prestaciones no contributivas</x:v>
      </x:c>
      <x:c r="H48" s="18" t="str">
        <x:v>De acuerdo con el articulo 3 de la Ley 19/2021, la prestación del Ingreso Mínimo Vital presenta alguna de las siguientes características:</x:v>
      </x:c>
      <x:c r="I48" s="18" t="str">
        <x:v>C</x:v>
      </x:c>
      <x:c r="J48" s="18" t="str">
        <x:v>Válida</x:v>
      </x:c>
    </x:row>
    <x:row r="49">
      <x:c r="A49" s="18" t="str">
        <x:v>2024_conv2023_ordinario_A-T66</x:v>
      </x:c>
      <x:c r="B49" s="18" t="n">
        <x:v>2024</x:v>
      </x:c>
      <x:c r="C49" s="18" t="str">
        <x:v>S12</x:v>
      </x:c>
      <x:c r="D49" s="18" t="str">
        <x:v>Ley 19/2021</x:v>
      </x:c>
      <x:c r="E49" s="18" t="str">
        <x:v>6</x:v>
      </x:c>
      <x:c r="F49" s="18" t="str"/>
      <x:c r="G49" s="18" t="str">
        <x:v>Prestaciones no contributivas</x:v>
      </x:c>
      <x:c r="H49" s="18" t="str">
        <x:v>Según el artículo 6 de la Ley 19/2021, por la que se establece eI Ingreso Minimo Vital, señale la respuesta CORRECTA en relación con la unidad de convivencia:</x:v>
      </x:c>
      <x:c r="I49" s="18" t="str">
        <x:v>D</x:v>
      </x:c>
      <x:c r="J49" s="18" t="str">
        <x:v>Válida</x:v>
      </x:c>
    </x:row>
    <x:row r="50">
      <x:c r="A50" s="18" t="str">
        <x:v>2024_conv2023_ordinario_A-T67</x:v>
      </x:c>
      <x:c r="B50" s="18" t="n">
        <x:v>2024</x:v>
      </x:c>
      <x:c r="C50" s="18" t="str">
        <x:v>S12</x:v>
      </x:c>
      <x:c r="D50" s="18" t="str">
        <x:v>texto refundido de la Ley General de la Seguridad Social</x:v>
      </x:c>
      <x:c r="E50" s="18" t="str">
        <x:v>363</x:v>
      </x:c>
      <x:c r="F50" s="18" t="str"/>
      <x:c r="G50" s="18" t="str">
        <x:v>Personas beneficiarias</x:v>
      </x:c>
      <x:c r="H50" s="18" t="str">
        <x:v>Según el articulo 363 del texto refundido de la Ley General de la Seguridad Social, se consideran beneficiarios de la pensión de invalidez no contributiva las personas que cumplan alguno de los siguientes requisitos:</x:v>
      </x:c>
      <x:c r="I50" s="18" t="str">
        <x:v>C</x:v>
      </x:c>
      <x:c r="J50" s="18" t="str">
        <x:v>Válida</x:v>
      </x:c>
    </x:row>
    <x:row r="51">
      <x:c r="A51" s="18" t="str">
        <x:v>2024_conv2023_ordinario_A-T68</x:v>
      </x:c>
      <x:c r="B51" s="18" t="n">
        <x:v>2024</x:v>
      </x:c>
      <x:c r="C51" s="18" t="str">
        <x:v>S12</x:v>
      </x:c>
      <x:c r="D51" s="18" t="str">
        <x:v>texto refundido de la Ley General de la Seguridad Social</x:v>
      </x:c>
      <x:c r="E51" s="18" t="str">
        <x:v>366</x:v>
      </x:c>
      <x:c r="F51" s="18" t="str"/>
      <x:c r="G51" s="18" t="str">
        <x:v>Prestaciones no contributivas</x:v>
      </x:c>
      <x:c r="H51" s="18" t="str">
        <x:v>De acuerdo con el artículo 366 del texto refundido de la Ley General de la Seguridad Social, las pensiones de invalidez en su modalidad no contributiva son compatibles:</x:v>
      </x:c>
      <x:c r="I51" s="18" t="str">
        <x:v>B</x:v>
      </x:c>
      <x:c r="J51" s="18" t="str">
        <x:v>Válida</x:v>
      </x:c>
    </x:row>
    <x:row r="52">
      <x:c r="A52" s="18" t="str">
        <x:v>2024_conv2023_ordinario_A-T69</x:v>
      </x:c>
      <x:c r="B52" s="18" t="n">
        <x:v>2024</x:v>
      </x:c>
      <x:c r="C52" s="18" t="str">
        <x:v>S12</x:v>
      </x:c>
      <x:c r="D52" s="18" t="str">
        <x:v>texto refundido de la Ley General de la Seguridad Social</x:v>
      </x:c>
      <x:c r="E52" s="18" t="str">
        <x:v>373</x:v>
      </x:c>
      <x:c r="F52" s="18" t="str"/>
      <x:c r="G52" s="18" t="str">
        <x:v>Prestaciones no contributivas</x:v>
      </x:c>
      <x:c r="H52" s="18" t="str">
        <x:v>De acuerdo con eI artículo 373 del texto refundido de la Ley General de la Seguridad Social, la gestión de las pensiones no contributivas de invalidez y jubilación le corresponde:</x:v>
      </x:c>
      <x:c r="I52" s="18" t="str">
        <x:v>B</x:v>
      </x:c>
      <x:c r="J52" s="18" t="str">
        <x:v>Válida</x:v>
      </x:c>
    </x:row>
    <x:row r="53">
      <x:c r="A53" s="18" t="str">
        <x:v>2024_conv2023_ordinario_A-T70</x:v>
      </x:c>
      <x:c r="B53" s="18" t="n">
        <x:v>2024</x:v>
      </x:c>
      <x:c r="C53" s="18" t="str">
        <x:v>S13</x:v>
      </x:c>
      <x:c r="D53" s="18" t="str">
        <x:v>texto refundido de la Ley General de la Seguridad Social</x:v>
      </x:c>
      <x:c r="E53" s="18" t="str">
        <x:v>117</x:v>
      </x:c>
      <x:c r="F53" s="18" t="str"/>
      <x:c r="G53" s="18" t="str">
        <x:v>Artículos literales</x:v>
      </x:c>
      <x:c r="H53" s="18" t="str">
        <x:v>Según el artículo 117 del texto refundido de la Ley General de la Seguridad Social, en la Tesorería General de la Seguridad Social se constituirá un Fondo de Reserva de la Seguridad Social con la finalidad de:</x:v>
      </x:c>
      <x:c r="I53" s="18" t="str">
        <x:v>B</x:v>
      </x:c>
      <x:c r="J53" s="18" t="str">
        <x:v>Válida</x:v>
      </x:c>
    </x:row>
    <x:row r="54">
      <x:c r="A54" s="18" t="str">
        <x:v>2024_conv2023_ordinario_A-T71</x:v>
      </x:c>
      <x:c r="B54" s="18" t="n">
        <x:v>2024</x:v>
      </x:c>
      <x:c r="C54" s="18" t="str">
        <x:v>G03</x:v>
      </x:c>
      <x:c r="D54" s="18" t="str">
        <x:v>Ley Orgánica 2/1979</x:v>
      </x:c>
      <x:c r="E54" s="18" t="str">
        <x:v>59</x:v>
      </x:c>
      <x:c r="F54" s="18" t="str"/>
      <x:c r="G54" s="18" t="str">
        <x:v>Competencias</x:v>
      </x:c>
      <x:c r="H54" s="18" t="str">
        <x:v>Según el artículo 59 de la Ley Orgánica 2/1979, de 3 de octubre, eI Tribunal Constitucional entenderá de -los conflictos que se susciten sobre las competencias o atribuciones asignadas directamente por la Constitución, los Estatutos de Autonomía o las leyes orgánicas u ordinarias dictadas para delimitar los INCORRECTA: ámbitos propios del Estado y las Comunidades Autónomas y que opongan: Señale la respuesta</x:v>
      </x:c>
      <x:c r="I54" s="18" t="str">
        <x:v>D</x:v>
      </x:c>
      <x:c r="J54" s="18" t="str">
        <x:v>Válida</x:v>
      </x:c>
    </x:row>
    <x:row r="55">
      <x:c r="A55" s="18" t="str">
        <x:v>2024_conv2023_ordinario_A-T72</x:v>
      </x:c>
      <x:c r="B55" s="18" t="n">
        <x:v>2024</x:v>
      </x:c>
      <x:c r="C55" s="18" t="str">
        <x:v>S03</x:v>
      </x:c>
      <x:c r="D55" s="18" t="str"/>
      <x:c r="E55" s="18" t="str">
        <x:v>10</x:v>
      </x:c>
      <x:c r="F55" s="18" t="str"/>
      <x:c r="G55" s="18" t="str">
        <x:v>Causas de extinción</x:v>
      </x:c>
      <x:c r="H55" s="18" t="str">
        <x:v>EI artículo 10 de la Orden TAS/2865/2003, de 13 de octubre enumera las causas de extinción del convenio especial, señale la respuesta INCORRECTA:</x:v>
      </x:c>
      <x:c r="I55" s="18" t="str">
        <x:v>D</x:v>
      </x:c>
      <x:c r="J55" s="18" t="str">
        <x:v>Válida</x:v>
      </x:c>
    </x:row>
    <x:row r="56">
      <x:c r="A56" s="18" t="str">
        <x:v>2024_conv2023_ordinario_A-T73</x:v>
      </x:c>
      <x:c r="B56" s="18" t="n">
        <x:v>2024</x:v>
      </x:c>
      <x:c r="C56" s="18" t="str">
        <x:v>S10</x:v>
      </x:c>
      <x:c r="D56" s="18" t="str">
        <x:v>texto refundido de la Ley General de la Seguridad Social</x:v>
      </x:c>
      <x:c r="E56" s="18" t="str">
        <x:v>153</x:v>
      </x:c>
      <x:c r="F56" s="18" t="str"/>
      <x:c r="G56" s="18" t="str">
        <x:v>Jubilación</x:v>
      </x:c>
      <x:c r="H56" s="18" t="str">
        <x:v>De acuerdo con 10 establecido en el artículo 153 del texto refundido de la Ley General de la Seguridad Social, sobre la cotización en supuestos de compatibilidad de jubilación y trabajo y la cotización especial de solidaridad, indique la respuesta CORRECTA:</x:v>
      </x:c>
      <x:c r="I56" s="18" t="str">
        <x:v>C</x:v>
      </x:c>
      <x:c r="J56" s="18" t="str">
        <x:v>Válida</x:v>
      </x:c>
    </x:row>
    <x:row r="57">
      <x:c r="A57" s="18" t="str">
        <x:v>2025_conv2023_extraordinario-T01</x:v>
      </x:c>
      <x:c r="B57" s="18" t="n">
        <x:v>2025</x:v>
      </x:c>
      <x:c r="C57" s="18" t="str">
        <x:v>G01</x:v>
      </x:c>
      <x:c r="D57" s="18" t="str">
        <x:v>Constitución Española</x:v>
      </x:c>
      <x:c r="E57" s="18" t="str">
        <x:v>8</x:v>
      </x:c>
      <x:c r="F57" s="18" t="str"/>
      <x:c r="G57" s="18" t="str">
        <x:v>Artículos literales</x:v>
      </x:c>
      <x:c r="H57" s="18" t="str">
        <x:v>De acuerdo con lo establecido en el artículo 8 de la Constitución Española, las Fuerzas Armadas, constituidas por el Ejército de Tierra, la Armada y el Ejército del Aire, tienen como misión garantizar la soberanía e independencia de España, defender su integridad territorial y el ordenamiento constitucional. Regulará las bases de la organización militar conforme a los principios de la presente Constitución:</x:v>
      </x:c>
      <x:c r="I57" s="18" t="str">
        <x:v>A</x:v>
      </x:c>
      <x:c r="J57" s="18" t="str">
        <x:v>Válida</x:v>
      </x:c>
    </x:row>
    <x:row r="58">
      <x:c r="A58" s="18" t="str">
        <x:v>2025_conv2023_extraordinario-T03</x:v>
      </x:c>
      <x:c r="B58" s="18" t="n">
        <x:v>2025</x:v>
      </x:c>
      <x:c r="C58" s="18" t="str">
        <x:v>G03</x:v>
      </x:c>
      <x:c r="D58" s="18" t="str">
        <x:v>Ley Orgánica 2/1979</x:v>
      </x:c>
      <x:c r="E58" s="18" t="str">
        <x:v>17</x:v>
      </x:c>
      <x:c r="F58" s="18" t="str"/>
      <x:c r="G58" s="18" t="str">
        <x:v>Artículos literales</x:v>
      </x:c>
      <x:c r="H58" s="18" t="str">
        <x:v>Según el articulo 17 de la Ley Orgánica 2/1979, de 3 de octubre, del Tribunal Constitucional:</x:v>
      </x:c>
      <x:c r="I58" s="18" t="str">
        <x:v>D</x:v>
      </x:c>
      <x:c r="J58" s="18" t="str">
        <x:v>Válida</x:v>
      </x:c>
    </x:row>
    <x:row r="59">
      <x:c r="A59" s="18" t="str">
        <x:v>2025_conv2023_extraordinario-T05</x:v>
      </x:c>
      <x:c r="B59" s="18" t="n">
        <x:v>2025</x:v>
      </x:c>
      <x:c r="C59" s="18" t="str">
        <x:v>G05</x:v>
      </x:c>
      <x:c r="D59" s="18" t="str"/>
      <x:c r="E59" s="18" t="str">
        <x:v>75</x:v>
      </x:c>
      <x:c r="F59" s="18" t="str"/>
      <x:c r="G59" s="18" t="str">
        <x:v>Artículos literales</x:v>
      </x:c>
      <x:c r="H59" s="18" t="str">
        <x:v>El artículo 75, apartado 2, de la Constitución indica que “las Cámaras podrán delegar en las Comisiones Legislativas Permanentes la aprobación de proyectos o proposiciones de ley”. Indique cuál de las siguientes materias no está expresamente excluida de es ta delegación, conforme al apartado 3 de dicho artículo 75.</x:v>
      </x:c>
      <x:c r="I59" s="18" t="str">
        <x:v>C</x:v>
      </x:c>
      <x:c r="J59" s="18" t="str">
        <x:v>Válida</x:v>
      </x:c>
    </x:row>
    <x:row r="60">
      <x:c r="A60" s="18" t="str">
        <x:v>2025_conv2023_extraordinario-T06</x:v>
      </x:c>
      <x:c r="B60" s="18" t="n">
        <x:v>2025</x:v>
      </x:c>
      <x:c r="C60" s="18" t="str">
        <x:v>G06</x:v>
      </x:c>
      <x:c r="D60" s="18" t="str">
        <x:v>Ley Orgánica 6/1985</x:v>
      </x:c>
      <x:c r="E60" s="18" t="str">
        <x:v>64.1</x:v>
      </x:c>
      <x:c r="F60" s="18" t="str"/>
      <x:c r="G60" s="18" t="str">
        <x:v>Artículos literales</x:v>
      </x:c>
      <x:c r="H60" s="18" t="str">
        <x:v>Según establece el artículo 64.1 de la Ley Orgánica 6/1985, de 1 de julio, del Poder Judicial, la Audiencia Nacional estará integrada por las siguientes Salas:</x:v>
      </x:c>
      <x:c r="I60" s="18" t="str">
        <x:v>D</x:v>
      </x:c>
      <x:c r="J60" s="18" t="str">
        <x:v>Válida</x:v>
      </x:c>
    </x:row>
    <x:row r="61">
      <x:c r="A61" s="18" t="str">
        <x:v>2025_conv2023_extraordinario-T07</x:v>
      </x:c>
      <x:c r="B61" s="18" t="n">
        <x:v>2025</x:v>
      </x:c>
      <x:c r="C61" s="18" t="str">
        <x:v>G07</x:v>
      </x:c>
      <x:c r="D61" s="18" t="str">
        <x:v>Ley 50/1997</x:v>
      </x:c>
      <x:c r="E61" s="18" t="str">
        <x:v>13</x:v>
      </x:c>
      <x:c r="F61" s="18" t="str"/>
      <x:c r="G61" s="18" t="str">
        <x:v>Artículos literales</x:v>
      </x:c>
      <x:c r="H61" s="18" t="str">
        <x:v>Según el Artículo 13 de la Ley 50/1997, de 27 de noviembre, del Gobierno. En los casos de vacante, ausencia o enfermedad, las funciones del Presidente del Gobierno serán asumidas por:</x:v>
      </x:c>
      <x:c r="I61" s="18" t="str">
        <x:v>B</x:v>
      </x:c>
      <x:c r="J61" s="18" t="str">
        <x:v>Válida</x:v>
      </x:c>
    </x:row>
    <x:row r="62">
      <x:c r="A62" s="18" t="str">
        <x:v>2025_conv2023_extraordinario-T08</x:v>
      </x:c>
      <x:c r="B62" s="18" t="n">
        <x:v>2025</x:v>
      </x:c>
      <x:c r="C62" s="18" t="str">
        <x:v>G08</x:v>
      </x:c>
      <x:c r="D62" s="18" t="str">
        <x:v>Ley 40/2015</x:v>
      </x:c>
      <x:c r="E62" s="18" t="str">
        <x:v>61</x:v>
      </x:c>
      <x:c r="F62" s="18" t="str"/>
      <x:c r="G62" s="18" t="str">
        <x:v>Órganos</x:v>
      </x:c>
      <x:c r="H62" s="18" t="str">
        <x:v>Los Ministros, regulados en el artículo 61 de la Ley 40/2015, de 1 de octubre, de Régimen Jurídico del Sector Público, son órganos superiores de la Administración General del Estado. Señale la respuesta INCORRECTA:</x:v>
      </x:c>
      <x:c r="I62" s="18" t="str">
        <x:v>D</x:v>
      </x:c>
      <x:c r="J62" s="18" t="str">
        <x:v>Válida</x:v>
      </x:c>
    </x:row>
    <x:row r="63">
      <x:c r="A63" s="18" t="str">
        <x:v>2025_conv2023_extraordinario-T09</x:v>
      </x:c>
      <x:c r="B63" s="18" t="n">
        <x:v>2025</x:v>
      </x:c>
      <x:c r="C63" s="18" t="str">
        <x:v>G09</x:v>
      </x:c>
      <x:c r="D63" s="18" t="str">
        <x:v>Constitución Española</x:v>
      </x:c>
      <x:c r="E63" s="18" t="str">
        <x:v>148</x:v>
      </x:c>
      <x:c r="F63" s="18" t="str"/>
      <x:c r="G63" s="18" t="str">
        <x:v>Competencias</x:v>
      </x:c>
      <x:c r="H63" s="18" t="str">
        <x:v>De acuerdo con lo establecido en el artículo 148 de la Constitución Española, las Comunidades Autónomas podrán asumir competencias en las siguientes materias:</x:v>
      </x:c>
      <x:c r="I63" s="18" t="str">
        <x:v>C</x:v>
      </x:c>
      <x:c r="J63" s="18" t="str">
        <x:v>Válida</x:v>
      </x:c>
    </x:row>
    <x:row r="64">
      <x:c r="A64" s="18" t="str">
        <x:v>2025_conv2023_extraordinario-T10</x:v>
      </x:c>
      <x:c r="B64" s="18" t="n">
        <x:v>2025</x:v>
      </x:c>
      <x:c r="C64" s="18" t="str">
        <x:v>G10</x:v>
      </x:c>
      <x:c r="D64" s="18" t="str">
        <x:v>Tratado de la Unión Europea</x:v>
      </x:c>
      <x:c r="E64" s="18" t="str">
        <x:v>14</x:v>
      </x:c>
      <x:c r="F64" s="18" t="str"/>
      <x:c r="G64" s="18" t="str">
        <x:v>Artículos literales</x:v>
      </x:c>
      <x:c r="H64" s="18" t="str">
        <x:v>De acuerdo con el artículo 14, apartado 2, del Tratado de la Unión Europea, los Estados miembro tendrán, en el Parlamento Europeo:</x:v>
      </x:c>
      <x:c r="I64" s="18" t="str">
        <x:v>A</x:v>
      </x:c>
      <x:c r="J64" s="18" t="str">
        <x:v>Válida</x:v>
      </x:c>
    </x:row>
    <x:row r="65">
      <x:c r="A65" s="18" t="str">
        <x:v>2025_conv2023_extraordinario-T12</x:v>
      </x:c>
      <x:c r="B65" s="18" t="n">
        <x:v>2025</x:v>
      </x:c>
      <x:c r="C65" s="18" t="str">
        <x:v>G12</x:v>
      </x:c>
      <x:c r="D65" s="18" t="str">
        <x:v>Real Decreto 501/2024</x:v>
      </x:c>
      <x:c r="E65" s="18" t="str">
        <x:v>7</x:v>
      </x:c>
      <x:c r="F65" s="18" t="str"/>
      <x:c r="G65" s="18" t="str">
        <x:v>Artículos literales</x:v>
      </x:c>
      <x:c r="H65" s="18" t="str">
        <x:v>Conforme lo previsto en el Artículo 7 del Real Decreto 501/2024, de 21 de mayo, por el que se desarrolla la estructura orgánica básica del Ministerio de Inclusión, Seguridad Social y Migraciones, y se modifica el Real Decreto 1009/2023, de 5 de diciembre, por el que se establece la estructura orgánica básica de los departamentos ministeriales (BOE del 22 de mayo de 2024), de la Dirección General de Atención Humanitaria y del Sistema de Acogida de Protección Internacional dependen, con el rango que se determ ine en la correspondiente relación de puestos de trabajo o, en su caso, en la normativa de aplicación, los siguientes tipos de centros de migraciones. Señale la respuesta INCORRECTA:</x:v>
      </x:c>
      <x:c r="I65" s="18" t="str">
        <x:v>D</x:v>
      </x:c>
      <x:c r="J65" s="18" t="str">
        <x:v>Válida</x:v>
      </x:c>
    </x:row>
    <x:row r="66">
      <x:c r="A66" s="18" t="str">
        <x:v>2025_conv2023_extraordinario-T13</x:v>
      </x:c>
      <x:c r="B66" s="18" t="n">
        <x:v>2025</x:v>
      </x:c>
      <x:c r="C66" s="18" t="str">
        <x:v>G13</x:v>
      </x:c>
      <x:c r="D66" s="18" t="str"/>
      <x:c r="E66" s="18" t="str">
        <x:v>2</x:v>
      </x:c>
      <x:c r="F66" s="18" t="str"/>
      <x:c r="G66" s="18" t="str">
        <x:v>Artículos literales</x:v>
      </x:c>
      <x:c r="H66" s="18" t="str">
        <x:v>Señale la afirmación correcta sobre la entrada en vigor de las leyes, de acuerdo con lo establecido en el artículo 2 del Código Civil:</x:v>
      </x:c>
      <x:c r="I66" s="18" t="str">
        <x:v>C</x:v>
      </x:c>
      <x:c r="J66" s="18" t="str">
        <x:v>Válida</x:v>
      </x:c>
    </x:row>
    <x:row r="67">
      <x:c r="A67" s="18" t="str">
        <x:v>2025_conv2023_extraordinario-T14</x:v>
      </x:c>
      <x:c r="B67" s="18" t="n">
        <x:v>2025</x:v>
      </x:c>
      <x:c r="C67" s="18" t="str">
        <x:v>G14</x:v>
      </x:c>
      <x:c r="D67" s="18" t="str">
        <x:v>Ley 50/1997</x:v>
      </x:c>
      <x:c r="E67" s="18" t="str">
        <x:v>24.1</x:v>
      </x:c>
      <x:c r="F67" s="18" t="str"/>
      <x:c r="G67" s="18" t="str">
        <x:v>Artículos literales</x:v>
      </x:c>
      <x:c r="H67" s="18" t="str">
        <x:v>De conformidad con el artículo 24.1 de la Ley 50/1997, de 27 de noviembre, del Gobierno, señale la respuesta INCORRECTA:</x:v>
      </x:c>
      <x:c r="I67" s="18" t="str">
        <x:v>A</x:v>
      </x:c>
      <x:c r="J67" s="18" t="str">
        <x:v>Válida</x:v>
      </x:c>
    </x:row>
    <x:row r="68">
      <x:c r="A68" s="18" t="str">
        <x:v>2025_conv2023_extraordinario-T15</x:v>
      </x:c>
      <x:c r="B68" s="18" t="n">
        <x:v>2025</x:v>
      </x:c>
      <x:c r="C68" s="18" t="str">
        <x:v>G15</x:v>
      </x:c>
      <x:c r="D68" s="18" t="str">
        <x:v>Ley 39/2015</x:v>
      </x:c>
      <x:c r="E68" s="18" t="str">
        <x:v>108</x:v>
      </x:c>
      <x:c r="F68" s="18" t="str"/>
      <x:c r="G68" s="18" t="str">
        <x:v>Procedimientos</x:v>
      </x:c>
      <x:c r="H68" s="18" t="str">
        <x:v>Según lo establecido en el Artículo 108 de Ley 39/2015, de 1 de octubre, del Procedimiento Administrativo Común de las Administraciones Públicas:</x:v>
      </x:c>
      <x:c r="I68" s="18" t="str">
        <x:v>A</x:v>
      </x:c>
      <x:c r="J68" s="18" t="str">
        <x:v>Válida</x:v>
      </x:c>
    </x:row>
    <x:row r="69">
      <x:c r="A69" s="18" t="str">
        <x:v>2025_conv2023_extraordinario-T20</x:v>
      </x:c>
      <x:c r="B69" s="18" t="n">
        <x:v>2025</x:v>
      </x:c>
      <x:c r="C69" s="18" t="str">
        <x:v>G20</x:v>
      </x:c>
      <x:c r="D69" s="18" t="str">
        <x:v>Ley Orgánica 4/2001</x:v>
      </x:c>
      <x:c r="E69" s="18" t="str">
        <x:v>7</x:v>
      </x:c>
      <x:c r="F69" s="18" t="str"/>
      <x:c r="G69" s="18" t="str">
        <x:v>Plazos</x:v>
      </x:c>
      <x:c r="H69" s="18" t="str">
        <x:v>Según el artículo 7 de la Ley Orgánica 4/2001, de 12 de noviembre, reguladora del Derecho de Petición, si el escrito de petición no reuniera los requisitos establecidos, o no reflejara los datos necesarios con la suficiente claridad, se requerirá al peticionario para que subsane los defectos advertidos en el plazo de:</x:v>
      </x:c>
      <x:c r="I69" s="18" t="str">
        <x:v>C</x:v>
      </x:c>
      <x:c r="J69" s="18" t="str">
        <x:v>Válida</x:v>
      </x:c>
    </x:row>
    <x:row r="70">
      <x:c r="A70" s="18" t="str">
        <x:v>2025_conv2023_extraordinario-T21</x:v>
      </x:c>
      <x:c r="B70" s="18" t="n">
        <x:v>2025</x:v>
      </x:c>
      <x:c r="C70" s="18" t="str">
        <x:v>G21</x:v>
      </x:c>
      <x:c r="D70" s="18" t="str">
        <x:v>Real Decreto Legislativo 1/2013</x:v>
      </x:c>
      <x:c r="E70" s="18" t="str">
        <x:v>87</x:v>
      </x:c>
      <x:c r="F70" s="18" t="str"/>
      <x:c r="G70" s="18" t="str">
        <x:v>Artículos literales</x:v>
      </x:c>
      <x:c r="H70" s="18" t="str">
        <x:v>Según el artículo 87 del Real Decreto Legislativo 1/2013, de 29 de noviembre, por el que se aprueba el Texto Refundido de la Ley General de derechos de las personas con discapacidad y de su inclusión social, las sanciones impuestas en materia de igualdad de oportunidades, no discriminación y accesibilidad universal de las personas con discapacidad prescribirán:</x:v>
      </x:c>
      <x:c r="I70" s="18" t="str">
        <x:v>D</x:v>
      </x:c>
      <x:c r="J70" s="18" t="str">
        <x:v>Válida</x:v>
      </x:c>
    </x:row>
    <x:row r="71">
      <x:c r="A71" s="18" t="str">
        <x:v>2025_conv2023_extraordinario-T24</x:v>
      </x:c>
      <x:c r="B71" s="18" t="n">
        <x:v>2025</x:v>
      </x:c>
      <x:c r="C71" s="18" t="str">
        <x:v>S02</x:v>
      </x:c>
      <x:c r="D71" s="18" t="str">
        <x:v>Texto Refundido de la Ley General de la Seguridad Social</x:v>
      </x:c>
      <x:c r="E71" s="18" t="str">
        <x:v>8</x:v>
      </x:c>
      <x:c r="F71" s="18" t="str"/>
      <x:c r="G71" s="18" t="str">
        <x:v>Artículos literales</x:v>
      </x:c>
      <x:c r="H71" s="18" t="str">
        <x:v>Según el artículo 8 del Texto Refundido de la Ley General de la Seguridad Social, las personas comprendidas en el campo de aplicación del sistema de la Seguridad Social:</x:v>
      </x:c>
      <x:c r="I71" s="18" t="str">
        <x:v>B</x:v>
      </x:c>
      <x:c r="J71" s="18" t="str">
        <x:v>Válida</x:v>
      </x:c>
    </x:row>
    <x:row r="72">
      <x:c r="A72" s="18" t="str">
        <x:v>2025_conv2023_extraordinario-T25</x:v>
      </x:c>
      <x:c r="B72" s="18" t="n">
        <x:v>2025</x:v>
      </x:c>
      <x:c r="C72" s="18" t="str">
        <x:v>S02</x:v>
      </x:c>
      <x:c r="D72" s="18" t="str">
        <x:v>Texto Refundido de la Ley General de la Seguridad Social</x:v>
      </x:c>
      <x:c r="E72" s="18" t="str">
        <x:v>136.2</x:v>
      </x:c>
      <x:c r="F72" s="18" t="str"/>
      <x:c r="G72" s="18" t="str">
        <x:v>Artículos literales</x:v>
      </x:c>
      <x:c r="H72" s="18" t="str">
        <x:v>Según el artículo 136.2. del Texto Refundido de la Ley General de la Seguridad Social, están expresamente incluidos en el Régimen General, entre otros, algunos de los siguientes trabajadores:</x:v>
      </x:c>
      <x:c r="I72" s="18" t="str">
        <x:v>A</x:v>
      </x:c>
      <x:c r="J72" s="18" t="str">
        <x:v>Válida</x:v>
      </x:c>
    </x:row>
    <x:row r="73">
      <x:c r="A73" s="18" t="str">
        <x:v>2025_conv2023_extraordinario-T26</x:v>
      </x:c>
      <x:c r="B73" s="18" t="n">
        <x:v>2025</x:v>
      </x:c>
      <x:c r="C73" s="18" t="str">
        <x:v>S04</x:v>
      </x:c>
      <x:c r="D73" s="18" t="str">
        <x:v>Texto Refundido de la Ley General de la Seguridad Social</x:v>
      </x:c>
      <x:c r="E73" s="18" t="str">
        <x:v>255.3</x:v>
      </x:c>
      <x:c r="F73" s="18" t="str"/>
      <x:c r="G73" s="18" t="str">
        <x:v>Cotización</x:v>
      </x:c>
      <x:c r="H73" s="18" t="str">
        <x:v>De acuerdo con el artículo 255.3 del Texto Refundido de la Ley General de la Seguridad Social, durante los períodos de inactividad, el tipo de cotización del sistema especial para trabajadores por cuenta ajena agrario es:</x:v>
      </x:c>
      <x:c r="I73" s="18" t="str">
        <x:v>B</x:v>
      </x:c>
      <x:c r="J73" s="18" t="str">
        <x:v>Válida</x:v>
      </x:c>
    </x:row>
    <x:row r="74">
      <x:c r="A74" s="18" t="str">
        <x:v>2025_conv2023_extraordinario-T27</x:v>
      </x:c>
      <x:c r="B74" s="18" t="n">
        <x:v>2025</x:v>
      </x:c>
      <x:c r="C74" s="18" t="str">
        <x:v>S03</x:v>
      </x:c>
      <x:c r="D74" s="18" t="str"/>
      <x:c r="E74" s="18" t="str">
        <x:v>24</x:v>
      </x:c>
      <x:c r="F74" s="18" t="str"/>
      <x:c r="G74" s="18" t="str">
        <x:v>Procedimientos</x:v>
      </x:c>
      <x:c r="H74" s="18" t="str">
        <x:v>Conforme a lo establecido en el artículo 24 del Reglamento General sobre inscripción de empresas y afiliación, alta, bajas y variaciones de datos de trabajadores en la Seguridad Social, la solicitud de afiliación a la Seguridad Social:</x:v>
      </x:c>
      <x:c r="I74" s="18" t="str">
        <x:v>A</x:v>
      </x:c>
      <x:c r="J74" s="18" t="str">
        <x:v>Válida</x:v>
      </x:c>
    </x:row>
    <x:row r="75">
      <x:c r="A75" s="18" t="str">
        <x:v>2025_conv2023_extraordinario-T28</x:v>
      </x:c>
      <x:c r="B75" s="18" t="n">
        <x:v>2025</x:v>
      </x:c>
      <x:c r="C75" s="18" t="str">
        <x:v>S03</x:v>
      </x:c>
      <x:c r="D75" s="18" t="str">
        <x:v>Real Decreto Legislativo 8/2015</x:v>
      </x:c>
      <x:c r="E75" s="18" t="str">
        <x:v>139</x:v>
      </x:c>
      <x:c r="F75" s="18" t="str"/>
      <x:c r="G75" s="18" t="str">
        <x:v>Afiliación, altas y bajas</x:v>
      </x:c>
      <x:c r="H75" s="18" t="str">
        <x:v>De acuerdo con lo establecido en el artículo 139 del Real Decreto Legislativo 8/2015, de 30 de octubre ¿a quién le corresponderá el reconocimiento al alta y a la baja en el Régimen General?:</x:v>
      </x:c>
      <x:c r="I75" s="18" t="str">
        <x:v>C</x:v>
      </x:c>
      <x:c r="J75" s="18" t="str">
        <x:v>Válida</x:v>
      </x:c>
    </x:row>
    <x:row r="76">
      <x:c r="A76" s="18" t="str">
        <x:v>2025_conv2023_extraordinario-T29</x:v>
      </x:c>
      <x:c r="B76" s="18" t="n">
        <x:v>2025</x:v>
      </x:c>
      <x:c r="C76" s="18" t="str">
        <x:v>S03</x:v>
      </x:c>
      <x:c r="D76" s="18" t="str">
        <x:v>texto Refundido de la Ley General de la Seguridad Social</x:v>
      </x:c>
      <x:c r="E76" s="18" t="str">
        <x:v>166</x:v>
      </x:c>
      <x:c r="F76" s="18" t="str"/>
      <x:c r="G76" s="18" t="str">
        <x:v>Afiliación, altas y bajas</x:v>
      </x:c>
      <x:c r="H76" s="18" t="str">
        <x:v>¿En qué situación se encuentra el trabajador en caso de huelga o cierre patronal de acuerdo con el artículo 166 del texto Refundido de la Ley General de la Seguridad Social?:</x:v>
      </x:c>
      <x:c r="I76" s="18" t="str">
        <x:v>D</x:v>
      </x:c>
      <x:c r="J76" s="18" t="str">
        <x:v>Válida</x:v>
      </x:c>
    </x:row>
    <x:row r="77">
      <x:c r="A77" s="18" t="str">
        <x:v>2025_conv2023_extraordinario-T30</x:v>
      </x:c>
      <x:c r="B77" s="18" t="n">
        <x:v>2025</x:v>
      </x:c>
      <x:c r="C77" s="18" t="str">
        <x:v>S03</x:v>
      </x:c>
      <x:c r="D77" s="18" t="str"/>
      <x:c r="E77" s="18" t="str">
        <x:v>25</x:v>
      </x:c>
      <x:c r="F77" s="18" t="str"/>
      <x:c r="G77" s="18" t="str">
        <x:v>Procedimientos</x:v>
      </x:c>
      <x:c r="H77" s="18" t="str">
        <x:v>De acuerdo con el artículo 25 del Reglamento General sobre inscripción de empresas y afiliación, altas, bajas y variaciones de datos de trabajadores en la Seguridad social, ¿quién dará cuenta a la Inspección de Trabajo y Seguridad Social de las solicitudes efectuadas por los trabajadores por cuenta ajena o asimilados por el incumplimiento de las obligaciones por par te del empresario?:</x:v>
      </x:c>
      <x:c r="I77" s="18" t="str">
        <x:v>C</x:v>
      </x:c>
      <x:c r="J77" s="18" t="str">
        <x:v>Válida</x:v>
      </x:c>
    </x:row>
    <x:row r="78">
      <x:c r="A78" s="18" t="str">
        <x:v>2025_conv2023_extraordinario-T39</x:v>
      </x:c>
      <x:c r="B78" s="18" t="n">
        <x:v>2025</x:v>
      </x:c>
      <x:c r="C78" s="18" t="str">
        <x:v>S11</x:v>
      </x:c>
      <x:c r="D78" s="18" t="str"/>
      <x:c r="E78" s="18" t="str">
        <x:v>7.2</x:v>
      </x:c>
      <x:c r="F78" s="18" t="str"/>
      <x:c r="G78" s="18" t="str">
        <x:v>Cálculos</x:v>
      </x:c>
      <x:c r="H78" s="18" t="str">
        <x:v>La base reguladora de la pensión contributiva de viudedad, de acuerdo al artículo 7.2 del Decreto 1646/1972, señale la respuesta correcta:</x:v>
      </x:c>
      <x:c r="I78" s="18" t="str">
        <x:v>C</x:v>
      </x:c>
      <x:c r="J78" s="18" t="str">
        <x:v>Válida</x:v>
      </x:c>
    </x:row>
    <x:row r="79">
      <x:c r="A79" s="18" t="str">
        <x:v>2025_conv2023_extraordinario-T40</x:v>
      </x:c>
      <x:c r="B79" s="18" t="n">
        <x:v>2025</x:v>
      </x:c>
      <x:c r="C79" s="18" t="str">
        <x:v>S11</x:v>
      </x:c>
      <x:c r="D79" s="18" t="str">
        <x:v>Texto Refundido de la Ley General de la Seguridad Social</x:v>
      </x:c>
      <x:c r="E79" s="18" t="str">
        <x:v>224</x:v>
      </x:c>
      <x:c r="F79" s="18" t="str"/>
      <x:c r="G79" s="18" t="str">
        <x:v>Muerte y supervivencia</x:v>
      </x:c>
      <x:c r="H79" s="18" t="str">
        <x:v>En relación con la pensión de orfandad, el artículo 224 del Texto Refundido de la Ley General de la Seguridad Social establece que:</x:v>
      </x:c>
      <x:c r="I79" s="18" t="str">
        <x:v>A</x:v>
      </x:c>
      <x:c r="J79" s="18" t="str">
        <x:v>Válida</x:v>
      </x:c>
    </x:row>
    <x:row r="80">
      <x:c r="A80" s="18" t="str">
        <x:v>2025_conv2023_extraordinario-T41</x:v>
      </x:c>
      <x:c r="B80" s="18" t="n">
        <x:v>2025</x:v>
      </x:c>
      <x:c r="C80" s="18" t="str">
        <x:v>S11</x:v>
      </x:c>
      <x:c r="D80" s="18" t="str"/>
      <x:c r="E80" s="18" t="str">
        <x:v>31</x:v>
      </x:c>
      <x:c r="F80" s="18" t="str"/>
      <x:c r="G80" s="18" t="str">
        <x:v>Muerte y supervivencia</x:v>
      </x:c>
      <x:c r="H80" s="18" t="str">
        <x:v>Según el artículo 31 del Decreto 3158/1966, la pensión vitalicia de viudedad:</x:v>
      </x:c>
      <x:c r="I80" s="18" t="str">
        <x:v>C</x:v>
      </x:c>
      <x:c r="J80" s="18" t="str">
        <x:v>Válida</x:v>
      </x:c>
    </x:row>
    <x:row r="81">
      <x:c r="A81" s="18" t="str">
        <x:v>2025_conv2023_extraordinario-T42</x:v>
      </x:c>
      <x:c r="B81" s="18" t="n">
        <x:v>2025</x:v>
      </x:c>
      <x:c r="C81" s="18" t="str">
        <x:v>S12</x:v>
      </x:c>
      <x:c r="D81" s="18" t="str">
        <x:v>Ley 19/2021</x:v>
      </x:c>
      <x:c r="E81" s="18" t="str">
        <x:v>5</x:v>
      </x:c>
      <x:c r="F81" s="18" t="str"/>
      <x:c r="G81" s="18" t="str">
        <x:v>Prestaciones no contributivas</x:v>
      </x:c>
      <x:c r="H81" s="18" t="str">
        <x:v>De acuerdo con el artículo 5 de la Ley 19/2021, por la que se establece el Ingreso Mínimo Vital, en relación con los titulares de esta prestación:</x:v>
      </x:c>
      <x:c r="I81" s="18" t="str">
        <x:v>C</x:v>
      </x:c>
      <x:c r="J81" s="18" t="str">
        <x:v>Válida</x:v>
      </x:c>
    </x:row>
    <x:row r="82">
      <x:c r="A82" s="18" t="str">
        <x:v>2025_conv2023_extraordinario-T43</x:v>
      </x:c>
      <x:c r="B82" s="18" t="n">
        <x:v>2025</x:v>
      </x:c>
      <x:c r="C82" s="18" t="str">
        <x:v>S12</x:v>
      </x:c>
      <x:c r="D82" s="18" t="str">
        <x:v>Ley 19/2021</x:v>
      </x:c>
      <x:c r="E82" s="18" t="str">
        <x:v>36</x:v>
      </x:c>
      <x:c r="F82" s="18" t="str"/>
      <x:c r="G82" s="18" t="str">
        <x:v>Prestaciones no contributivas</x:v>
      </x:c>
      <x:c r="H82" s="18" t="str">
        <x:v>Conforme señala el artículo 36 de la Ley 19/2021, por la que se establece el Ingreso Mínimo Vital, las personas titulares del ingreso mínimo vital estarán sujetas durante el tiempo de percepción de la prestación, entre otras, a alguna o algunas de las siguientes obligaciones:</x:v>
      </x:c>
      <x:c r="I82" s="18" t="str">
        <x:v>A</x:v>
      </x:c>
      <x:c r="J82" s="18" t="str">
        <x:v>Válida</x:v>
      </x:c>
    </x:row>
    <x:row r="83">
      <x:c r="A83" s="18" t="str">
        <x:v>2025_conv2023_extraordinario-T44</x:v>
      </x:c>
      <x:c r="B83" s="18" t="n">
        <x:v>2025</x:v>
      </x:c>
      <x:c r="C83" s="18" t="str">
        <x:v>S12</x:v>
      </x:c>
      <x:c r="D83" s="18" t="str">
        <x:v>Texto Refundido de la Ley General de la Seguridad Social</x:v>
      </x:c>
      <x:c r="E83" s="18" t="str">
        <x:v>236</x:v>
      </x:c>
      <x:c r="F83" s="18" t="str"/>
      <x:c r="G83" s="18" t="str">
        <x:v>Prestaciones no contributivas</x:v>
      </x:c>
      <x:c r="H83" s="18" t="str">
        <x:v>De acuerdo con el artículo 236 del Texto Refundido de la Ley General de la Seguridad Social, el período computable como cotizado por cuidado de hijos o menores será como máximo de:</x:v>
      </x:c>
      <x:c r="I83" s="18" t="str">
        <x:v>D</x:v>
      </x:c>
      <x:c r="J83" s="18" t="str">
        <x:v>Válida</x:v>
      </x:c>
    </x:row>
    <x:row r="84">
      <x:c r="A84" s="18" t="str">
        <x:v>2025_conv2023_extraordinario-T45</x:v>
      </x:c>
      <x:c r="B84" s="18" t="n">
        <x:v>2025</x:v>
      </x:c>
      <x:c r="C84" s="18" t="str">
        <x:v>S12</x:v>
      </x:c>
      <x:c r="D84" s="18" t="str">
        <x:v>Texto Refundido de la Ley General de la Seguridad Social</x:v>
      </x:c>
      <x:c r="E84" s="18" t="str">
        <x:v>365</x:v>
      </x:c>
      <x:c r="F84" s="18" t="str"/>
      <x:c r="G84" s="18" t="str">
        <x:v>Prestaciones no contributivas</x:v>
      </x:c>
      <x:c r="H84" s="18" t="str">
        <x:v>Según el artículo 365 del Texto Refundido de la Ley General de la Seguridad Social, los efectos económicos del reconocimiento del derecho a las pensiones de invalidez no contributiva se producirán:</x:v>
      </x:c>
      <x:c r="I84" s="18" t="str">
        <x:v>B</x:v>
      </x:c>
      <x:c r="J84" s="18" t="str">
        <x:v>Válida</x:v>
      </x:c>
    </x:row>
    <x:row r="85">
      <x:c r="A85" s="18" t="str">
        <x:v>2025_conv2023_extraordinario-T46</x:v>
      </x:c>
      <x:c r="B85" s="18" t="n">
        <x:v>2025</x:v>
      </x:c>
      <x:c r="C85" s="18" t="str">
        <x:v>S13</x:v>
      </x:c>
      <x:c r="D85" s="18" t="str">
        <x:v>Texto Refundido de la Ley General de la Seguridad Social</x:v>
      </x:c>
      <x:c r="E85" s="18" t="str">
        <x:v>109.3</x:v>
      </x:c>
      <x:c r="F85" s="18" t="str"/>
      <x:c r="G85" s="18" t="str">
        <x:v>Artículos literales</x:v>
      </x:c>
      <x:c r="H85" s="18" t="str">
        <x:v>De acuerdo con lo dispuesto en el artículo 109.3 del Texto Refundido de la Ley General de la Seguridad Social, señale cuál de las siguientes prestaciones de la Seguridad Social tiene naturaleza contributiva:</x:v>
      </x:c>
      <x:c r="I85" s="18" t="str">
        <x:v>C</x:v>
      </x:c>
      <x:c r="J85" s="18" t="str">
        <x:v>Válida</x:v>
      </x:c>
    </x:row>
    <x:row r="86">
      <x:c r="A86" s="18" t="str">
        <x:v>2025_conv2023_extraordinario-T47</x:v>
      </x:c>
      <x:c r="B86" s="18" t="n">
        <x:v>2025</x:v>
      </x:c>
      <x:c r="C86" s="18" t="str">
        <x:v>S13</x:v>
      </x:c>
      <x:c r="D86" s="18" t="str">
        <x:v>Texto Refundido de la Ley General de la Seguridad Social</x:v>
      </x:c>
      <x:c r="E86" s="18" t="str">
        <x:v>104.1</x:v>
      </x:c>
      <x:c r="F86" s="18" t="str"/>
      <x:c r="G86" s="18" t="str">
        <x:v>Competencias</x:v>
      </x:c>
      <x:c r="H86" s="18" t="str">
        <x:v>Según el artículo 104.1 del Texto Refundido de la Ley General de la Seguridad Social, la titularidad del patrimonio único de la Seguridad Social corresponde a:</x:v>
      </x:c>
      <x:c r="I86" s="18" t="str">
        <x:v>B</x:v>
      </x:c>
      <x:c r="J86" s="18" t="str">
        <x:v>Válida</x:v>
      </x:c>
    </x:row>
    <x:row r="87">
      <x:c r="A87" s="18" t="str">
        <x:v>2025_conv2023_extraordinario-T48</x:v>
      </x:c>
      <x:c r="B87" s="18" t="n">
        <x:v>2025</x:v>
      </x:c>
      <x:c r="C87" s="18" t="str">
        <x:v>S13</x:v>
      </x:c>
      <x:c r="D87" s="18" t="str">
        <x:v>Texto Refundido de la Ley General de la Seguridad Social</x:v>
      </x:c>
      <x:c r="E87" s="18" t="str">
        <x:v>108</x:v>
      </x:c>
      <x:c r="F87" s="18" t="str"/>
      <x:c r="G87" s="18" t="str">
        <x:v>Artículos literales</x:v>
      </x:c>
      <x:c r="H87" s="18" t="str">
        <x:v>Conforme a lo establecido en el artículo 108 del Texto Refundido de la Ley General de la Seguridad Social, los bienes y derechos que integran el patrimonio de la seguridad social:</x:v>
      </x:c>
      <x:c r="I87" s="18" t="str">
        <x:v>C</x:v>
      </x:c>
      <x:c r="J87" s="18" t="str">
        <x:v>Válida</x:v>
      </x:c>
    </x:row>
    <x:row r="88">
      <x:c r="A88" s="18" t="str">
        <x:v>2025_conv2023_extraordinario-T52</x:v>
      </x:c>
      <x:c r="B88" s="18" t="n">
        <x:v>2025</x:v>
      </x:c>
      <x:c r="C88" s="18" t="str">
        <x:v>S01</x:v>
      </x:c>
      <x:c r="D88" s="18" t="str">
        <x:v>Constitución Española</x:v>
      </x:c>
      <x:c r="E88" s="18" t="str">
        <x:v>49</x:v>
      </x:c>
      <x:c r="F88" s="18" t="str"/>
      <x:c r="G88" s="18" t="str">
        <x:v>Artículos literales</x:v>
      </x:c>
      <x:c r="H88" s="18" t="str">
        <x:v>Dentro de los principios rectores de la política social y económica, el artículo 49 de la Constitución Española, como principio configurador del Sistema de Seguridad Social, establece lo siguiente:</x:v>
      </x:c>
      <x:c r="I88" s="18" t="str">
        <x:v>B</x:v>
      </x:c>
      <x:c r="J88" s="18" t="str">
        <x:v>Válida</x:v>
      </x:c>
    </x:row>
    <x:row r="89">
      <x:c r="A89" s="18" t="str">
        <x:v>2025_conv2023_extraordinario-T55</x:v>
      </x:c>
      <x:c r="B89" s="18" t="n">
        <x:v>2025</x:v>
      </x:c>
      <x:c r="C89" s="18" t="str">
        <x:v>S04</x:v>
      </x:c>
      <x:c r="D89" s="18" t="str">
        <x:v>Texto Refundido de la Ley General de la Seguridad Social</x:v>
      </x:c>
      <x:c r="E89" s="18" t="str">
        <x:v>152</x:v>
      </x:c>
      <x:c r="F89" s="18" t="str"/>
      <x:c r="G89" s="18" t="str">
        <x:v>Cotización</x:v>
      </x:c>
      <x:c r="H89" s="18" t="str">
        <x:v>De acuerdo con el artículo 152 del Texto Refundido de la Ley General de la Seguridad Social durante la realización de un trabajo por cuenta ajena compatible con la pensión de jubilación:</x:v>
      </x:c>
      <x:c r="I89" s="18" t="str">
        <x:v>D</x:v>
      </x:c>
      <x:c r="J89" s="18" t="str">
        <x:v>Válida</x:v>
      </x:c>
    </x:row>
    <x:row r="90">
      <x:c r="A90" s="18" t="str">
        <x:v>2025_conv2023_extraordinario-T58</x:v>
      </x:c>
      <x:c r="B90" s="18" t="n">
        <x:v>2025</x:v>
      </x:c>
      <x:c r="C90" s="18" t="str">
        <x:v>S05</x:v>
      </x:c>
      <x:c r="D90" s="18" t="str">
        <x:v>Real Decreto 1415/2004</x:v>
      </x:c>
      <x:c r="E90" s="18" t="str">
        <x:v>8</x:v>
      </x:c>
      <x:c r="F90" s="18" t="str"/>
      <x:c r="G90" s="18" t="str">
        <x:v>Plazos</x:v>
      </x:c>
      <x:c r="H90" s="18" t="str">
        <x:v>Según el artículo 8 del Real Decreto 1415/2004, por el que se aprueba el Reglamento General de Recaudación de la Seguridad, cuando los plazos reglamentarios para el pago de las deudas con la Seguridad Social se señalen por días naturales o se fijen por me ses o años, si el último día del plazo es inhábil, se entenderá que el plazo finaliza:</x:v>
      </x:c>
      <x:c r="I90" s="18" t="str">
        <x:v>C</x:v>
      </x:c>
      <x:c r="J90" s="18" t="str">
        <x:v>Válida</x:v>
      </x:c>
    </x:row>
    <x:row r="91">
      <x:c r="A91" s="18" t="str">
        <x:v>2025_conv2023_extraordinario-T59</x:v>
      </x:c>
      <x:c r="B91" s="18" t="n">
        <x:v>2025</x:v>
      </x:c>
      <x:c r="C91" s="18" t="str">
        <x:v>S05</x:v>
      </x:c>
      <x:c r="D91" s="18" t="str">
        <x:v>Real Decreto 1415/2004</x:v>
      </x:c>
      <x:c r="E91" s="18" t="str">
        <x:v>19</x:v>
      </x:c>
      <x:c r="F91" s="18" t="str"/>
      <x:c r="G91" s="18" t="str">
        <x:v>Definiciones</x:v>
      </x:c>
      <x:c r="H91" s="18" t="str">
        <x:v>¿Se pueden ingresar las cuotas correspondientes a las contingencias de accidentes de trabajo y enfermedades profesionales separadas de las cuotas por contingencias comunes y de los conceptos de recaudación conjunta de acuerdo a lo dispuesto en el artículo 19 del Real Decreto 1415/2004, por el que se aprueba el Reglamento General de Recaudación de la Seguridad?</x:v>
      </x:c>
      <x:c r="I91" s="18" t="str">
        <x:v>C</x:v>
      </x:c>
      <x:c r="J91" s="18" t="str">
        <x:v>Válida</x:v>
      </x:c>
    </x:row>
    <x:row r="92">
      <x:c r="A92" s="18" t="str">
        <x:v>2025_conv2023_extraordinario-T60</x:v>
      </x:c>
      <x:c r="B92" s="18" t="n">
        <x:v>2025</x:v>
      </x:c>
      <x:c r="C92" s="18" t="str">
        <x:v>S05</x:v>
      </x:c>
      <x:c r="D92" s="18" t="str">
        <x:v>Texto Refundido de la Ley General de la Seguridad Social</x:v>
      </x:c>
      <x:c r="E92" s="18" t="str">
        <x:v>31</x:v>
      </x:c>
      <x:c r="F92" s="18" t="str"/>
      <x:c r="G92" s="18" t="str">
        <x:v>Recaudación</x:v>
      </x:c>
      <x:c r="H92" s="18" t="str">
        <x:v>Cuando se devenguen intereses de demora, ¿cuál es el tipo aplicable al principal de las deudas con la Seguridad Social según el artículo 31 del Texto Refundido de la Ley General de la Seguridad Social?</x:v>
      </x:c>
      <x:c r="I92" s="18" t="str">
        <x:v>B</x:v>
      </x:c>
      <x:c r="J92" s="18" t="str">
        <x:v>Válida</x:v>
      </x:c>
    </x:row>
    <x:row r="93">
      <x:c r="A93" s="18" t="str">
        <x:v>2025_conv2023_extraordinario-T61</x:v>
      </x:c>
      <x:c r="B93" s="18" t="n">
        <x:v>2025</x:v>
      </x:c>
      <x:c r="C93" s="18" t="str">
        <x:v>S06</x:v>
      </x:c>
      <x:c r="D93" s="18" t="str">
        <x:v>Real Decreto 1415/2004</x:v>
      </x:c>
      <x:c r="E93" s="18" t="str">
        <x:v>84</x:v>
      </x:c>
      <x:c r="F93" s="18" t="str"/>
      <x:c r="G93" s="18" t="str">
        <x:v>Recaudación ejecutiva</x:v>
      </x:c>
      <x:c r="H93" s="18" t="str">
        <x:v>Según el artículo 84 del Reglamento General de Recaudación de la Seguridad Social, aprobado por el Real Decreto 1415/2004, la providencia de apremio tiene la misma fuerza ejecutiva para proceder contra bienes y derechos de los responsables de pago de la deuda que:</x:v>
      </x:c>
      <x:c r="I93" s="18" t="str">
        <x:v>A</x:v>
      </x:c>
      <x:c r="J93" s="18" t="str">
        <x:v>Válida</x:v>
      </x:c>
    </x:row>
    <x:row r="94">
      <x:c r="A94" s="18" t="str">
        <x:v>2025_conv2023_extraordinario-T62</x:v>
      </x:c>
      <x:c r="B94" s="18" t="n">
        <x:v>2025</x:v>
      </x:c>
      <x:c r="C94" s="18" t="str">
        <x:v>S06</x:v>
      </x:c>
      <x:c r="D94" s="18" t="str">
        <x:v>Real Decreto 1415/2004</x:v>
      </x:c>
      <x:c r="E94" s="18" t="str">
        <x:v>86</x:v>
      </x:c>
      <x:c r="F94" s="18" t="str"/>
      <x:c r="G94" s="18" t="str">
        <x:v>Recaudación ejecutiva</x:v>
      </x:c>
      <x:c r="H94" s="18" t="str">
        <x:v>Según el artículo 86 del Reglamento General de Recaudación de la Seguridad Social, aprobado por el Real Decreto 1415/2004, contra la providencia de apremio solamente será admisible:</x:v>
      </x:c>
      <x:c r="I94" s="18" t="str">
        <x:v>C</x:v>
      </x:c>
      <x:c r="J94" s="18" t="str">
        <x:v>Válida</x:v>
      </x:c>
    </x:row>
    <x:row r="95">
      <x:c r="A95" s="18" t="str">
        <x:v>2025_conv2023_extraordinario-T63</x:v>
      </x:c>
      <x:c r="B95" s="18" t="n">
        <x:v>2025</x:v>
      </x:c>
      <x:c r="C95" s="18" t="str">
        <x:v>S06</x:v>
      </x:c>
      <x:c r="D95" s="18" t="str">
        <x:v>Real Decreto 1415/2004</x:v>
      </x:c>
      <x:c r="E95" s="18" t="str">
        <x:v>88</x:v>
      </x:c>
      <x:c r="F95" s="18" t="str"/>
      <x:c r="G95" s="18" t="str">
        <x:v>Recaudación ejecutiva</x:v>
      </x:c>
      <x:c r="H95" s="18" t="str">
        <x:v>El artículo 88 del Reglamento General de Recaudación Seguridad Social, aprobado por el Real Decreto 1415/2004, de 11 de junio, establece que si la deuda estuviera garantizada mediante aval, se instará al garante:</x:v>
      </x:c>
      <x:c r="I95" s="18" t="str">
        <x:v>D</x:v>
      </x:c>
      <x:c r="J95" s="18" t="str">
        <x:v>Válida</x:v>
      </x:c>
    </x:row>
    <x:row r="96">
      <x:c r="A96" s="18" t="str">
        <x:v>2025_conv2023_extraordinario-T64</x:v>
      </x:c>
      <x:c r="B96" s="18" t="n">
        <x:v>2025</x:v>
      </x:c>
      <x:c r="C96" s="18" t="str">
        <x:v>S06</x:v>
      </x:c>
      <x:c r="D96" s="18" t="str">
        <x:v>Real Decreto 1415/2004</x:v>
      </x:c>
      <x:c r="E96" s="18" t="str">
        <x:v>94</x:v>
      </x:c>
      <x:c r="F96" s="18" t="str"/>
      <x:c r="G96" s="18" t="str">
        <x:v>Recaudación ejecutiva</x:v>
      </x:c>
      <x:c r="H96" s="18" t="str">
        <x:v>Cuando se embarguen participaciones en sociedades civiles, colectivas, comanditarias, en sociedades de responsabilidad limitada o acciones que no coticen en mercados secundarios oficiales, el artículo 94 del Reglamento General de Recaudación de la Segurida d Social, aprobado por el Real Decreto 1415/2004, establece que se comunicará el embargo a:</x:v>
      </x:c>
      <x:c r="I96" s="18" t="str">
        <x:v>C</x:v>
      </x:c>
      <x:c r="J96" s="18" t="str">
        <x:v>Válida</x:v>
      </x:c>
    </x:row>
    <x:row r="97">
      <x:c r="A97" s="18" t="str">
        <x:v>2025_conv2023_extraordinario-T65</x:v>
      </x:c>
      <x:c r="B97" s="18" t="n">
        <x:v>2025</x:v>
      </x:c>
      <x:c r="C97" s="18" t="str">
        <x:v>S07</x:v>
      </x:c>
      <x:c r="D97" s="18" t="str">
        <x:v>Texto Refundido de la Ley General de la Seguridad Social</x:v>
      </x:c>
      <x:c r="E97" s="18" t="str">
        <x:v>51</x:v>
      </x:c>
      <x:c r="F97" s="18" t="str"/>
      <x:c r="G97" s="18" t="str">
        <x:v>Personas beneficiarias</x:v>
      </x:c>
      <x:c r="H97" s="18" t="str">
        <x:v>Según lo establecido en el artículo 51 del Texto Refundido de la Ley General de la Seguridad Social, a efectos de prestaciones y de complementos a mínimos para cuya percepción se exija la residencia en territorio español, ¿en qué casos se entenderá que el beneficiario tiene su residencia habitual en España aun cuando haya tenido estancias en el extranjero? Señale la respuesta CORRECTA.</x:v>
      </x:c>
      <x:c r="I97" s="18" t="str">
        <x:v>A</x:v>
      </x:c>
      <x:c r="J97" s="18" t="str">
        <x:v>Válida</x:v>
      </x:c>
    </x:row>
    <x:row r="98">
      <x:c r="A98" s="18" t="str">
        <x:v>2025_conv2023_extraordinario-T66</x:v>
      </x:c>
      <x:c r="B98" s="18" t="n">
        <x:v>2025</x:v>
      </x:c>
      <x:c r="C98" s="18" t="str">
        <x:v>S07</x:v>
      </x:c>
      <x:c r="D98" s="18" t="str">
        <x:v>Texto Refundido de la Ley General de la Seguridad Social</x:v>
      </x:c>
      <x:c r="E98" s="18" t="str">
        <x:v>164</x:v>
      </x:c>
      <x:c r="F98" s="18" t="str"/>
      <x:c r="G98" s="18" t="str">
        <x:v>Artículos literales</x:v>
      </x:c>
      <x:c r="H98" s="18" t="str">
        <x:v>Según lo establecido en el artículo 164 del Texto Refundido de la Ley General de la Seguridad Social, con relación al recargo de las prestaciones económicas cuando la lesión se produzca por los motivos listados en el mencionado artículo, señale la respuesta CORRECTA:</x:v>
      </x:c>
      <x:c r="I98" s="18" t="str">
        <x:v>A</x:v>
      </x:c>
      <x:c r="J98" s="18" t="str">
        <x:v>Válida</x:v>
      </x:c>
    </x:row>
    <x:row r="99">
      <x:c r="A99" s="18" t="str">
        <x:v>2025_conv2023_extraordinario-T67</x:v>
      </x:c>
      <x:c r="B99" s="18" t="n">
        <x:v>2025</x:v>
      </x:c>
      <x:c r="C99" s="18" t="str">
        <x:v>S07</x:v>
      </x:c>
      <x:c r="D99" s="18" t="str">
        <x:v>Texto Refundido de la Ley General de la Seguridad Social</x:v>
      </x:c>
      <x:c r="E99" s="18" t="str">
        <x:v>60</x:v>
      </x:c>
      <x:c r="F99" s="18" t="str"/>
      <x:c r="G99" s="18" t="str">
        <x:v>Artículos literales</x:v>
      </x:c>
      <x:c r="H99" s="18" t="str">
        <x:v>Con relación a lo establecido en el artículo 60 del Texto Refundido de la Ley General de la Seguridad Social sobre el complemento de pensiones contributivas para la reducción de la brecha de género, indique la afirmación INCORRECTA:</x:v>
      </x:c>
      <x:c r="I99" s="18" t="str">
        <x:v>B</x:v>
      </x:c>
      <x:c r="J99" s="18" t="str">
        <x:v>Válida</x:v>
      </x:c>
    </x:row>
    <x:row r="100">
      <x:c r="A100" s="18" t="str">
        <x:v>2025_conv2023_extraordinario-T68</x:v>
      </x:c>
      <x:c r="B100" s="18" t="n">
        <x:v>2025</x:v>
      </x:c>
      <x:c r="C100" s="18" t="str">
        <x:v>S07</x:v>
      </x:c>
      <x:c r="D100" s="18" t="str">
        <x:v>Texto Refundido de la Ley General de la Seguridad Social</x:v>
      </x:c>
      <x:c r="E100" s="18" t="str">
        <x:v>61</x:v>
      </x:c>
      <x:c r="F100" s="18" t="str"/>
      <x:c r="G100" s="18" t="str">
        <x:v>Artículos literales</x:v>
      </x:c>
      <x:c r="H100" s="18" t="str">
        <x:v>En virtud de lo dispuesto en el artículo 61 del Texto Refundido de la Ley General de la Seguridad Social, relativo a las pensiones extraordinarias originadas por actos de terrorismo:</x:v>
      </x:c>
      <x:c r="I100" s="18" t="str">
        <x:v>B</x:v>
      </x:c>
      <x:c r="J100" s="18" t="str">
        <x:v>Válida</x:v>
      </x:c>
    </x:row>
    <x:row r="101">
      <x:c r="A101" s="18" t="str">
        <x:v>2025_conv2023_extraordinario-T69</x:v>
      </x:c>
      <x:c r="B101" s="18" t="n">
        <x:v>2025</x:v>
      </x:c>
      <x:c r="C101" s="18" t="str">
        <x:v>S10</x:v>
      </x:c>
      <x:c r="D101" s="18" t="str">
        <x:v>Texto Refundido de la Ley General de la Seguridad Social</x:v>
      </x:c>
      <x:c r="E101" s="18" t="str">
        <x:v>205.1</x:v>
      </x:c>
      <x:c r="F101" s="18" t="str"/>
      <x:c r="G101" s="18" t="str">
        <x:v>Jubilación</x:v>
      </x:c>
      <x:c r="H101" s="18" t="str">
        <x:v>Según el artículo 205.1.a del Texto Refundido de la Ley General de la Seguridad Social, ¿qué edad deberán tener cumplida las personas incluidas en el régimen general para acceder a la jubilación ordinaria?</x:v>
      </x:c>
      <x:c r="I101" s="18" t="str">
        <x:v>D</x:v>
      </x:c>
      <x:c r="J101" s="18" t="str">
        <x:v>Válida</x:v>
      </x:c>
    </x:row>
    <x:row r="102">
      <x:c r="A102" s="18" t="str">
        <x:v>2025_conv2023_extraordinario-T70</x:v>
      </x:c>
      <x:c r="B102" s="18" t="n">
        <x:v>2025</x:v>
      </x:c>
      <x:c r="C102" s="18" t="str">
        <x:v>S10</x:v>
      </x:c>
      <x:c r="D102" s="18" t="str">
        <x:v>Texto Refundido de la Ley General de la Seguridad Social</x:v>
      </x:c>
      <x:c r="E102" s="18" t="str">
        <x:v>206</x:v>
      </x:c>
      <x:c r="F102" s="18" t="str"/>
      <x:c r="G102" s="18" t="str">
        <x:v>Jubilación</x:v>
      </x:c>
      <x:c r="H102" s="18" t="str">
        <x:v>A tenor de lo dispuesto en el punto 2 del artículo 206 bis del Texto Refundido de la Ley General de la Seguridad Social sobre jubilación anticipada en caso de discapacidad, ¿qué edad se fija como límite mínimo por debajo de la cual no se podrá acceder a la jubilación una vez aplicados los coeficientes reductores de la edad que correspondan?</x:v>
      </x:c>
      <x:c r="I102" s="18" t="str">
        <x:v>B</x:v>
      </x:c>
      <x:c r="J102" s="18" t="str">
        <x:v>Válida</x:v>
      </x:c>
    </x:row>
    <x:row r="103">
      <x:c r="A103" s="18" t="str">
        <x:v>2025_conv2023_extraordinario-T71</x:v>
      </x:c>
      <x:c r="B103" s="18" t="n">
        <x:v>2025</x:v>
      </x:c>
      <x:c r="C103" s="18" t="str">
        <x:v>S10</x:v>
      </x:c>
      <x:c r="D103" s="18" t="str">
        <x:v>Texto Refundido de la Ley General de la Seguridad Social</x:v>
      </x:c>
      <x:c r="E103" s="18" t="str">
        <x:v>215; 14</x:v>
      </x:c>
      <x:c r="F103" s="18" t="str"/>
      <x:c r="G103" s="18" t="str">
        <x:v>Jubilación</x:v>
      </x:c>
      <x:c r="H103" s="18" t="str">
        <x:v>A tenor de lo dispuesto en el punto 2 del artículo 215 del Texto Refundido de la Ley General de la Seguridad Social sobre jubilación parcial y en el artículo 14 del RD 1131/2002, de 31 de octubre, por el que se regula la Seguridad Social de los trabajadores contratados a tiempo parcial, así como la jubilación parcial, indique la respuesta INCORRECTA respecto al régimen de compatibilidad e incompatibilidad de la pensión de jubilación parcial:</x:v>
      </x:c>
      <x:c r="I103" s="18" t="str">
        <x:v>C</x:v>
      </x:c>
      <x:c r="J103" s="18" t="str">
        <x:v>Válida</x:v>
      </x:c>
    </x:row>
    <x:row r="104">
      <x:c r="A104" s="18" t="str">
        <x:v>2025_conv2023_extraordinario-T72</x:v>
      </x:c>
      <x:c r="B104" s="18" t="n">
        <x:v>2025</x:v>
      </x:c>
      <x:c r="C104" s="18" t="str">
        <x:v>S10</x:v>
      </x:c>
      <x:c r="D104" s="18" t="str">
        <x:v>Texto Refundido de la Ley General de la Seguridad Social</x:v>
      </x:c>
      <x:c r="E104" s="18" t="str">
        <x:v>207</x:v>
      </x:c>
      <x:c r="F104" s="18" t="str"/>
      <x:c r="G104" s="18" t="str">
        <x:v>Requisitos</x:v>
      </x:c>
      <x:c r="H104" s="18" t="str">
        <x:v>Según lo establecido el artículo 207 del Texto Refundido de la Ley General de la Seguridad Social para acceder a la jubilación anticipada por causa no imputable al trabajador, uno de los requisitos es que el cese se haya producido por alguna de las causas recogidas en el mencionado artículo. Indique cuál de las siguientes opciones NO es una causa para cumplir con este requisito:</x:v>
      </x:c>
      <x:c r="I104" s="18" t="str">
        <x:v>C</x:v>
      </x:c>
      <x:c r="J104" s="18" t="str">
        <x:v>Válida</x:v>
      </x:c>
    </x:row>
    <x:row r="105">
      <x:c r="A105" s="18" t="str">
        <x:v>2025_conv2023_extraordinario-T73</x:v>
      </x:c>
      <x:c r="B105" s="18" t="n">
        <x:v>2025</x:v>
      </x:c>
      <x:c r="C105" s="18" t="str">
        <x:v>S02</x:v>
      </x:c>
      <x:c r="D105" s="18" t="str">
        <x:v>Texto Refundido de la Ley General de la Seguridad Social</x:v>
      </x:c>
      <x:c r="E105" s="18" t="str">
        <x:v>10.2</x:v>
      </x:c>
      <x:c r="F105" s="18" t="str"/>
      <x:c r="G105" s="18" t="str">
        <x:v>Artículos literales</x:v>
      </x:c>
      <x:c r="H105" s="18" t="str">
        <x:v>De acuerdo con el artículo 10.2 del Texto Refundido de la Ley General de la Seguridad Social, se considerarán Regímenes Especiales los que encuadren a los grupos siguientes:</x:v>
      </x:c>
      <x:c r="I105" s="18" t="str">
        <x:v>A</x:v>
      </x:c>
      <x:c r="J105" s="18" t="str">
        <x:v>Válida</x:v>
      </x:c>
    </x:row>
    <x:row r="106">
      <x:c r="A106" s="18" t="str">
        <x:v>2025_conv2024_ordinario_A-T01</x:v>
      </x:c>
      <x:c r="B106" s="18" t="n">
        <x:v>2025</x:v>
      </x:c>
      <x:c r="C106" s="18" t="str">
        <x:v>G01</x:v>
      </x:c>
      <x:c r="D106" s="18" t="str">
        <x:v>Constitución Española</x:v>
      </x:c>
      <x:c r="E106" s="18" t="str">
        <x:v>168</x:v>
      </x:c>
      <x:c r="F106" s="18" t="str"/>
      <x:c r="G106" s="18" t="str">
        <x:v>Artículos literales</x:v>
      </x:c>
      <x:c r="H106" s="18" t="str">
        <x:v>En cuanto a la reforma agravada de la Constitución Española, regulada en el artículo 168, señale la respuesta INCORRECTA:</x:v>
      </x:c>
      <x:c r="I106" s="18" t="str">
        <x:v>C</x:v>
      </x:c>
      <x:c r="J106" s="18" t="str">
        <x:v>Válida</x:v>
      </x:c>
    </x:row>
    <x:row r="107">
      <x:c r="A107" s="18" t="str">
        <x:v>2025_conv2024_ordinario_A-T03</x:v>
      </x:c>
      <x:c r="B107" s="18" t="n">
        <x:v>2025</x:v>
      </x:c>
      <x:c r="C107" s="18" t="str">
        <x:v>G03</x:v>
      </x:c>
      <x:c r="D107" s="18" t="str">
        <x:v>Ley Orgánica 2/1979</x:v>
      </x:c>
      <x:c r="E107" s="18" t="str">
        <x:v>7</x:v>
      </x:c>
      <x:c r="F107" s="18" t="str"/>
      <x:c r="G107" s="18" t="str">
        <x:v>Artículos literales</x:v>
      </x:c>
      <x:c r="H107" s="18" t="str">
        <x:v>Según el artículo 7 de Ea Ley Orgánica 2/1979, de 3 de octubre, del Tribunal Constitucional, señale la afirmación correcta:</x:v>
      </x:c>
      <x:c r="I107" s="18" t="str">
        <x:v>A</x:v>
      </x:c>
      <x:c r="J107" s="18" t="str">
        <x:v>Válida</x:v>
      </x:c>
    </x:row>
    <x:row r="108">
      <x:c r="A108" s="18" t="str">
        <x:v>2025_conv2024_ordinario_A-T04</x:v>
      </x:c>
      <x:c r="B108" s="18" t="n">
        <x:v>2025</x:v>
      </x:c>
      <x:c r="C108" s="18" t="str">
        <x:v>G04</x:v>
      </x:c>
      <x:c r="D108" s="18" t="str">
        <x:v>Constitución Española</x:v>
      </x:c>
      <x:c r="E108" s="18" t="str">
        <x:v>63</x:v>
      </x:c>
      <x:c r="F108" s="18" t="str"/>
      <x:c r="G108" s="18" t="str">
        <x:v>Artículos literales</x:v>
      </x:c>
      <x:c r="H108" s="18" t="str">
        <x:v>De acuerdo con 10 establecido en eI artículo 63 de la Constitución Española, al Rey corresponde:</x:v>
      </x:c>
      <x:c r="I108" s="18" t="str">
        <x:v>B</x:v>
      </x:c>
      <x:c r="J108" s="18" t="str">
        <x:v>Válida</x:v>
      </x:c>
    </x:row>
    <x:row r="109">
      <x:c r="A109" s="18" t="str">
        <x:v>2025_conv2024_ordinario_A-T05</x:v>
      </x:c>
      <x:c r="B109" s="18" t="n">
        <x:v>2025</x:v>
      </x:c>
      <x:c r="C109" s="18" t="str">
        <x:v>G05</x:v>
      </x:c>
      <x:c r="D109" s="18" t="str">
        <x:v>Constitución Española</x:v>
      </x:c>
      <x:c r="E109" s="18" t="str">
        <x:v>68</x:v>
      </x:c>
      <x:c r="F109" s="18" t="str"/>
      <x:c r="G109" s="18" t="str">
        <x:v>Artículos literales</x:v>
      </x:c>
      <x:c r="H109" s="18" t="str">
        <x:v>De acuerdo con 10 establecido en eI artículo 68 de la Constitución Española, el Congreso se compone de:</x:v>
      </x:c>
      <x:c r="I109" s="18" t="str">
        <x:v>C</x:v>
      </x:c>
      <x:c r="J109" s="18" t="str">
        <x:v>Válida</x:v>
      </x:c>
    </x:row>
    <x:row r="110">
      <x:c r="A110" s="18" t="str">
        <x:v>2025_conv2024_ordinario_A-T06</x:v>
      </x:c>
      <x:c r="B110" s="18" t="n">
        <x:v>2025</x:v>
      </x:c>
      <x:c r="C110" s="18" t="str">
        <x:v>G06</x:v>
      </x:c>
      <x:c r="D110" s="18" t="str">
        <x:v>Constitución Española</x:v>
      </x:c>
      <x:c r="E110" s="18" t="str">
        <x:v>122</x:v>
      </x:c>
      <x:c r="F110" s="18" t="str"/>
      <x:c r="G110" s="18" t="str">
        <x:v>Artículos literales</x:v>
      </x:c>
      <x:c r="H110" s="18" t="str">
        <x:v>De acuerdo con 10 establecido en el articulo 122 de la Constitución Española, el Consejo General del Poder Judicial estará integrado por:</x:v>
      </x:c>
      <x:c r="I110" s="18" t="str">
        <x:v>D</x:v>
      </x:c>
      <x:c r="J110" s="18" t="str">
        <x:v>Válida</x:v>
      </x:c>
    </x:row>
    <x:row r="111">
      <x:c r="A111" s="18" t="str">
        <x:v>2025_conv2024_ordinario_A-T07</x:v>
      </x:c>
      <x:c r="B111" s="18" t="n">
        <x:v>2025</x:v>
      </x:c>
      <x:c r="C111" s="18" t="str">
        <x:v>G07</x:v>
      </x:c>
      <x:c r="D111" s="18" t="str">
        <x:v>Constitución Española</x:v>
      </x:c>
      <x:c r="E111" s="18" t="str">
        <x:v>102</x:v>
      </x:c>
      <x:c r="F111" s="18" t="str"/>
      <x:c r="G111" s="18" t="str">
        <x:v>Artículos literales</x:v>
      </x:c>
      <x:c r="H111" s="18" t="str">
        <x:v>Según eI artículo 102 de la Constitución Española, señale la afirmación correcta.</x:v>
      </x:c>
      <x:c r="I111" s="18" t="str">
        <x:v>A</x:v>
      </x:c>
      <x:c r="J111" s="18" t="str">
        <x:v>Válida</x:v>
      </x:c>
    </x:row>
    <x:row r="112">
      <x:c r="A112" s="18" t="str">
        <x:v>2025_conv2024_ordinario_A-T09</x:v>
      </x:c>
      <x:c r="B112" s="18" t="n">
        <x:v>2025</x:v>
      </x:c>
      <x:c r="C112" s="18" t="str">
        <x:v>G09</x:v>
      </x:c>
      <x:c r="D112" s="18" t="str">
        <x:v>Constitución Española</x:v>
      </x:c>
      <x:c r="E112" s="18" t="str">
        <x:v>146</x:v>
      </x:c>
      <x:c r="F112" s="18" t="str"/>
      <x:c r="G112" s="18" t="str">
        <x:v>Artículos literales</x:v>
      </x:c>
      <x:c r="H112" s="18" t="str">
        <x:v>EI proyecto de Estatuto, conforme al artículo 146 de la Constitución Española:</x:v>
      </x:c>
      <x:c r="I112" s="18" t="str">
        <x:v>B</x:v>
      </x:c>
      <x:c r="J112" s="18" t="str">
        <x:v>Válida</x:v>
      </x:c>
    </x:row>
    <x:row r="113">
      <x:c r="A113" s="18" t="str">
        <x:v>2025_conv2024_ordinario_A-T11</x:v>
      </x:c>
      <x:c r="B113" s="18" t="n">
        <x:v>2025</x:v>
      </x:c>
      <x:c r="C113" s="18" t="str">
        <x:v>G11</x:v>
      </x:c>
      <x:c r="D113" s="18" t="str">
        <x:v>Tratado de Funcionamiento de la Unión Europea</x:v>
      </x:c>
      <x:c r="E113" s="18" t="str">
        <x:v>218</x:v>
      </x:c>
      <x:c r="F113" s="18" t="str"/>
      <x:c r="G113" s="18" t="str">
        <x:v>Artículos literales</x:v>
      </x:c>
      <x:c r="H113" s="18" t="str">
        <x:v>De acuerdo con 10 fijado en el artículo 218 del título V del Tratado de Funcionamiento de la Unión Europea, con excepción de los acuerdos que se refieran exclusivamente a la política exterior y de seguridad común, eI Consejo adoptará la decisión de celebración del acuerdo, previa aprobación del Parlamento Europeo, en los casos siguientes:</x:v>
      </x:c>
      <x:c r="I113" s="18" t="str">
        <x:v>A</x:v>
      </x:c>
      <x:c r="J113" s="18" t="str">
        <x:v>Válida</x:v>
      </x:c>
    </x:row>
    <x:row r="114">
      <x:c r="A114" s="18" t="str">
        <x:v>2025_conv2024_ordinario_A-T12</x:v>
      </x:c>
      <x:c r="B114" s="18" t="n">
        <x:v>2025</x:v>
      </x:c>
      <x:c r="C114" s="18" t="str">
        <x:v>G12</x:v>
      </x:c>
      <x:c r="D114" s="18" t="str">
        <x:v>Real Decreto 501/2024</x:v>
      </x:c>
      <x:c r="E114" s="18" t="str">
        <x:v>1</x:v>
      </x:c>
      <x:c r="F114" s="18" t="str"/>
      <x:c r="G114" s="18" t="str">
        <x:v>Órganos</x:v>
      </x:c>
      <x:c r="H114" s="18" t="str">
        <x:v>Conforme a 10 previsto en eI artículo 1 del Real Decreto 501/2024, de 21 de mayo, por el que se desarrolla la estructura orgánica básica del Ministerio de Inclusión, Seguridad Social y Migraciones, como órgano de asistencia inmediata a la persona titular del Departamento existe un Gabinete con rango de:</x:v>
      </x:c>
      <x:c r="I114" s="18" t="str">
        <x:v>C</x:v>
      </x:c>
      <x:c r="J114" s="18" t="str">
        <x:v>Válida</x:v>
      </x:c>
    </x:row>
    <x:row r="115">
      <x:c r="A115" s="18" t="str">
        <x:v>2025_conv2024_ordinario_A-T13</x:v>
      </x:c>
      <x:c r="B115" s="18" t="n">
        <x:v>2025</x:v>
      </x:c>
      <x:c r="C115" s="18" t="str">
        <x:v>G13</x:v>
      </x:c>
      <x:c r="D115" s="18" t="str">
        <x:v>Constitución Española</x:v>
      </x:c>
      <x:c r="E115" s="18" t="str">
        <x:v>94 y 96</x:v>
      </x:c>
      <x:c r="F115" s="18" t="str"/>
      <x:c r="G115" s="18" t="str">
        <x:v>Artículos literales</x:v>
      </x:c>
      <x:c r="H115" s="18" t="str">
        <x:v>De acuerdo con los artículos 94 y 96 de la Constitución Española, en relación con los Tratados Internacionales, señale la respuesta correcta:</x:v>
      </x:c>
      <x:c r="I115" s="18" t="str">
        <x:v>B</x:v>
      </x:c>
      <x:c r="J115" s="18" t="str">
        <x:v>Válida</x:v>
      </x:c>
    </x:row>
    <x:row r="116">
      <x:c r="A116" s="18" t="str">
        <x:v>2025_conv2024_ordinario_A-T14</x:v>
      </x:c>
      <x:c r="B116" s="18" t="n">
        <x:v>2025</x:v>
      </x:c>
      <x:c r="C116" s="18" t="str">
        <x:v>G14</x:v>
      </x:c>
      <x:c r="D116" s="18" t="str">
        <x:v>Ley 39/2015</x:v>
      </x:c>
      <x:c r="E116" s="18" t="str">
        <x:v>128</x:v>
      </x:c>
      <x:c r="F116" s="18" t="str"/>
      <x:c r="G116" s="18" t="str">
        <x:v>Procedimientos</x:v>
      </x:c>
      <x:c r="H116" s="18" t="str">
        <x:v>Según establece el artículo 128 de la Ley 39/2015, de 1 de octubre, del Procedimiento Administrativo Común de las Administraciones Públicas, ¿a quién corresponde el ejercicio de la potestad reglamentaria?</x:v>
      </x:c>
      <x:c r="I116" s="18" t="str">
        <x:v>A</x:v>
      </x:c>
      <x:c r="J116" s="18" t="str">
        <x:v>Válida</x:v>
      </x:c>
    </x:row>
    <x:row r="117">
      <x:c r="A117" s="18" t="str">
        <x:v>2025_conv2024_ordinario_A-T15</x:v>
      </x:c>
      <x:c r="B117" s="18" t="n">
        <x:v>2025</x:v>
      </x:c>
      <x:c r="C117" s="18" t="str">
        <x:v>G15</x:v>
      </x:c>
      <x:c r="D117" s="18" t="str">
        <x:v>Ley 39/2015</x:v>
      </x:c>
      <x:c r="E117" s="18" t="str">
        <x:v>36</x:v>
      </x:c>
      <x:c r="F117" s="18" t="str"/>
      <x:c r="G117" s="18" t="str">
        <x:v>Procedimientos</x:v>
      </x:c>
      <x:c r="H117" s="18" t="str">
        <x:v>Según establece el artículo 36 de la Ley 39/2015, de 1 de octubre, del Procedimiento Administrativo Común de las Administraciones Públicas, cuando deba dictarse una serie de actos administrativos de la misma naturaleza:</x:v>
      </x:c>
      <x:c r="I117" s="18" t="str">
        <x:v>B</x:v>
      </x:c>
      <x:c r="J117" s="18" t="str">
        <x:v>Válida</x:v>
      </x:c>
    </x:row>
    <x:row r="118">
      <x:c r="A118" s="18" t="str">
        <x:v>2025_conv2024_ordinario_A-T16</x:v>
      </x:c>
      <x:c r="B118" s="18" t="n">
        <x:v>2025</x:v>
      </x:c>
      <x:c r="C118" s="18" t="str">
        <x:v>G16</x:v>
      </x:c>
      <x:c r="D118" s="18" t="str">
        <x:v>Ley 39/2015</x:v>
      </x:c>
      <x:c r="E118" s="18" t="str">
        <x:v>24</x:v>
      </x:c>
      <x:c r="F118" s="18" t="str"/>
      <x:c r="G118" s="18" t="str">
        <x:v>Procedimientos</x:v>
      </x:c>
      <x:c r="H118" s="18" t="str">
        <x:v>De acuerdo con 10 dispuesto el artículo 24 de la Ley 39/2015, de 1 de octubre, del Procedimiento Administrativo Común de las Administraciones Públicas, que regula el silencio administrativo, señale la respuesta correcta:</x:v>
      </x:c>
      <x:c r="I118" s="18" t="str">
        <x:v>D</x:v>
      </x:c>
      <x:c r="J118" s="18" t="str">
        <x:v>Válida</x:v>
      </x:c>
    </x:row>
    <x:row r="119">
      <x:c r="A119" s="18" t="str">
        <x:v>2025_conv2024_ordinario_A-T18</x:v>
      </x:c>
      <x:c r="B119" s="18" t="n">
        <x:v>2025</x:v>
      </x:c>
      <x:c r="C119" s="18" t="str">
        <x:v>G18</x:v>
      </x:c>
      <x:c r="D119" s="18" t="str">
        <x:v>Ley 29/1998</x:v>
      </x:c>
      <x:c r="E119" s="18" t="str">
        <x:v>11</x:v>
      </x:c>
      <x:c r="F119" s="18" t="str"/>
      <x:c r="G119" s="18" t="str">
        <x:v>Órganos</x:v>
      </x:c>
      <x:c r="H119" s="18" t="str">
        <x:v>Tal y como establece el artículo 11 de la Ley 29/1998, de 13 de julio, reguladora de la Jurisdicción Contencioso-administrativa, ¿Ante qué órgano debe interponerse los recursos que se deduzcan en relación con las disposiciones generales y los actos de los Ministros?</x:v>
      </x:c>
      <x:c r="I119" s="18" t="str">
        <x:v>B</x:v>
      </x:c>
      <x:c r="J119" s="18" t="str">
        <x:v>Válida</x:v>
      </x:c>
    </x:row>
    <x:row r="120">
      <x:c r="A120" s="18" t="str">
        <x:v>2025_conv2024_ordinario_A-T19</x:v>
      </x:c>
      <x:c r="B120" s="18" t="n">
        <x:v>2025</x:v>
      </x:c>
      <x:c r="C120" s="18" t="str">
        <x:v>G19</x:v>
      </x:c>
      <x:c r="D120" s="18" t="str"/>
      <x:c r="E120" s="18" t="str">
        <x:v>39</x:v>
      </x:c>
      <x:c r="F120" s="18" t="str"/>
      <x:c r="G120" s="18" t="str">
        <x:v>Órganos</x:v>
      </x:c>
      <x:c r="H120" s="18" t="str">
        <x:v>Conforme a 10 previsto en el artículo 39 del Real Decreto Legislativo 512015, de 30 de octubre, por eI que se aprueba el texto refundido de la Ley del Estatuto Básico del Empleado Público, los órganos específicos de representación de los funcionarios son los Delegados de Personal y las Juntas de Personal. AI respecto, señale la afirmación correcta:</x:v>
      </x:c>
      <x:c r="I120" s="18" t="str">
        <x:v>B</x:v>
      </x:c>
      <x:c r="J120" s="18" t="str">
        <x:v>Válida</x:v>
      </x:c>
    </x:row>
    <x:row r="121">
      <x:c r="A121" s="18" t="str">
        <x:v>2025_conv2024_ordinario_A-T20</x:v>
      </x:c>
      <x:c r="B121" s="18" t="n">
        <x:v>2025</x:v>
      </x:c>
      <x:c r="C121" s="18" t="str">
        <x:v>G20</x:v>
      </x:c>
      <x:c r="D121" s="18" t="str">
        <x:v>Real Decreto 208/1996</x:v>
      </x:c>
      <x:c r="E121" s="18" t="str">
        <x:v>5</x:v>
      </x:c>
      <x:c r="F121" s="18" t="str"/>
      <x:c r="G121" s="18" t="str">
        <x:v>Artículos literales</x:v>
      </x:c>
      <x:c r="H121" s="18" t="str">
        <x:v>Señale la afirmación correcta, de acuerdo con eI artículo 5 del Real Decreto 208/1996, de 9 de febrero, por el que se regulan los servicios de información administrativa y atención al ciudadano:</x:v>
      </x:c>
      <x:c r="I121" s="18" t="str">
        <x:v>B</x:v>
      </x:c>
      <x:c r="J121" s="18" t="str">
        <x:v>Válida</x:v>
      </x:c>
    </x:row>
    <x:row r="122">
      <x:c r="A122" s="18" t="str">
        <x:v>2025_conv2024_ordinario_A-T21</x:v>
      </x:c>
      <x:c r="B122" s="18" t="n">
        <x:v>2025</x:v>
      </x:c>
      <x:c r="C122" s="18" t="str">
        <x:v>G21</x:v>
      </x:c>
      <x:c r="D122" s="18" t="str"/>
      <x:c r="E122" s="18" t="str">
        <x:v>60</x:v>
      </x:c>
      <x:c r="F122" s="18" t="str"/>
      <x:c r="G122" s="18" t="str">
        <x:v>Artículos literales</x:v>
      </x:c>
      <x:c r="H122" s="18" t="str">
        <x:v>Según el artículo 60 de la Ley Orgánica 312007, de 22 de marzo, para la igualdad efectiva de mujeres y hombres:</x:v>
      </x:c>
      <x:c r="I122" s="18" t="str">
        <x:v>C</x:v>
      </x:c>
      <x:c r="J122" s="18" t="str">
        <x:v>Válida</x:v>
      </x:c>
    </x:row>
    <x:row r="123">
      <x:c r="A123" s="18" t="str">
        <x:v>2025_conv2024_ordinario_A-T22</x:v>
      </x:c>
      <x:c r="B123" s="18" t="n">
        <x:v>2025</x:v>
      </x:c>
      <x:c r="C123" s="18" t="str">
        <x:v>G22</x:v>
      </x:c>
      <x:c r="D123" s="18" t="str">
        <x:v>Ley Orgánica 3/2018</x:v>
      </x:c>
      <x:c r="E123" s="18" t="str">
        <x:v>12</x:v>
      </x:c>
      <x:c r="F123" s="18" t="str"/>
      <x:c r="G123" s="18" t="str">
        <x:v>Artículos literales</x:v>
      </x:c>
      <x:c r="H123" s="18" t="str">
        <x:v>Según las disposiciones generales sobre el ejercicio de los derechos recogidas en el artículo 12 de la Ley Orgánica 3/2018, de 5 de diciembre, de Protección de Datos Personales y Garantía de los Derechos Digitales, señale la respuesta correcta:</x:v>
      </x:c>
      <x:c r="I123" s="18" t="str">
        <x:v>D</x:v>
      </x:c>
      <x:c r="J123" s="18" t="str">
        <x:v>Válida</x:v>
      </x:c>
    </x:row>
    <x:row r="124">
      <x:c r="A124" s="18" t="str">
        <x:v>2025_conv2024_ordinario_A-T23</x:v>
      </x:c>
      <x:c r="B124" s="18" t="n">
        <x:v>2025</x:v>
      </x:c>
      <x:c r="C124" s="18" t="str">
        <x:v>G23</x:v>
      </x:c>
      <x:c r="D124" s="18" t="str">
        <x:v>Ley 39/2015</x:v>
      </x:c>
      <x:c r="E124" s="18" t="str">
        <x:v>14</x:v>
      </x:c>
      <x:c r="F124" s="18" t="str"/>
      <x:c r="G124" s="18" t="str">
        <x:v>Procedimientos</x:v>
      </x:c>
      <x:c r="H124" s="18" t="str">
        <x:v>Según el artículo 14 de la Ley 39/2015, de 1 de octubre, del Procedimiento Administrativo Común de las Administraciones Públicas, serán sujetos obligados a relacionarse electrónicamente a través de medios electrónicos con las Administraciones Públicas para la realización de cualquier trámite de un procedimiento administrativo, señale la respuesta INCORRECTA:</x:v>
      </x:c>
      <x:c r="I124" s="18" t="str">
        <x:v>C</x:v>
      </x:c>
      <x:c r="J124" s="18" t="str">
        <x:v>Válida</x:v>
      </x:c>
    </x:row>
    <x:row r="125">
      <x:c r="A125" s="18" t="str">
        <x:v>2025_conv2024_ordinario_A-T26</x:v>
      </x:c>
      <x:c r="B125" s="18" t="n">
        <x:v>2025</x:v>
      </x:c>
      <x:c r="C125" s="18" t="str">
        <x:v>S02</x:v>
      </x:c>
      <x:c r="D125" s="18" t="str">
        <x:v>texto refundido de la Ley General de la Seguridad Social</x:v>
      </x:c>
      <x:c r="E125" s="18" t="str">
        <x:v>7</x:v>
      </x:c>
      <x:c r="F125" s="18" t="str"/>
      <x:c r="G125" s="18" t="str">
        <x:v>Artículos literales</x:v>
      </x:c>
      <x:c r="H125" s="18" t="str">
        <x:v>Según eI artículo 7 del texto refundido de la Ley General de la Seguridad Social, se encuentran comprendidos en el sistema de la Seguridad Social a efectos de las prestaciones contributivas, cualquiera que sea su sexo, estado civil y profesión, los españoles que residan en España y los extranjeros que residan o se encuentren legalmente en España, siempre que, en ambos supuestos, ejerzan su actividad en territorio nacional y estén incluidos en alguno de los apartados siguientes:</x:v>
      </x:c>
      <x:c r="I125" s="18" t="str">
        <x:v>D</x:v>
      </x:c>
      <x:c r="J125" s="18" t="str">
        <x:v>Válida</x:v>
      </x:c>
    </x:row>
    <x:row r="126">
      <x:c r="A126" s="18" t="str">
        <x:v>2025_conv2024_ordinario_A-T28</x:v>
      </x:c>
      <x:c r="B126" s="18" t="n">
        <x:v>2025</x:v>
      </x:c>
      <x:c r="C126" s="18" t="str">
        <x:v>S02</x:v>
      </x:c>
      <x:c r="D126" s="18" t="str">
        <x:v>texto refundido de la Ley General de la Seguridad Social</x:v>
      </x:c>
      <x:c r="E126" s="18" t="str">
        <x:v>14</x:v>
      </x:c>
      <x:c r="F126" s="18" t="str"/>
      <x:c r="G126" s="18" t="str">
        <x:v>Artículos literales</x:v>
      </x:c>
      <x:c r="H126" s="18" t="str">
        <x:v>Según eI artículo 14 del texto refundido de la Ley General de la Seguridad Social, los socios trabajadores de las cooperativas de trabajo asociado disfrutarán de los beneficios de la Seguridad Social, y estarán encuadrados en:</x:v>
      </x:c>
      <x:c r="I126" s="18" t="str">
        <x:v>D</x:v>
      </x:c>
      <x:c r="J126" s="18" t="str">
        <x:v>Válida</x:v>
      </x:c>
    </x:row>
    <x:row r="127">
      <x:c r="A127" s="18" t="str">
        <x:v>2025_conv2024_ordinario_A-T30</x:v>
      </x:c>
      <x:c r="B127" s="18" t="n">
        <x:v>2025</x:v>
      </x:c>
      <x:c r="C127" s="18" t="str">
        <x:v>S03</x:v>
      </x:c>
      <x:c r="D127" s="18" t="str">
        <x:v>Real Decreto 84/1996</x:v>
      </x:c>
      <x:c r="E127" s="18" t="str">
        <x:v>29</x:v>
      </x:c>
      <x:c r="F127" s="18" t="str"/>
      <x:c r="G127" s="18" t="str">
        <x:v>Afiliación, altas y bajas</x:v>
      </x:c>
      <x:c r="H127" s="18" t="str">
        <x:v>Según el artículo 29 del Real Decreto 84/1996, de 26 de enero, aunque el empresario incumpla con sus obligaciones respecto del alta, los trabajadores por cuenta ajena y asimilados incluidos en eI campo de aplicación de los regímenes del sistema de la Seguridad Social se considerarán, de pleno derecho, en situación de alta en ellos, a efectos de:</x:v>
      </x:c>
      <x:c r="I127" s="18" t="str">
        <x:v>B</x:v>
      </x:c>
      <x:c r="J127" s="18" t="str">
        <x:v>Válida</x:v>
      </x:c>
    </x:row>
    <x:row r="128">
      <x:c r="A128" s="18" t="str">
        <x:v>2025_conv2024_ordinario_A-T31</x:v>
      </x:c>
      <x:c r="B128" s="18" t="n">
        <x:v>2025</x:v>
      </x:c>
      <x:c r="C128" s="18" t="str">
        <x:v>S03</x:v>
      </x:c>
      <x:c r="D128" s="18" t="str">
        <x:v>Real Decreto 84/1996</x:v>
      </x:c>
      <x:c r="E128" s="18" t="str">
        <x:v>35</x:v>
      </x:c>
      <x:c r="F128" s="18" t="str"/>
      <x:c r="G128" s="18" t="str">
        <x:v>Plazos</x:v>
      </x:c>
      <x:c r="H128" s="18" t="str">
        <x:v>Según el artículo 35 del Real Decreto 84/1996, de 26 de enero, ¿Cuál es el efecto de las altas solicitadas fuera de plazo?</x:v>
      </x:c>
      <x:c r="I128" s="18" t="str">
        <x:v>A</x:v>
      </x:c>
      <x:c r="J128" s="18" t="str">
        <x:v>Válida</x:v>
      </x:c>
    </x:row>
    <x:row r="129">
      <x:c r="A129" s="18" t="str">
        <x:v>2025_conv2024_ordinario_A-T32</x:v>
      </x:c>
      <x:c r="B129" s="18" t="n">
        <x:v>2025</x:v>
      </x:c>
      <x:c r="C129" s="18" t="str">
        <x:v>S03</x:v>
      </x:c>
      <x:c r="D129" s="18" t="str">
        <x:v>Real Decreto 84/1996</x:v>
      </x:c>
      <x:c r="E129" s="18" t="str">
        <x:v>63</x:v>
      </x:c>
      <x:c r="F129" s="18" t="str"/>
      <x:c r="G129" s="18" t="str">
        <x:v>Plazos</x:v>
      </x:c>
      <x:c r="H129" s="18" t="str">
        <x:v>Según eI artículo 63 del Real Decreto 84/1996, de 26 de enero, exceptuando eI Convenio Especial ¿cuál es eI plazo para dictar resolución en los procedimientos relativos a la inscripción, afiliación, altas, bajas y variaciones de datos?</x:v>
      </x:c>
      <x:c r="I129" s="18" t="str">
        <x:v>C</x:v>
      </x:c>
      <x:c r="J129" s="18" t="str">
        <x:v>Válida</x:v>
      </x:c>
    </x:row>
    <x:row r="130">
      <x:c r="A130" s="18" t="str">
        <x:v>2025_conv2024_ordinario_A-T33</x:v>
      </x:c>
      <x:c r="B130" s="18" t="n">
        <x:v>2025</x:v>
      </x:c>
      <x:c r="C130" s="18" t="str">
        <x:v>S04</x:v>
      </x:c>
      <x:c r="D130" s="18" t="str">
        <x:v>Real Decreto 2064/1995</x:v>
      </x:c>
      <x:c r="E130" s="18" t="str">
        <x:v>57</x:v>
      </x:c>
      <x:c r="F130" s="18" t="str"/>
      <x:c r="G130" s="18" t="str">
        <x:v>Cotización</x:v>
      </x:c>
      <x:c r="H130" s="18" t="str">
        <x:v>De acuerdo con el artículo 57 del Real Decreto 2064/1995, de 22 de diciembre, por eI que se aprueba eI Reglamento General sobre Cotización y Liquidación de otros Derechos de la Seguridad Social, en eI Régimen Especial de la Minería de Carbón, la cotización adicional por horas extraordinarias:</x:v>
      </x:c>
      <x:c r="I130" s="18" t="str">
        <x:v>B</x:v>
      </x:c>
      <x:c r="J130" s="18" t="str">
        <x:v>Válida</x:v>
      </x:c>
    </x:row>
    <x:row r="131">
      <x:c r="A131" s="18" t="str">
        <x:v>2025_conv2024_ordinario_A-T34</x:v>
      </x:c>
      <x:c r="B131" s="18" t="n">
        <x:v>2025</x:v>
      </x:c>
      <x:c r="C131" s="18" t="str">
        <x:v>S04</x:v>
      </x:c>
      <x:c r="D131" s="18" t="str">
        <x:v>Real Decreto 2064/1995</x:v>
      </x:c>
      <x:c r="E131" s="18" t="str">
        <x:v>60</x:v>
      </x:c>
      <x:c r="F131" s="18" t="str"/>
      <x:c r="G131" s="18" t="str">
        <x:v>Cotización</x:v>
      </x:c>
      <x:c r="H131" s="18" t="str">
        <x:v>Conforme establece eI artículo 60 del Real Decreto 2064/1995, de 22 de diciembre, por eI que se aprueba el Reglamento General sobre Cotización y Liquidación de otros Derechos de la Seguridad Social, el objeto de la obligación de cotizar al Seguro Escolar comprenderá las aportaciones:</x:v>
      </x:c>
      <x:c r="I131" s="18" t="str">
        <x:v>A</x:v>
      </x:c>
      <x:c r="J131" s="18" t="str">
        <x:v>Válida</x:v>
      </x:c>
    </x:row>
    <x:row r="132">
      <x:c r="A132" s="18" t="str">
        <x:v>2025_conv2024_ordinario_A-T35</x:v>
      </x:c>
      <x:c r="B132" s="18" t="n">
        <x:v>2025</x:v>
      </x:c>
      <x:c r="C132" s="18" t="str">
        <x:v>S04</x:v>
      </x:c>
      <x:c r="D132" s="18" t="str">
        <x:v>texto refundido de la Ley General de la Seguridad Social</x:v>
      </x:c>
      <x:c r="E132" s="18" t="str">
        <x:v>34</x:v>
      </x:c>
      <x:c r="F132" s="18" t="str"/>
      <x:c r="G132" s="18" t="str">
        <x:v>Requisitos</x:v>
      </x:c>
      <x:c r="H132" s="18" t="str">
        <x:v>EI artículo 34 del texto refundido de la Ley General de la Seguridad Social, indica que las actas de liquidación extendidas con los requisitos reglamentariamente establecidos se elevarán a definitivas mediante acto administrativo de:</x:v>
      </x:c>
      <x:c r="I132" s="18" t="str">
        <x:v>C</x:v>
      </x:c>
      <x:c r="J132" s="18" t="str">
        <x:v>Válida</x:v>
      </x:c>
    </x:row>
    <x:row r="133">
      <x:c r="A133" s="18" t="str">
        <x:v>2025_conv2024_ordinario_A-T36</x:v>
      </x:c>
      <x:c r="B133" s="18" t="n">
        <x:v>2025</x:v>
      </x:c>
      <x:c r="C133" s="18" t="str">
        <x:v>S04</x:v>
      </x:c>
      <x:c r="D133" s="18" t="str">
        <x:v>Real Decreto 2064/1995</x:v>
      </x:c>
      <x:c r="E133" s="18" t="str">
        <x:v>45</x:v>
      </x:c>
      <x:c r="F133" s="18" t="str"/>
      <x:c r="G133" s="18" t="str">
        <x:v>Cotización</x:v>
      </x:c>
      <x:c r="H133" s="18" t="str">
        <x:v>¿Cuántas veces establece el artículo 45 del Real Decreto 2064/1995, de 22 de diciembre, por el que se aprueba el Reglamento General sobre Cotización y Liquidación de otros Derechos de la Seguridad Social, que eI trabajador incluido en el Régimen Especial de los trabajadores por Cuenta Propia o Autónomos, puede cambiar la base por la que vengan obligados a cotizar?</x:v>
      </x:c>
      <x:c r="I133" s="18" t="str">
        <x:v>B</x:v>
      </x:c>
      <x:c r="J133" s="18" t="str">
        <x:v>Válida</x:v>
      </x:c>
    </x:row>
    <x:row r="134">
      <x:c r="A134" s="18" t="str">
        <x:v>2025_conv2024_ordinario_A-T37</x:v>
      </x:c>
      <x:c r="B134" s="18" t="n">
        <x:v>2025</x:v>
      </x:c>
      <x:c r="C134" s="18" t="str">
        <x:v>S05</x:v>
      </x:c>
      <x:c r="D134" s="18" t="str">
        <x:v>Real Decreto 1415/2004</x:v>
      </x:c>
      <x:c r="E134" s="18" t="str">
        <x:v>2</x:v>
      </x:c>
      <x:c r="F134" s="18" t="str"/>
      <x:c r="G134" s="18" t="str">
        <x:v>Recaudación</x:v>
      </x:c>
      <x:c r="H134" s="18" t="str">
        <x:v>Conforme establece el artículo 2 del Reglamento General de Recaudación de la Seguridad Social, aprobado por el Real Decreto 1415/2004, de II de junio, la Tesorería General de la Seguridad Social lleva a cabo la gestión recaudatoria a través de:</x:v>
      </x:c>
      <x:c r="I134" s="18" t="str">
        <x:v>B</x:v>
      </x:c>
      <x:c r="J134" s="18" t="str">
        <x:v>Válida</x:v>
      </x:c>
    </x:row>
    <x:row r="135">
      <x:c r="A135" s="18" t="str">
        <x:v>2025_conv2024_ordinario_A-T38</x:v>
      </x:c>
      <x:c r="B135" s="18" t="n">
        <x:v>2025</x:v>
      </x:c>
      <x:c r="C135" s="18" t="str">
        <x:v>S05</x:v>
      </x:c>
      <x:c r="D135" s="18" t="str">
        <x:v>Real Decreto 1415/2004</x:v>
      </x:c>
      <x:c r="E135" s="18" t="str">
        <x:v>44</x:v>
      </x:c>
      <x:c r="F135" s="18" t="str"/>
      <x:c r="G135" s="18" t="str">
        <x:v>Recaudación</x:v>
      </x:c>
      <x:c r="H135" s="18" t="str">
        <x:v>Según establece eI artículo 44 del Reglamento General de Recaudación de la Seguridad Social, aprobado por eI Real Decreto 1415/2004, de II de junio, reconocida la procedencia de la devolución de un ingreso indebido de cuotas, el derecho a exigir su pago:</x:v>
      </x:c>
      <x:c r="I135" s="18" t="str">
        <x:v>C</x:v>
      </x:c>
      <x:c r="J135" s="18" t="str">
        <x:v>Válida</x:v>
      </x:c>
    </x:row>
    <x:row r="136">
      <x:c r="A136" s="18" t="str">
        <x:v>2025_conv2024_ordinario_A-T39</x:v>
      </x:c>
      <x:c r="B136" s="18" t="n">
        <x:v>2025</x:v>
      </x:c>
      <x:c r="C136" s="18" t="str">
        <x:v>S05</x:v>
      </x:c>
      <x:c r="D136" s="18" t="str">
        <x:v>Real Decreto 1415/2004</x:v>
      </x:c>
      <x:c r="E136" s="18" t="str">
        <x:v>32</x:v>
      </x:c>
      <x:c r="F136" s="18" t="str"/>
      <x:c r="G136" s="18" t="str">
        <x:v>Definiciones</x:v>
      </x:c>
      <x:c r="H136" s="18" t="str">
        <x:v>EI artículo 32 del Reglamento General de Recaudación de la Seguridad Social, aprobado por el Real Decreto 1415/2004, de II de junio, establece que las cantidades adeudadas en concepto de recargo sobre prestaciones económicas debidas a accidente de trabajo o enfermedad profesional originado por falta de medidas de seguridad e higiene en el trabajo, podrán ser objeto de aplazamiento siempre que se garantice:</x:v>
      </x:c>
      <x:c r="I136" s="18" t="str">
        <x:v>D</x:v>
      </x:c>
      <x:c r="J136" s="18" t="str">
        <x:v>Válida</x:v>
      </x:c>
    </x:row>
    <x:row r="137">
      <x:c r="A137" s="18" t="str">
        <x:v>2025_conv2024_ordinario_A-T40</x:v>
      </x:c>
      <x:c r="B137" s="18" t="n">
        <x:v>2025</x:v>
      </x:c>
      <x:c r="C137" s="18" t="str">
        <x:v>S05</x:v>
      </x:c>
      <x:c r="D137" s="18" t="str"/>
      <x:c r="E137" s="18" t="str">
        <x:v>65</x:v>
      </x:c>
      <x:c r="F137" s="18" t="str"/>
      <x:c r="G137" s="18" t="str">
        <x:v>Plazos</x:v>
      </x:c>
      <x:c r="H137" s="18" t="str">
        <x:v>Según establece el artículo 65 del Reglamento General de Recaudación de la Seguridad Social, aprobado por eI Real Decreto 141512004, de II de junio, la Inspección de Trabajo y Seguridad Social, en determinados supuestos, puede formular requerimientos a tos responsables del pago de cuotas adeudas por cualquier causa, previo reconocimiento de la deuda ante el funcionario actuante, y el ingreso se deberá de realizar en el plazo determinado por esta que:</x:v>
      </x:c>
      <x:c r="I137" s="18" t="str">
        <x:v>A</x:v>
      </x:c>
      <x:c r="J137" s="18" t="str">
        <x:v>Válida</x:v>
      </x:c>
    </x:row>
    <x:row r="138">
      <x:c r="A138" s="18" t="str">
        <x:v>2025_conv2024_ordinario_A-T41</x:v>
      </x:c>
      <x:c r="B138" s="18" t="n">
        <x:v>2025</x:v>
      </x:c>
      <x:c r="C138" s="18" t="str">
        <x:v>S06</x:v>
      </x:c>
      <x:c r="D138" s="18" t="str">
        <x:v>Real Decreto 1415/2004</x:v>
      </x:c>
      <x:c r="E138" s="18" t="str">
        <x:v>120</x:v>
      </x:c>
      <x:c r="F138" s="18" t="str"/>
      <x:c r="G138" s="18" t="str">
        <x:v>Recaudación ejecutiva</x:v>
      </x:c>
      <x:c r="H138" s="18" t="str">
        <x:v>Según establece el artículo 120 del Reglamento General de Recaudación de la Seguridad Social, aprobado por el Real Decreto 1415/2004, de 11 de junio, en el acto de celebración de subasta podrán presentarse posturas verbales iguales o superiores al:</x:v>
      </x:c>
      <x:c r="I138" s="18" t="str">
        <x:v>A</x:v>
      </x:c>
      <x:c r="J138" s="18" t="str">
        <x:v>Válida</x:v>
      </x:c>
    </x:row>
    <x:row r="139">
      <x:c r="A139" s="18" t="str">
        <x:v>2025_conv2024_ordinario_A-T42</x:v>
      </x:c>
      <x:c r="B139" s="18" t="n">
        <x:v>2025</x:v>
      </x:c>
      <x:c r="C139" s="18" t="str">
        <x:v>S06</x:v>
      </x:c>
      <x:c r="D139" s="18" t="str">
        <x:v>Real Decreto 1415/2004</x:v>
      </x:c>
      <x:c r="E139" s="18" t="str">
        <x:v>120</x:v>
      </x:c>
      <x:c r="F139" s="18" t="str"/>
      <x:c r="G139" s="18" t="str">
        <x:v>Recaudación ejecutiva</x:v>
      </x:c>
      <x:c r="H139" s="18" t="str">
        <x:v>EI artículo 120 del Reglamento General de Recaudación de la Seguridad Social, aprobado por eI Real Decreto 1415/2004, de 11 de junio, establece que en ei supuesto de bienes subastados objeto de una segunda subasta:</x:v>
      </x:c>
      <x:c r="I139" s="18" t="str">
        <x:v>B</x:v>
      </x:c>
      <x:c r="J139" s="18" t="str">
        <x:v>Válida</x:v>
      </x:c>
    </x:row>
    <x:row r="140">
      <x:c r="A140" s="18" t="str">
        <x:v>2025_conv2024_ordinario_A-T43</x:v>
      </x:c>
      <x:c r="B140" s="18" t="n">
        <x:v>2025</x:v>
      </x:c>
      <x:c r="C140" s="18" t="str">
        <x:v>S06</x:v>
      </x:c>
      <x:c r="D140" s="18" t="str">
        <x:v>Real Decreto 1415/2004</x:v>
      </x:c>
      <x:c r="E140" s="18" t="str">
        <x:v>117</x:v>
      </x:c>
      <x:c r="F140" s="18" t="str"/>
      <x:c r="G140" s="18" t="str">
        <x:v>Cálculos</x:v>
      </x:c>
      <x:c r="H140" s="18" t="str">
        <x:v>De acuerdo con el artículo 117 del Reglamento General de Recaudación de la Seguridad Social, aprobado por eI Real Decreto 1415/2004, de II de junio, eI licitador que resulte adjudicatario deberá abonar la diferencia entre e! precio de ta adjudicación y eI importe del depósito constituido en el plazo de:</x:v>
      </x:c>
      <x:c r="I140" s="18" t="str">
        <x:v>C</x:v>
      </x:c>
      <x:c r="J140" s="18" t="str">
        <x:v>Válida</x:v>
      </x:c>
    </x:row>
    <x:row r="141">
      <x:c r="A141" s="18" t="str">
        <x:v>2025_conv2024_ordinario_A-T44</x:v>
      </x:c>
      <x:c r="B141" s="18" t="n">
        <x:v>2025</x:v>
      </x:c>
      <x:c r="C141" s="18" t="str">
        <x:v>S06</x:v>
      </x:c>
      <x:c r="D141" s="18" t="str">
        <x:v>Real Decreto 1415/2004</x:v>
      </x:c>
      <x:c r="E141" s="18" t="str">
        <x:v>84</x:v>
      </x:c>
      <x:c r="F141" s="18" t="str"/>
      <x:c r="G141" s="18" t="str">
        <x:v>Plazos</x:v>
      </x:c>
      <x:c r="H141" s="18" t="str">
        <x:v>Según establece el artículo 84 del Reglamento General de Recaudación de la Seguridad Social, aprobado por eI Real Decreto 1415/2004, de II de junio, los intereses de demora devengados desde la finalización del plazo reglamentario de ingreso serán exigibles:</x:v>
      </x:c>
      <x:c r="I141" s="18" t="str">
        <x:v>D</x:v>
      </x:c>
      <x:c r="J141" s="18" t="str">
        <x:v>Válida</x:v>
      </x:c>
    </x:row>
    <x:row r="142">
      <x:c r="A142" s="18" t="str">
        <x:v>2025_conv2024_ordinario_A-T45</x:v>
      </x:c>
      <x:c r="B142" s="18" t="n">
        <x:v>2025</x:v>
      </x:c>
      <x:c r="C142" s="18" t="str">
        <x:v>S07</x:v>
      </x:c>
      <x:c r="D142" s="18" t="str">
        <x:v>texto refundido de la Ley General de la Seguridad Social</x:v>
      </x:c>
      <x:c r="E142" s="18" t="str">
        <x:v>61</x:v>
      </x:c>
      <x:c r="F142" s="18" t="str"/>
      <x:c r="G142" s="18" t="str">
        <x:v>Cálculos</x:v>
      </x:c>
      <x:c r="H142" s="18" t="str">
        <x:v>Según el artículo 61 del texto refundido de la Ley General de la Seguridad Social, eI importe mínimo mensual de las pensiones extraordinarias originadas por actos de terrorismo que se reconozcan y abonen por la Seguridad Social será equivalente:</x:v>
      </x:c>
      <x:c r="I142" s="18" t="str">
        <x:v>C</x:v>
      </x:c>
      <x:c r="J142" s="18" t="str">
        <x:v>Válida</x:v>
      </x:c>
    </x:row>
    <x:row r="143">
      <x:c r="A143" s="18" t="str">
        <x:v>2025_conv2024_ordinario_A-T46</x:v>
      </x:c>
      <x:c r="B143" s="18" t="n">
        <x:v>2025</x:v>
      </x:c>
      <x:c r="C143" s="18" t="str">
        <x:v>S07</x:v>
      </x:c>
      <x:c r="D143" s="18" t="str">
        <x:v>texto refundido de la Ley General de la Seguridad Social</x:v>
      </x:c>
      <x:c r="E143" s="18" t="str">
        <x:v>44; 607</x:v>
      </x:c>
      <x:c r="F143" s="18" t="str"/>
      <x:c r="G143" s="18" t="str">
        <x:v>Artículos literales</x:v>
      </x:c>
      <x:c r="H143" s="18" t="str">
        <x:v>En relación con eI embargo de prestaciones, el artículo 44 del texto refundido de la Ley General de la Seguridad Social remite a 10 establecido en la Ley de Enjuiciamiento Civil, que en su artículo 607 establece que, en eI caso de pensiones que sean superiores y hasta eI doble del salario mínimo interprofesional podrá embargarse (en la parte que excede SMI) eI siguiente porcentaje:</x:v>
      </x:c>
      <x:c r="I143" s="18" t="str">
        <x:v>A</x:v>
      </x:c>
      <x:c r="J143" s="18" t="str">
        <x:v>Válida</x:v>
      </x:c>
    </x:row>
    <x:row r="144">
      <x:c r="A144" s="18" t="str">
        <x:v>2025_conv2024_ordinario_A-T47</x:v>
      </x:c>
      <x:c r="B144" s="18" t="n">
        <x:v>2025</x:v>
      </x:c>
      <x:c r="C144" s="18" t="str">
        <x:v>S07</x:v>
      </x:c>
      <x:c r="D144" s="18" t="str">
        <x:v>texto refundido de la Ley General de la Seguridad Social</x:v>
      </x:c>
      <x:c r="E144" s="18" t="str">
        <x:v>54</x:v>
      </x:c>
      <x:c r="F144" s="18" t="str"/>
      <x:c r="G144" s="18" t="str">
        <x:v>Artículos literales</x:v>
      </x:c>
      <x:c r="H144" s="18" t="str">
        <x:v>Conforme al artículo 54 del texto refundido de la Ley General de la Seguridad Social, en el supuesto de prestaciones periódicas, el derecho al percibo de cada mensualidad caducará:</x:v>
      </x:c>
      <x:c r="I144" s="18" t="str">
        <x:v>B</x:v>
      </x:c>
      <x:c r="J144" s="18" t="str">
        <x:v>Válida</x:v>
      </x:c>
    </x:row>
    <x:row r="145">
      <x:c r="A145" s="18" t="str">
        <x:v>2025_conv2024_ordinario_A-T48</x:v>
      </x:c>
      <x:c r="B145" s="18" t="n">
        <x:v>2025</x:v>
      </x:c>
      <x:c r="C145" s="18" t="str">
        <x:v>S07</x:v>
      </x:c>
      <x:c r="D145" s="18" t="str">
        <x:v>texto refundido de la Ley General de la Seguridad Social</x:v>
      </x:c>
      <x:c r="E145" s="18" t="str">
        <x:v>58</x:v>
      </x:c>
      <x:c r="F145" s="18" t="str"/>
      <x:c r="G145" s="18" t="str">
        <x:v>Artículos literales</x:v>
      </x:c>
      <x:c r="H145" s="18" t="str">
        <x:v>De acuerdo con 10 previsto en el artículo 58 del texto refundido de la Ley General de la Seguridad Social, ¿cuándo se revalorizarán las pensiones contributivas?</x:v>
      </x:c>
      <x:c r="I145" s="18" t="str">
        <x:v>A</x:v>
      </x:c>
      <x:c r="J145" s="18" t="str">
        <x:v>Válida</x:v>
      </x:c>
    </x:row>
    <x:row r="146">
      <x:c r="A146" s="18" t="str">
        <x:v>2025_conv2024_ordinario_A-T49</x:v>
      </x:c>
      <x:c r="B146" s="18" t="n">
        <x:v>2025</x:v>
      </x:c>
      <x:c r="C146" s="18" t="str">
        <x:v>S08</x:v>
      </x:c>
      <x:c r="D146" s="18" t="str">
        <x:v>texto refundido de la Ley General de la Seguridad Social</x:v>
      </x:c>
      <x:c r="E146" s="18" t="str">
        <x:v>169</x:v>
      </x:c>
      <x:c r="F146" s="18" t="str"/>
      <x:c r="G146" s="18" t="str">
        <x:v>Incapacidad</x:v>
      </x:c>
      <x:c r="H146" s="18" t="str">
        <x:v>Según establece eI artículo 169 del texto refundido de la Ley General de la Seguridad Social, la gestación de la mujer trabajadora se considera una situación especial de incapacidad temporal:</x:v>
      </x:c>
      <x:c r="I146" s="18" t="str">
        <x:v>B</x:v>
      </x:c>
      <x:c r="J146" s="18" t="str">
        <x:v>Válida</x:v>
      </x:c>
    </x:row>
    <x:row r="147">
      <x:c r="A147" s="18" t="str">
        <x:v>2025_conv2024_ordinario_A-T50</x:v>
      </x:c>
      <x:c r="B147" s="18" t="n">
        <x:v>2025</x:v>
      </x:c>
      <x:c r="C147" s="18" t="str">
        <x:v>S08</x:v>
      </x:c>
      <x:c r="D147" s="18" t="str">
        <x:v>texto refundido de la Ley General de la Seguridad Social</x:v>
      </x:c>
      <x:c r="E147" s="18" t="str">
        <x:v>195</x:v>
      </x:c>
      <x:c r="F147" s="18" t="str">
        <x:v>31 años; 31 años de edad</x:v>
      </x:c>
      <x:c r="G147" s="18" t="str">
        <x:v>Requisitos</x:v>
      </x:c>
      <x:c r="H147" s="18" t="str">
        <x:v>EI artículo 195 del texto refundido de la Ley General de la Seguridad Social, establece que el periodo mínimo de cotización exigible para generar una pensión de incapacidad permanente cuando el sujeto tiene cumplidos 31 años de edad es:</x:v>
      </x:c>
      <x:c r="I147" s="18" t="str">
        <x:v>D</x:v>
      </x:c>
      <x:c r="J147" s="18" t="str">
        <x:v>Válida</x:v>
      </x:c>
    </x:row>
    <x:row r="148">
      <x:c r="A148" s="18" t="str">
        <x:v>2025_conv2024_ordinario_A-T51</x:v>
      </x:c>
      <x:c r="B148" s="18" t="n">
        <x:v>2025</x:v>
      </x:c>
      <x:c r="C148" s="18" t="str">
        <x:v>S05</x:v>
      </x:c>
      <x:c r="D148" s="18" t="str"/>
      <x:c r="E148" s="18" t="str">
        <x:v>14</x:v>
      </x:c>
      <x:c r="F148" s="18" t="str"/>
      <x:c r="G148" s="18" t="str">
        <x:v>Causas de suspensión</x:v>
      </x:c>
      <x:c r="H148" s="18" t="str">
        <x:v>De acuerdo con el artículo 14 del Reglamento General de Recaudación de la Seguridad Social, aprobado por eE Real Decreto 141512004, de II de junio, la alegación por el responsable subsidiario de la existencia de bienes realizables del deudor principal no producirá más efecto, en su caso, que la suspensión de la ejecución forzosa sobre eI patrimonio de aquél, hasta tanto se realicen dichos bienes y requerirá con carácter general:</x:v>
      </x:c>
      <x:c r="I148" s="18" t="str">
        <x:v>C</x:v>
      </x:c>
      <x:c r="J148" s="18" t="str">
        <x:v>Válida</x:v>
      </x:c>
    </x:row>
    <x:row r="149">
      <x:c r="A149" s="18" t="str">
        <x:v>2025_conv2024_ordinario_A-T52</x:v>
      </x:c>
      <x:c r="B149" s="18" t="n">
        <x:v>2025</x:v>
      </x:c>
      <x:c r="C149" s="18" t="str">
        <x:v>S08</x:v>
      </x:c>
      <x:c r="D149" s="18" t="str">
        <x:v>texto refundido de la Ley General de la Seguridad Social</x:v>
      </x:c>
      <x:c r="E149" s="18" t="str">
        <x:v>201</x:v>
      </x:c>
      <x:c r="F149" s="18" t="str"/>
      <x:c r="G149" s="18" t="str">
        <x:v>Incapacidad</x:v>
      </x:c>
      <x:c r="H149" s="18" t="str">
        <x:v>EI artículo 201 del texto refundido de la Ley General de la Seguridad Social define las lesiones permanentes no incapacitantes como aquellas lesiones, mutilaciones y deformidades:</x:v>
      </x:c>
      <x:c r="I149" s="18" t="str">
        <x:v>D</x:v>
      </x:c>
      <x:c r="J149" s="18" t="str">
        <x:v>Válida</x:v>
      </x:c>
    </x:row>
    <x:row r="150">
      <x:c r="A150" s="18" t="str">
        <x:v>2025_conv2024_ordinario_A-T53</x:v>
      </x:c>
      <x:c r="B150" s="18" t="n">
        <x:v>2025</x:v>
      </x:c>
      <x:c r="C150" s="18" t="str">
        <x:v>S09</x:v>
      </x:c>
      <x:c r="D150" s="18" t="str">
        <x:v>texto refundido de la Ley General de la Seguridad Social</x:v>
      </x:c>
      <x:c r="E150" s="18" t="str">
        <x:v>360</x:v>
      </x:c>
      <x:c r="F150" s="18" t="str"/>
      <x:c r="G150" s="18" t="str">
        <x:v>Cálculos</x:v>
      </x:c>
      <x:c r="H150" s="18" t="str">
        <x:v>Según el artículo 360 del texto refundido de la Ley General de la Seguridad Social, ¿cuál es la cuantía de la prestación económica por parto o adopción múltiples cuando eI número de hijos nacido o adoptados es de tres?</x:v>
      </x:c>
      <x:c r="I150" s="18" t="str">
        <x:v>D</x:v>
      </x:c>
      <x:c r="J150" s="18" t="str">
        <x:v>Válida</x:v>
      </x:c>
    </x:row>
    <x:row r="151">
      <x:c r="A151" s="18" t="str">
        <x:v>2025_conv2024_ordinario_A-T54</x:v>
      </x:c>
      <x:c r="B151" s="18" t="n">
        <x:v>2025</x:v>
      </x:c>
      <x:c r="C151" s="18" t="str">
        <x:v>S09</x:v>
      </x:c>
      <x:c r="D151" s="18" t="str"/>
      <x:c r="E151" s="18" t="str">
        <x:v>185</x:v>
      </x:c>
      <x:c r="F151" s="18" t="str">
        <x:v>100 por ciento</x:v>
      </x:c>
      <x:c r="G151" s="18" t="str">
        <x:v>Cálculos</x:v>
      </x:c>
      <x:c r="H151" s="18" t="str">
        <x:v>Tal y como se regula en el artículo 185 del texto refundido de la Ley Genera! de la Seguridad Social ¿cuál de las siguientes prestaciones económicas consiste en un subsidio equivalente al 100 por ciento de la base reguladora establecida para la prestación de incapacidad temporal derivada de contingencias comunes?:</x:v>
      </x:c>
      <x:c r="I151" s="18" t="str">
        <x:v>A</x:v>
      </x:c>
      <x:c r="J151" s="18" t="str">
        <x:v>Válida</x:v>
      </x:c>
    </x:row>
    <x:row r="152">
      <x:c r="A152" s="18" t="str">
        <x:v>2025_conv2024_ordinario_A-T55</x:v>
      </x:c>
      <x:c r="B152" s="18" t="n">
        <x:v>2025</x:v>
      </x:c>
      <x:c r="C152" s="18" t="str">
        <x:v>S09</x:v>
      </x:c>
      <x:c r="D152" s="18" t="str">
        <x:v>texto refundido de la Ley General de la Seguridad Social</x:v>
      </x:c>
      <x:c r="E152" s="18" t="str">
        <x:v>358</x:v>
      </x:c>
      <x:c r="F152" s="18" t="str">
        <x:v>65 por ciento</x:v>
      </x:c>
      <x:c r="G152" s="18" t="str">
        <x:v>Cálculos</x:v>
      </x:c>
      <x:c r="H152" s="18" t="str">
        <x:v>Conforme con eI artículo 358 del texto refundido de la Ley General de la Seguridad Social, ¿Cuál es la cuantía de la prestación económica en los casos de nacimiento o adopción de hijo en España en una familia numerosa o que, con tal motivo, adquiera dicha condición, en una familia monoparental o en los supuestos de madres o padres que tengan reconocido un grado de discapacidad igual o superior al 65 por ciento? :</x:v>
      </x:c>
      <x:c r="I152" s="18" t="str">
        <x:v>B</x:v>
      </x:c>
      <x:c r="J152" s="18" t="str">
        <x:v>Válida</x:v>
      </x:c>
    </x:row>
    <x:row r="153">
      <x:c r="A153" s="18" t="str">
        <x:v>2025_conv2024_ordinario_A-T56</x:v>
      </x:c>
      <x:c r="B153" s="18" t="n">
        <x:v>2025</x:v>
      </x:c>
      <x:c r="C153" s="18" t="str">
        <x:v>S09</x:v>
      </x:c>
      <x:c r="D153" s="18" t="str"/>
      <x:c r="E153" s="18" t="str">
        <x:v>48</x:v>
      </x:c>
      <x:c r="F153" s="18" t="str"/>
      <x:c r="G153" s="18" t="str">
        <x:v>Plazos</x:v>
      </x:c>
      <x:c r="H153" s="18" t="str">
        <x:v>EI artículo 48 del texto refundido de la Ley del Estatuto de los Trabajadores establece que en los casos de parto prematuro con falta de peso y en aquellos otros en que el neonato precise, por alguna condición clínica, hospitalización a continuación del parto, por un período superior a siete días, ¿en cuantos días se ampliará el período de suspensión con reserva de puesto de trabajo?:</x:v>
      </x:c>
      <x:c r="I153" s="18" t="str">
        <x:v>B</x:v>
      </x:c>
      <x:c r="J153" s="18" t="str">
        <x:v>Válida</x:v>
      </x:c>
    </x:row>
    <x:row r="154">
      <x:c r="A154" s="18" t="str">
        <x:v>2025_conv2024_ordinario_A-T57</x:v>
      </x:c>
      <x:c r="B154" s="18" t="n">
        <x:v>2025</x:v>
      </x:c>
      <x:c r="C154" s="18" t="str">
        <x:v>S10</x:v>
      </x:c>
      <x:c r="D154" s="18" t="str"/>
      <x:c r="E154" s="18" t="str">
        <x:v>215</x:v>
      </x:c>
      <x:c r="F154" s="18" t="str"/>
      <x:c r="G154" s="18" t="str">
        <x:v>Jubilación</x:v>
      </x:c>
      <x:c r="H154" s="18" t="str">
        <x:v>En la jubilación anticipada regulada en el artículo 215 del texto refundido de ta Ley General de la Seguridad Social, para poder acceder a la misma sin necesidad de la celebración simultánea de un contrato de relevo, entre otros requisitas:</x:v>
      </x:c>
      <x:c r="I154" s="18" t="str">
        <x:v>A</x:v>
      </x:c>
      <x:c r="J154" s="18" t="str">
        <x:v>Válida</x:v>
      </x:c>
    </x:row>
    <x:row r="155">
      <x:c r="A155" s="18" t="str">
        <x:v>2025_conv2024_ordinario_A-T58</x:v>
      </x:c>
      <x:c r="B155" s="18" t="n">
        <x:v>2025</x:v>
      </x:c>
      <x:c r="C155" s="18" t="str">
        <x:v>S10</x:v>
      </x:c>
      <x:c r="D155" s="18" t="str"/>
      <x:c r="E155" s="18" t="str">
        <x:v>212</x:v>
      </x:c>
      <x:c r="F155" s="18" t="str"/>
      <x:c r="G155" s="18" t="str">
        <x:v>Jubilación</x:v>
      </x:c>
      <x:c r="H155" s="18" t="str">
        <x:v>Según el artículo 212 del texto refundida de la Ley General de la Seguridad Social, eI derecho al reconocimiento de la pensión de jubilación:</x:v>
      </x:c>
      <x:c r="I155" s="18" t="str">
        <x:v>A</x:v>
      </x:c>
      <x:c r="J155" s="18" t="str">
        <x:v>Válida</x:v>
      </x:c>
    </x:row>
    <x:row r="156">
      <x:c r="A156" s="18" t="str">
        <x:v>2025_conv2024_ordinario_A-T59</x:v>
      </x:c>
      <x:c r="B156" s="18" t="n">
        <x:v>2025</x:v>
      </x:c>
      <x:c r="C156" s="18" t="str">
        <x:v>S06</x:v>
      </x:c>
      <x:c r="D156" s="18" t="str">
        <x:v>Real Decreto 1415/2004</x:v>
      </x:c>
      <x:c r="E156" s="18" t="str">
        <x:v>124</x:v>
      </x:c>
      <x:c r="F156" s="18" t="str"/>
      <x:c r="G156" s="18" t="str">
        <x:v>Recaudación ejecutiva</x:v>
      </x:c>
      <x:c r="H156" s="18" t="str">
        <x:v>Según el artículo 124 del Reglamento General de Recaudación de Ea Seguridad Social, aprobado por ei Real Decreto 1415/2004, de 11 de junio, a efectos de su vagoración, la adjudicación de bienes a la Tesorería General de la Seguridad Sociae se realizará por valor igual:</x:v>
      </x:c>
      <x:c r="I156" s="18" t="str">
        <x:v>B</x:v>
      </x:c>
      <x:c r="J156" s="18" t="str">
        <x:v>Válida</x:v>
      </x:c>
    </x:row>
    <x:row r="157">
      <x:c r="A157" s="18" t="str">
        <x:v>2025_conv2024_ordinario_A-T60</x:v>
      </x:c>
      <x:c r="B157" s="18" t="n">
        <x:v>2025</x:v>
      </x:c>
      <x:c r="C157" s="18" t="str">
        <x:v>S11</x:v>
      </x:c>
      <x:c r="D157" s="18" t="str">
        <x:v>texto refundido de la Ley General de la Seguridad Social</x:v>
      </x:c>
      <x:c r="E157" s="18" t="str">
        <x:v>224</x:v>
      </x:c>
      <x:c r="F157" s="18" t="str"/>
      <x:c r="G157" s="18" t="str">
        <x:v>Cálculos</x:v>
      </x:c>
      <x:c r="H157" s="18" t="str">
        <x:v>En eI supuesto de que hubiera más de una persona beneficiaria de la prestación de orfandad, de acuerdo con el artículo 224 del texto refundido de la Ley General de la Seguridad Social, el importe conjunto de la misma podrá situarse:</x:v>
      </x:c>
      <x:c r="I157" s="18" t="str">
        <x:v>C</x:v>
      </x:c>
      <x:c r="J157" s="18" t="str">
        <x:v>Válida</x:v>
      </x:c>
    </x:row>
    <x:row r="158">
      <x:c r="A158" s="18" t="str">
        <x:v>2025_conv2024_ordinario_A-T61</x:v>
      </x:c>
      <x:c r="B158" s="18" t="n">
        <x:v>2025</x:v>
      </x:c>
      <x:c r="C158" s="18" t="str">
        <x:v>S11</x:v>
      </x:c>
      <x:c r="D158" s="18" t="str"/>
      <x:c r="E158" s="18" t="str">
        <x:v>231</x:v>
      </x:c>
      <x:c r="F158" s="18" t="str"/>
      <x:c r="G158" s="18" t="str">
        <x:v>Muerte y supervivencia</x:v>
      </x:c>
      <x:c r="H158" s="18" t="str">
        <x:v>La entidad gestora podrá revisar, por sí misma, según ei artículo 231 del texto refundido de la Ley General de ia Seguridad Social, ia resolución por la cual hubiera reconocido el derecho a una prestación de muerte y supervivencia a quien fuera condenado por sentencia firme en e! supuesto indicado. Esta facultad de revisión de oficio estará sujeta a:</x:v>
      </x:c>
      <x:c r="I158" s="18" t="str">
        <x:v>D</x:v>
      </x:c>
      <x:c r="J158" s="18" t="str">
        <x:v>Válida</x:v>
      </x:c>
    </x:row>
    <x:row r="159">
      <x:c r="A159" s="18" t="str">
        <x:v>2025_conv2024_ordinario_A-T62</x:v>
      </x:c>
      <x:c r="B159" s="18" t="n">
        <x:v>2025</x:v>
      </x:c>
      <x:c r="C159" s="18" t="str">
        <x:v>S11</x:v>
      </x:c>
      <x:c r="D159" s="18" t="str"/>
      <x:c r="E159" s="18" t="str">
        <x:v>2</x:v>
      </x:c>
      <x:c r="F159" s="18" t="str"/>
      <x:c r="G159" s="18" t="str">
        <x:v>Muerte y supervivencia</x:v>
      </x:c>
      <x:c r="H159" s="18" t="str">
        <x:v>Se considerará situación asimilada a Ea de afta según el artículo 2 de la Orden de 13 de febrero de 1967, a efectos de causar has prestaciones de muerte y supervivencia, siempre que concurran en ella las condiciones que se determinen en las disposiciones de aplicación y desarrollo relativas a la acción protectora del Régimen General de ka Seguridad Social:</x:v>
      </x:c>
      <x:c r="I159" s="18" t="str">
        <x:v>ANULADA</x:v>
      </x:c>
      <x:c r="J159" s="18" t="str">
        <x:v>Anulada</x:v>
      </x:c>
    </x:row>
    <x:row r="160">
      <x:c r="A160" s="18" t="str">
        <x:v>2025_conv2024_ordinario_A-T63</x:v>
      </x:c>
      <x:c r="B160" s="18" t="n">
        <x:v>2025</x:v>
      </x:c>
      <x:c r="C160" s="18" t="str">
        <x:v>S12</x:v>
      </x:c>
      <x:c r="D160" s="18" t="str">
        <x:v>Real Decreto 8/2003</x:v>
      </x:c>
      <x:c r="E160" s="18" t="str">
        <x:v>7</x:v>
      </x:c>
      <x:c r="F160" s="18" t="str"/>
      <x:c r="G160" s="18" t="str">
        <x:v>Prestaciones no contributivas</x:v>
      </x:c>
      <x:c r="H160" s="18" t="str">
        <x:v>Conforme eE artículo 7 del Real Decreto 8/2003, de II de enero, por eI que se regula Ea prestación por razón de necesidad a favor de los españoles residentes en ef exterior y retornados, la base de cálculo de las prestaciones económicas correspondiente a cada país de residencia se fijará de acuerdo con los indicadores económicos y de protección socia/ de cada país de residencia. A estos efectos, señale cuál de los siguientes indicadores económicos NO se tendrán en cuenta:</x:v>
      </x:c>
      <x:c r="I160" s="18" t="str">
        <x:v>C</x:v>
      </x:c>
      <x:c r="J160" s="18" t="str">
        <x:v>Válida</x:v>
      </x:c>
    </x:row>
    <x:row r="161">
      <x:c r="A161" s="18" t="str">
        <x:v>2025_conv2024_ordinario_A-T64</x:v>
      </x:c>
      <x:c r="B161" s="18" t="n">
        <x:v>2025</x:v>
      </x:c>
      <x:c r="C161" s="18" t="str">
        <x:v>S12</x:v>
      </x:c>
      <x:c r="D161" s="18" t="str">
        <x:v>Ley 19/2021</x:v>
      </x:c>
      <x:c r="E161" s="18" t="str">
        <x:v>4</x:v>
      </x:c>
      <x:c r="F161" s="18" t="str"/>
      <x:c r="G161" s="18" t="str">
        <x:v>Prestaciones no contributivas</x:v>
      </x:c>
      <x:c r="H161" s="18" t="str">
        <x:v>EI artículo 4 de la Ley 19/2021, de 20 de diciembre, que regula el ingreso mínimo vital, establece que podrán ser beneficiaros de esta prestación:</x:v>
      </x:c>
      <x:c r="I161" s="18" t="str">
        <x:v>B</x:v>
      </x:c>
      <x:c r="J161" s="18" t="str">
        <x:v>Válida</x:v>
      </x:c>
    </x:row>
    <x:row r="162">
      <x:c r="A162" s="18" t="str">
        <x:v>2025_conv2024_ordinario_A-T65</x:v>
      </x:c>
      <x:c r="B162" s="18" t="n">
        <x:v>2025</x:v>
      </x:c>
      <x:c r="C162" s="18" t="str">
        <x:v>S11</x:v>
      </x:c>
      <x:c r="D162" s="18" t="str"/>
      <x:c r="E162" s="18" t="str">
        <x:v>9</x:v>
      </x:c>
      <x:c r="F162" s="18" t="str"/>
      <x:c r="G162" s="18" t="str">
        <x:v>Cálculos</x:v>
      </x:c>
      <x:c r="H162" s="18" t="str">
        <x:v>Según el artículo 9 de la Orden de 13 de febrero de 1967 cuando el causante fuese trabajador en activo o se encontrase en situación asimilada al alta, al tiempo de su fallecimiento, y éste no sea debido a accidente de trabajo o enfermedad profesional, la base reguladora será eI cociente que resulte de dividir por veintiocho la suma de las bases de cotización del causante durante un período ininterrumpido de veinticuatro meses naturales aun cuando dentro del mismo existan lapsos en los que no haya habido obligación de cotizar. Dicho periodo de veinticuatro meses:</x:v>
      </x:c>
      <x:c r="I162" s="18" t="str">
        <x:v>ANULADA</x:v>
      </x:c>
      <x:c r="J162" s="18" t="str">
        <x:v>Anulada</x:v>
      </x:c>
    </x:row>
    <x:row r="163">
      <x:c r="A163" s="18" t="str">
        <x:v>2025_conv2024_ordinario_A-T66</x:v>
      </x:c>
      <x:c r="B163" s="18" t="n">
        <x:v>2025</x:v>
      </x:c>
      <x:c r="C163" s="18" t="str">
        <x:v>S12</x:v>
      </x:c>
      <x:c r="D163" s="18" t="str">
        <x:v>Ley 19/2021</x:v>
      </x:c>
      <x:c r="E163" s="18" t="str">
        <x:v>13</x:v>
      </x:c>
      <x:c r="F163" s="18" t="str"/>
      <x:c r="G163" s="18" t="str">
        <x:v>Cálculos</x:v>
      </x:c>
      <x:c r="H163" s="18" t="str">
        <x:v>EI artículo 13 de la Ley 19/2021, de 20 de diciembre, por la que se establece el ingreso mínimo vital, dispone que la cuantía mensual de la prestación que corresponde a la persona beneficiaria individual o a la unidad de convivencia vendrá determinada por la diferencia entre la cuantía de la renta garantizada, y eI conjunto de todas las rentas e ingresos de la persona beneficiaria o de los miembros que componen esa unidad de convivencia del ejercicio anterior, siempre que la cuantía resultante sea igual o superior a 10 euros mensuales. Señale la respuesta correcta:</x:v>
      </x:c>
      <x:c r="I163" s="18" t="str">
        <x:v>C</x:v>
      </x:c>
      <x:c r="J163" s="18" t="str">
        <x:v>Válida</x:v>
      </x:c>
    </x:row>
    <x:row r="164">
      <x:c r="A164" s="18" t="str">
        <x:v>2025_conv2024_ordinario_A-T67</x:v>
      </x:c>
      <x:c r="B164" s="18" t="n">
        <x:v>2025</x:v>
      </x:c>
      <x:c r="C164" s="18" t="str">
        <x:v>S12</x:v>
      </x:c>
      <x:c r="D164" s="18" t="str">
        <x:v>texto refundido de la Ley General de la Seguridad Social</x:v>
      </x:c>
      <x:c r="E164" s="18" t="str">
        <x:v>363</x:v>
      </x:c>
      <x:c r="F164" s="18" t="str"/>
      <x:c r="G164" s="18" t="str">
        <x:v>Personas beneficiarias</x:v>
      </x:c>
      <x:c r="H164" s="18" t="str">
        <x:v>De acuerdo con eI artículo 363 del texto refundido de la Ley General de la Seguridad Social, uno de los requisitos para ser beneficiario de la prestación de incapacidad no contributiva es carecer de rentas o ingresos suficientes. A este respecto, señale la afirmación correcta respecto al límite de acumulación de recursos:</x:v>
      </x:c>
      <x:c r="I164" s="18" t="str">
        <x:v>D</x:v>
      </x:c>
      <x:c r="J164" s="18" t="str">
        <x:v>Válida</x:v>
      </x:c>
    </x:row>
    <x:row r="165">
      <x:c r="A165" s="18" t="str">
        <x:v>2025_conv2024_ordinario_A-T68</x:v>
      </x:c>
      <x:c r="B165" s="18" t="n">
        <x:v>2025</x:v>
      </x:c>
      <x:c r="C165" s="18" t="str">
        <x:v>S13</x:v>
      </x:c>
      <x:c r="D165" s="18" t="str">
        <x:v>texto refundido de la Ley General de la Seguridad Social</x:v>
      </x:c>
      <x:c r="E165" s="18" t="str">
        <x:v>123</x:v>
      </x:c>
      <x:c r="F165" s="18" t="str"/>
      <x:c r="G165" s="18" t="str">
        <x:v>Artículos literales</x:v>
      </x:c>
      <x:c r="H165" s="18" t="str">
        <x:v>Según el artículo 123 del texto refundido de la Ley General de la Seguridad Social, en relación con eI Comité de Gestión del Fondo de Reserva de la Seguridad Social:</x:v>
      </x:c>
      <x:c r="I165" s="18" t="str">
        <x:v>A</x:v>
      </x:c>
      <x:c r="J165" s="18" t="str">
        <x:v>Válida</x:v>
      </x:c>
    </x:row>
    <x:row r="166">
      <x:c r="A166" s="18" t="str">
        <x:v>2025_conv2024_ordinario_A-T69</x:v>
      </x:c>
      <x:c r="B166" s="18" t="n">
        <x:v>2025</x:v>
      </x:c>
      <x:c r="C166" s="18" t="str">
        <x:v>S13</x:v>
      </x:c>
      <x:c r="D166" s="18" t="str"/>
      <x:c r="E166" s="18" t="str">
        <x:v>12</x:v>
      </x:c>
      <x:c r="F166" s="18" t="str"/>
      <x:c r="G166" s="18" t="str">
        <x:v>Artículos literales</x:v>
      </x:c>
      <x:c r="H166" s="18" t="str">
        <x:v>De conformidad con el artículo 12 bis del Real Decreto 122111992, de 9 de octubre, ¿a quién compete adscribir los bienes inmuebles del patrimonio de la Seguridad Social a otras administraciones públicas o a entidades de derecho público con personalidad jurídica propia o vinculadas o dependientes de las mismas, distintas de las entidades gestoras y los servicios comunes de la Seguridad Social, para el cumplimiento de sus fines propios, que se presumen de utilidad pública?</x:v>
      </x:c>
      <x:c r="I166" s="18" t="str">
        <x:v>B</x:v>
      </x:c>
      <x:c r="J166" s="18" t="str">
        <x:v>Válida</x:v>
      </x:c>
    </x:row>
    <x:row r="167">
      <x:c r="A167" s="18" t="str">
        <x:v>2025_conv2024_ordinario_A-T70</x:v>
      </x:c>
      <x:c r="B167" s="18" t="n">
        <x:v>2025</x:v>
      </x:c>
      <x:c r="C167" s="18" t="str">
        <x:v>S13</x:v>
      </x:c>
      <x:c r="D167" s="18" t="str">
        <x:v>Real Decreto 1221/1992</x:v>
      </x:c>
      <x:c r="E167" s="18" t="str">
        <x:v>18</x:v>
      </x:c>
      <x:c r="F167" s="18" t="str"/>
      <x:c r="G167" s="18" t="str">
        <x:v>Artículos literales</x:v>
      </x:c>
      <x:c r="H167" s="18" t="str">
        <x:v>De conformidad con eI artículo 18 del Real Decreto 1221/1992, de 9 de octubre, sobre el patrimonio de la Seguridad Social:</x:v>
      </x:c>
      <x:c r="I167" s="18" t="str">
        <x:v>D</x:v>
      </x:c>
      <x:c r="J167" s="18" t="str">
        <x:v>Válida</x:v>
      </x:c>
    </x:row>
    <x:row r="168">
      <x:c r="A168" s="18" t="str">
        <x:v>2025_conv2024_ordinario_A-T71</x:v>
      </x:c>
      <x:c r="B168" s="18" t="n">
        <x:v>2025</x:v>
      </x:c>
      <x:c r="C168" s="18" t="str">
        <x:v>G06</x:v>
      </x:c>
      <x:c r="D168" s="18" t="str">
        <x:v>Constitución Española</x:v>
      </x:c>
      <x:c r="E168" s="18" t="str">
        <x:v>122</x:v>
      </x:c>
      <x:c r="F168" s="18" t="str"/>
      <x:c r="G168" s="18" t="str">
        <x:v>Artículos literales</x:v>
      </x:c>
      <x:c r="H168" s="18" t="str">
        <x:v>De acuerdo con 10 establecido en el artículo 122 de la Constitución Española, el Consejo General del Poder Judicial:</x:v>
      </x:c>
      <x:c r="I168" s="18" t="str">
        <x:v>D</x:v>
      </x:c>
      <x:c r="J168" s="18" t="str">
        <x:v>Válida</x:v>
      </x:c>
    </x:row>
    <x:row r="169">
      <x:c r="A169" s="18" t="str">
        <x:v>2025_conv2024_ordinario_A-T72</x:v>
      </x:c>
      <x:c r="B169" s="18" t="n">
        <x:v>2025</x:v>
      </x:c>
      <x:c r="C169" s="18" t="str">
        <x:v>S10</x:v>
      </x:c>
      <x:c r="D169" s="18" t="str">
        <x:v>texto refundido de la Ley General de la Seguridad Social</x:v>
      </x:c>
      <x:c r="E169" s="18" t="str">
        <x:v>205</x:v>
      </x:c>
      <x:c r="F169" s="18" t="str"/>
      <x:c r="G169" s="18" t="str">
        <x:v>Jubilación</x:v>
      </x:c>
      <x:c r="H169" s="18" t="str">
        <x:v>Según el artículo 205 del texto refundido de la Ley General de la Seguridad Social y en relación con la pensión de jubilación en su modalidad contributiva, a efectos del cómputo de los años cotizados:</x:v>
      </x:c>
      <x:c r="I169" s="18" t="str">
        <x:v>A</x:v>
      </x:c>
      <x:c r="J169" s="18" t="str">
        <x:v>Válida</x:v>
      </x:c>
    </x:row>
    <x:row r="170">
      <x:c r="A170" s="18" t="str">
        <x:v>2025_conv2024_ordinario_A-P11</x:v>
      </x:c>
      <x:c r="B170" s="18" t="n">
        <x:v>2025</x:v>
      </x:c>
      <x:c r="C170" s="18" t="str">
        <x:v>S09</x:v>
      </x:c>
      <x:c r="D170" s="18" t="str"/>
      <x:c r="E170" s="18" t="str"/>
      <x:c r="F170" s="18" t="str">
        <x:v>18 años</x:v>
      </x:c>
      <x:c r="G170" s="18" t="str">
        <x:v>Cálculos</x:v>
      </x:c>
      <x:c r="H170" s="18" t="str">
        <x:v>A efectos de la prestación económica por cuidado de hijos menores de 18 años, afectados por cáncer u otra enfermedad grave ¿qué cuantía podría percibir?</x:v>
      </x:c>
      <x:c r="I170" s="18" t="str">
        <x:v>C</x:v>
      </x:c>
      <x:c r="J170" s="18" t="str">
        <x:v>Válida</x:v>
      </x:c>
    </x:row>
    <x:row r="171">
      <x:c r="A171" s="18" t="str">
        <x:v>2025_conv2024_ordinario_A-P17</x:v>
      </x:c>
      <x:c r="B171" s="18" t="n">
        <x:v>2025</x:v>
      </x:c>
      <x:c r="C171" s="18" t="str">
        <x:v>S08</x:v>
      </x:c>
      <x:c r="D171" s="18" t="str"/>
      <x:c r="E171" s="18" t="str"/>
      <x:c r="F171" s="18" t="str">
        <x:v>60 días</x:v>
      </x:c>
      <x:c r="G171" s="18" t="str">
        <x:v>Plazos</x:v>
      </x:c>
      <x:c r="H171" s="18" t="str">
        <x:v>Victoria trabaja como fisioterapeuta por cuenta ajena. Tras una caída esquiando, se ha fracturado eI cúbito y eI radio del brazo derecho. EI facultativo médico ha estimado un periodo de duración de baja médica de 60 días naturales. La baja inicial es del día 10 de enero de 2025 y se ha extendido parte de confirmación de la misma eI día 16 de enero de 2025. Después de este primer parte de confirmación, los sucesivos que deban emitirse, no podrán emitirse con una diferencia de más de:</x:v>
      </x:c>
      <x:c r="I171" s="18" t="str">
        <x:v>C</x:v>
      </x:c>
      <x:c r="J171" s="18" t="str">
        <x:v>Válida</x:v>
      </x:c>
    </x:row>
    <x:row r="172">
      <x:c r="A172" s="18" t="str">
        <x:v>2025_conv2024_ordinario_A-P18</x:v>
      </x:c>
      <x:c r="B172" s="18" t="n">
        <x:v>2025</x:v>
      </x:c>
      <x:c r="C172" s="18" t="str">
        <x:v>S08</x:v>
      </x:c>
      <x:c r="D172" s="18" t="str"/>
      <x:c r="E172" s="18" t="str"/>
      <x:c r="F172" s="18" t="str">
        <x:v>365 días</x:v>
      </x:c>
      <x:c r="G172" s="18" t="str">
        <x:v>Plazos</x:v>
      </x:c>
      <x:c r="H172" s="18" t="str">
        <x:v>Eduardo se encuentra en un proceso de incapacidad temporal como consecuencia de un accidente de tráfico desde el 5 de mayo de 2024. Una vez agotado eI plazo de duración de 365 días, la inspección médica del INSS ha emitido eI alta médica por mejoría que permite la reincorporación médica al trabajo. Eduardo no está conforme con el alta médica, ¿puede manifestar su disconformidad ante la inspección médica del servicio público de salud?</x:v>
      </x:c>
      <x:c r="I172" s="18" t="str">
        <x:v>B</x:v>
      </x:c>
      <x:c r="J172" s="18" t="str">
        <x:v>Válida</x:v>
      </x:c>
    </x:row>
    <x:row r="173">
      <x:c r="A173" s="18" t="str">
        <x:v>2025_conv2024_extraordinario-T03</x:v>
      </x:c>
      <x:c r="B173" s="18" t="n">
        <x:v>2025</x:v>
      </x:c>
      <x:c r="C173" s="18" t="str">
        <x:v>G03</x:v>
      </x:c>
      <x:c r="D173" s="18" t="str">
        <x:v>Ley Orgánica 2/1979</x:v>
      </x:c>
      <x:c r="E173" s="18" t="str">
        <x:v>12</x:v>
      </x:c>
      <x:c r="F173" s="18" t="str"/>
      <x:c r="G173" s="18" t="str">
        <x:v>Artículos literales</x:v>
      </x:c>
      <x:c r="H173" s="18" t="str">
        <x:v>Según el artículo 12 de la Ley Orgánica 2/1979, de 3 de octubre, del Tribunal Constitucional, señale la afirmación correcta:</x:v>
      </x:c>
      <x:c r="I173" s="18" t="str">
        <x:v>B</x:v>
      </x:c>
      <x:c r="J173" s="18" t="str">
        <x:v>Válida</x:v>
      </x:c>
    </x:row>
    <x:row r="174">
      <x:c r="A174" s="18" t="str">
        <x:v>2025_conv2024_extraordinario-T04</x:v>
      </x:c>
      <x:c r="B174" s="18" t="n">
        <x:v>2025</x:v>
      </x:c>
      <x:c r="C174" s="18" t="str">
        <x:v>G04</x:v>
      </x:c>
      <x:c r="D174" s="18" t="str">
        <x:v>Constitución Española</x:v>
      </x:c>
      <x:c r="E174" s="18" t="str">
        <x:v>58</x:v>
      </x:c>
      <x:c r="F174" s="18" t="str"/>
      <x:c r="G174" s="18" t="str">
        <x:v>Artículos literales</x:v>
      </x:c>
      <x:c r="H174" s="18" t="str">
        <x:v>De acuerdo con lo establecido en el artículo 58 de la Constitución Española, la Reina consorte o el consorte de la Reina:</x:v>
      </x:c>
      <x:c r="I174" s="18" t="str">
        <x:v>C</x:v>
      </x:c>
      <x:c r="J174" s="18" t="str">
        <x:v>Válida</x:v>
      </x:c>
    </x:row>
    <x:row r="175">
      <x:c r="A175" s="18" t="str">
        <x:v>2025_conv2024_extraordinario-T05</x:v>
      </x:c>
      <x:c r="B175" s="18" t="n">
        <x:v>2025</x:v>
      </x:c>
      <x:c r="C175" s="18" t="str">
        <x:v>G05</x:v>
      </x:c>
      <x:c r="D175" s="18" t="str">
        <x:v>Constitución Española</x:v>
      </x:c>
      <x:c r="E175" s="18" t="str">
        <x:v>54</x:v>
      </x:c>
      <x:c r="F175" s="18" t="str"/>
      <x:c r="G175" s="18" t="str">
        <x:v>Artículos literales</x:v>
      </x:c>
      <x:c r="H175" s="18" t="str">
        <x:v>De acuerdo con lo establecido en el artículo 54 de la Constitución Española, ¿mediante qué tipo de norma se regulará la Institución del Defensor del Pueblo?:</x:v>
      </x:c>
      <x:c r="I175" s="18" t="str">
        <x:v>C</x:v>
      </x:c>
      <x:c r="J175" s="18" t="str">
        <x:v>Válida</x:v>
      </x:c>
    </x:row>
    <x:row r="176">
      <x:c r="A176" s="18" t="str">
        <x:v>2025_conv2024_extraordinario-T06</x:v>
      </x:c>
      <x:c r="B176" s="18" t="n">
        <x:v>2025</x:v>
      </x:c>
      <x:c r="C176" s="18" t="str">
        <x:v>G06</x:v>
      </x:c>
      <x:c r="D176" s="18" t="str">
        <x:v>Constitución Española</x:v>
      </x:c>
      <x:c r="E176" s="18" t="str">
        <x:v>125</x:v>
      </x:c>
      <x:c r="F176" s="18" t="str"/>
      <x:c r="G176" s="18" t="str">
        <x:v>Artículos literales</x:v>
      </x:c>
      <x:c r="H176" s="18" t="str">
        <x:v>De acuerdo con lo establecido en el artículo 125 de la Constitución Española, los ciudadanos :</x:v>
      </x:c>
      <x:c r="I176" s="18" t="str">
        <x:v>B</x:v>
      </x:c>
      <x:c r="J176" s="18" t="str">
        <x:v>Válida</x:v>
      </x:c>
    </x:row>
    <x:row r="177">
      <x:c r="A177" s="18" t="str">
        <x:v>2025_conv2024_extraordinario-T07</x:v>
      </x:c>
      <x:c r="B177" s="18" t="n">
        <x:v>2025</x:v>
      </x:c>
      <x:c r="C177" s="18" t="str">
        <x:v>G07</x:v>
      </x:c>
      <x:c r="D177" s="18" t="str">
        <x:v>Constitución Española</x:v>
      </x:c>
      <x:c r="E177" s="18" t="str">
        <x:v>111</x:v>
      </x:c>
      <x:c r="F177" s="18" t="str"/>
      <x:c r="G177" s="18" t="str">
        <x:v>Artículos literales</x:v>
      </x:c>
      <x:c r="H177" s="18" t="str">
        <x:v>Según el Artículo 111 de la Constitución Española, señale la afirmación correcta :</x:v>
      </x:c>
      <x:c r="I177" s="18" t="str">
        <x:v>B</x:v>
      </x:c>
      <x:c r="J177" s="18" t="str">
        <x:v>Válida</x:v>
      </x:c>
    </x:row>
    <x:row r="178">
      <x:c r="A178" s="18" t="str">
        <x:v>2025_conv2024_extraordinario-T09</x:v>
      </x:c>
      <x:c r="B178" s="18" t="n">
        <x:v>2025</x:v>
      </x:c>
      <x:c r="C178" s="18" t="str">
        <x:v>G09</x:v>
      </x:c>
      <x:c r="D178" s="18" t="str">
        <x:v>Constitución Española</x:v>
      </x:c>
      <x:c r="E178" s="18" t="str">
        <x:v>157</x:v>
      </x:c>
      <x:c r="F178" s="18" t="str"/>
      <x:c r="G178" s="18" t="str">
        <x:v>Artículos literales</x:v>
      </x:c>
      <x:c r="H178" s="18" t="str">
        <x:v>Indique cuál de los siguientes NO es un recurso financiero de las Comunidades Autónomas, de acuerdo con lo establecido en el artículo 157 de la Constitución Española:</x:v>
      </x:c>
      <x:c r="I178" s="18" t="str">
        <x:v>B</x:v>
      </x:c>
      <x:c r="J178" s="18" t="str">
        <x:v>Válida</x:v>
      </x:c>
    </x:row>
    <x:row r="179">
      <x:c r="A179" s="18" t="str">
        <x:v>2025_conv2024_extraordinario-T10</x:v>
      </x:c>
      <x:c r="B179" s="18" t="n">
        <x:v>2025</x:v>
      </x:c>
      <x:c r="C179" s="18" t="str">
        <x:v>G10</x:v>
      </x:c>
      <x:c r="D179" s="18" t="str">
        <x:v>Tratado de Funcionamiento de la Unión Europea</x:v>
      </x:c>
      <x:c r="E179" s="18" t="str">
        <x:v>4</x:v>
      </x:c>
      <x:c r="F179" s="18" t="str"/>
      <x:c r="G179" s="18" t="str">
        <x:v>Competencias</x:v>
      </x:c>
      <x:c r="H179" s="18" t="str">
        <x:v>De acuerdo con el artículo 4 del Tratado de Funcionamiento de la Unión Europea, la Unión y los Estados Miembros dispondrán de competencia compartida en los ámbitos siguientes :</x:v>
      </x:c>
      <x:c r="I179" s="18" t="str">
        <x:v>A</x:v>
      </x:c>
      <x:c r="J179" s="18" t="str">
        <x:v>Válida</x:v>
      </x:c>
    </x:row>
    <x:row r="180">
      <x:c r="A180" s="18" t="str">
        <x:v>2025_conv2024_extraordinario-T11</x:v>
      </x:c>
      <x:c r="B180" s="18" t="n">
        <x:v>2025</x:v>
      </x:c>
      <x:c r="C180" s="18" t="str">
        <x:v>G11</x:v>
      </x:c>
      <x:c r="D180" s="18" t="str">
        <x:v>Tratado de Funcionamiento de la Unión Europea</x:v>
      </x:c>
      <x:c r="E180" s="18" t="str">
        <x:v>288</x:v>
      </x:c>
      <x:c r="F180" s="18" t="str"/>
      <x:c r="G180" s="18" t="str">
        <x:v>Artículos literales</x:v>
      </x:c>
      <x:c r="H180" s="18" t="str">
        <x:v>De acuerdo con lo fijado en el artículo 288 del Tratado de Funcionamiento de la Unión Europea, en relación con los actos jurídicos de la Unión:</x:v>
      </x:c>
      <x:c r="I180" s="18" t="str">
        <x:v>D</x:v>
      </x:c>
      <x:c r="J180" s="18" t="str">
        <x:v>Válida</x:v>
      </x:c>
    </x:row>
    <x:row r="181">
      <x:c r="A181" s="18" t="str">
        <x:v>2025_conv2024_extraordinario-T12</x:v>
      </x:c>
      <x:c r="B181" s="18" t="n">
        <x:v>2025</x:v>
      </x:c>
      <x:c r="C181" s="18" t="str">
        <x:v>G12</x:v>
      </x:c>
      <x:c r="D181" s="18" t="str">
        <x:v>Real Decreto 501/2024</x:v>
      </x:c>
      <x:c r="E181" s="18" t="str">
        <x:v>2</x:v>
      </x:c>
      <x:c r="F181" s="18" t="str"/>
      <x:c r="G181" s="18" t="str">
        <x:v>Artículos literales</x:v>
      </x:c>
      <x:c r="H181" s="18" t="str">
        <x:v>Conforme a lo previsto en el artículo 2 d el Real Decreto 501/2024, de 21 de mayo, por el que se desarrolla la estructura orgánica básica del Ministerio de Inclusión, Seguridad Social y Migraciones, está adscrita a la Secretaría de Estado de la Seguridad Social y Pensiones, la Intervención General de la Seguridad Social, con rango de:</x:v>
      </x:c>
      <x:c r="I181" s="18" t="str">
        <x:v>C</x:v>
      </x:c>
      <x:c r="J181" s="18" t="str">
        <x:v>Válida</x:v>
      </x:c>
    </x:row>
    <x:row r="182">
      <x:c r="A182" s="18" t="str">
        <x:v>2025_conv2024_extraordinario-T14</x:v>
      </x:c>
      <x:c r="B182" s="18" t="n">
        <x:v>2025</x:v>
      </x:c>
      <x:c r="C182" s="18" t="str">
        <x:v>G05</x:v>
      </x:c>
      <x:c r="D182" s="18" t="str">
        <x:v>Constitución Española</x:v>
      </x:c>
      <x:c r="E182" s="18" t="str">
        <x:v>88</x:v>
      </x:c>
      <x:c r="F182" s="18" t="str"/>
      <x:c r="G182" s="18" t="str">
        <x:v>Procedimientos</x:v>
      </x:c>
      <x:c r="H182" s="18" t="str">
        <x:v>Según el artículo 88 de la Constitución Española, s eñale la respuesta correcta respecto a cómo debe ser el trámite de los proyectos de ley:</x:v>
      </x:c>
      <x:c r="I182" s="18" t="str">
        <x:v>D</x:v>
      </x:c>
      <x:c r="J182" s="18" t="str">
        <x:v>Válida</x:v>
      </x:c>
    </x:row>
    <x:row r="183">
      <x:c r="A183" s="18" t="str">
        <x:v>2025_conv2024_extraordinario-T15</x:v>
      </x:c>
      <x:c r="B183" s="18" t="n">
        <x:v>2025</x:v>
      </x:c>
      <x:c r="C183" s="18" t="str">
        <x:v>G15</x:v>
      </x:c>
      <x:c r="D183" s="18" t="str">
        <x:v>Ley 39/2015</x:v>
      </x:c>
      <x:c r="E183" s="18" t="str">
        <x:v>35</x:v>
      </x:c>
      <x:c r="F183" s="18" t="str"/>
      <x:c r="G183" s="18" t="str">
        <x:v>Procedimientos</x:v>
      </x:c>
      <x:c r="H183" s="18" t="str">
        <x:v>Según el artículo 35 de la Ley 39/2015, de 1 de octubre, del Procedimiento Administrativo Común de las Administraciones Públicas, s eñale la respuesta correcta respecto a qu é actos administrativos deben ser motivados, con sucinta referencia de hechos y fundamentos de derecho:</x:v>
      </x:c>
      <x:c r="I183" s="18" t="str">
        <x:v>A</x:v>
      </x:c>
      <x:c r="J183" s="18" t="str">
        <x:v>Válida</x:v>
      </x:c>
    </x:row>
    <x:row r="184">
      <x:c r="A184" s="18" t="str">
        <x:v>2025_conv2024_extraordinario-T16</x:v>
      </x:c>
      <x:c r="B184" s="18" t="n">
        <x:v>2025</x:v>
      </x:c>
      <x:c r="C184" s="18" t="str">
        <x:v>G16</x:v>
      </x:c>
      <x:c r="D184" s="18" t="str">
        <x:v>Ley 39/2015</x:v>
      </x:c>
      <x:c r="E184" s="18" t="str">
        <x:v>11</x:v>
      </x:c>
      <x:c r="F184" s="18" t="str"/>
      <x:c r="G184" s="18" t="str">
        <x:v>Procedimientos</x:v>
      </x:c>
      <x:c r="H184" s="18" t="str">
        <x:v>De conformidad con el artículo 11 de la Ley 39/2015, de 1 de octubre, del Procedimiento Administrativo Común de las Administraciones Públicas, señale la respuesta correcta:</x:v>
      </x:c>
      <x:c r="I184" s="18" t="str">
        <x:v>D</x:v>
      </x:c>
      <x:c r="J184" s="18" t="str">
        <x:v>Válida</x:v>
      </x:c>
    </x:row>
    <x:row r="185">
      <x:c r="A185" s="18" t="str">
        <x:v>2025_conv2024_extraordinario-T17</x:v>
      </x:c>
      <x:c r="B185" s="18" t="n">
        <x:v>2025</x:v>
      </x:c>
      <x:c r="C185" s="18" t="str">
        <x:v>G17</x:v>
      </x:c>
      <x:c r="D185" s="18" t="str">
        <x:v>Ley 39/2015</x:v>
      </x:c>
      <x:c r="E185" s="18" t="str">
        <x:v>63</x:v>
      </x:c>
      <x:c r="F185" s="18" t="str"/>
      <x:c r="G185" s="18" t="str">
        <x:v>Procedimientos</x:v>
      </x:c>
      <x:c r="H185" s="18" t="str">
        <x:v>De acuerdo con el artículo 63 de la Ley 39/2015, de 1 de octubre, del Procedimiento Administrativo Común de las Administraciones Públicas, en cuanto a los procedimientos de naturaleza sancionadora, señale la respuesta INCORRECTA:</x:v>
      </x:c>
      <x:c r="I185" s="18" t="str">
        <x:v>C</x:v>
      </x:c>
      <x:c r="J185" s="18" t="str">
        <x:v>Válida</x:v>
      </x:c>
    </x:row>
    <x:row r="186">
      <x:c r="A186" s="18" t="str">
        <x:v>2025_conv2024_extraordinario-T18</x:v>
      </x:c>
      <x:c r="B186" s="18" t="n">
        <x:v>2025</x:v>
      </x:c>
      <x:c r="C186" s="18" t="str">
        <x:v>G18</x:v>
      </x:c>
      <x:c r="D186" s="18" t="str">
        <x:v>Ley 39/2015</x:v>
      </x:c>
      <x:c r="E186" s="18" t="str">
        <x:v>126</x:v>
      </x:c>
      <x:c r="F186" s="18" t="str"/>
      <x:c r="G186" s="18" t="str">
        <x:v>Plazos</x:v>
      </x:c>
      <x:c r="H186" s="18" t="str">
        <x:v>Según el artículo 126 de la Ley 39/2015, de 1 de octubre, del Procedimiento Administrativo Común de las Administraciones Públicas, ¿qué efecto produce la falta de resolución en plazo del recurso extraordinario de revisión?</x:v>
      </x:c>
      <x:c r="I186" s="18" t="str">
        <x:v>A</x:v>
      </x:c>
      <x:c r="J186" s="18" t="str">
        <x:v>Válida</x:v>
      </x:c>
    </x:row>
    <x:row r="187">
      <x:c r="A187" s="18" t="str">
        <x:v>2025_conv2024_extraordinario-T20</x:v>
      </x:c>
      <x:c r="B187" s="18" t="n">
        <x:v>2025</x:v>
      </x:c>
      <x:c r="C187" s="18" t="str">
        <x:v>G20</x:v>
      </x:c>
      <x:c r="D187" s="18" t="str">
        <x:v>Real Decreto 208/1996</x:v>
      </x:c>
      <x:c r="E187" s="18" t="str">
        <x:v>6</x:v>
      </x:c>
      <x:c r="F187" s="18" t="str"/>
      <x:c r="G187" s="18" t="str">
        <x:v>Artículos literales</x:v>
      </x:c>
      <x:c r="H187" s="18" t="str">
        <x:v>El artículo 6 del Real Decreto 208/1996, de 9 de febrero, por el que se regulan los servicios de información administrativa y atención al ciudadano, establece que, serán funciones del Centro de Información Administrativa:</x:v>
      </x:c>
      <x:c r="I187" s="18" t="str">
        <x:v>A</x:v>
      </x:c>
      <x:c r="J187" s="18" t="str">
        <x:v>Válida</x:v>
      </x:c>
    </x:row>
    <x:row r="188">
      <x:c r="A188" s="18" t="str">
        <x:v>2025_conv2024_extraordinario-T21</x:v>
      </x:c>
      <x:c r="B188" s="18" t="n">
        <x:v>2025</x:v>
      </x:c>
      <x:c r="C188" s="18" t="str">
        <x:v>G21</x:v>
      </x:c>
      <x:c r="D188" s="18" t="str">
        <x:v>ley 4/2023</x:v>
      </x:c>
      <x:c r="E188" s="18" t="str">
        <x:v>10</x:v>
      </x:c>
      <x:c r="F188" s="18" t="str"/>
      <x:c r="G188" s="18" t="str">
        <x:v>Artículos literales</x:v>
      </x:c>
      <x:c r="H188" s="18" t="str">
        <x:v>Según lo establecido en el artículo 10 de la ley 4/2023, de 28 de febrero, para la igualdad real y efectiva de las personas trans y para la garantía de los derechos de las personas LGTBI, la estrategia estatal para la igualdad de trato y no discriminación de las personas LGTBI tendrá carácter:</x:v>
      </x:c>
      <x:c r="I188" s="18" t="str">
        <x:v>A</x:v>
      </x:c>
      <x:c r="J188" s="18" t="str">
        <x:v>Válida</x:v>
      </x:c>
    </x:row>
    <x:row r="189">
      <x:c r="A189" s="18" t="str">
        <x:v>2025_conv2024_extraordinario-T22</x:v>
      </x:c>
      <x:c r="B189" s="18" t="n">
        <x:v>2025</x:v>
      </x:c>
      <x:c r="C189" s="18" t="str">
        <x:v>G22</x:v>
      </x:c>
      <x:c r="D189" s="18" t="str">
        <x:v>Ley Orgánica 3/2018</x:v>
      </x:c>
      <x:c r="E189" s="18" t="str">
        <x:v>13; 12.5</x:v>
      </x:c>
      <x:c r="F189" s="18" t="str"/>
      <x:c r="G189" s="18" t="str">
        <x:v>Artículos literales</x:v>
      </x:c>
      <x:c r="H189" s="18" t="str">
        <x:v>La Ley Orgánica 3/2018, de 5 de diciembre, de Protección de Datos Personales y garantía de los derechos digitales, establece en su artículo 13 que, a los efectos establecidos en el artículo 12.5 del Reglamento (UE) 2016/679, se podrá considerar repetitivo el ejercicio del derecho de acceso:</x:v>
      </x:c>
      <x:c r="I189" s="18" t="str">
        <x:v>C</x:v>
      </x:c>
      <x:c r="J189" s="18" t="str">
        <x:v>Válida</x:v>
      </x:c>
    </x:row>
    <x:row r="190">
      <x:c r="A190" s="18" t="str">
        <x:v>2025_conv2024_extraordinario-T23</x:v>
      </x:c>
      <x:c r="B190" s="18" t="n">
        <x:v>2025</x:v>
      </x:c>
      <x:c r="C190" s="18" t="str">
        <x:v>G23</x:v>
      </x:c>
      <x:c r="D190" s="18" t="str">
        <x:v>Ley 39/2015</x:v>
      </x:c>
      <x:c r="E190" s="18" t="str">
        <x:v>43</x:v>
      </x:c>
      <x:c r="F190" s="18" t="str"/>
      <x:c r="G190" s="18" t="str">
        <x:v>Procedimientos</x:v>
      </x:c>
      <x:c r="H190" s="18" t="str">
        <x:v>Según el artículo 43 de la Ley 39/2015, de 1 de octubre, del Procedimiento Administrativo Común de las Administraciones Públicas, cuando la notificación por medios electrónicos haya sido expresamente elegida por el interesado, se entenderá rechazada cuando hayan transcurrido, desde la puesta a disposición de la notificación sin que se acceda a su contenido:</x:v>
      </x:c>
      <x:c r="I190" s="18" t="str">
        <x:v>A</x:v>
      </x:c>
      <x:c r="J190" s="18" t="str">
        <x:v>Válida</x:v>
      </x:c>
    </x:row>
    <x:row r="191">
      <x:c r="A191" s="18" t="str">
        <x:v>2025_conv2024_extraordinario-T24</x:v>
      </x:c>
      <x:c r="B191" s="18" t="n">
        <x:v>2025</x:v>
      </x:c>
      <x:c r="C191" s="18" t="str">
        <x:v>S01</x:v>
      </x:c>
      <x:c r="D191" s="18" t="str">
        <x:v>texto refundido de la Ley General de la Seguridad Social</x:v>
      </x:c>
      <x:c r="E191" s="18" t="str">
        <x:v>2</x:v>
      </x:c>
      <x:c r="F191" s="18" t="str"/>
      <x:c r="G191" s="18" t="str">
        <x:v>Artículos literales</x:v>
      </x:c>
      <x:c r="H191" s="18" t="str">
        <x:v>De acuerdo con el artículo 2 del texto refundido de la Ley General de la Seguridad Social, el sistema de la Seguridad Social, configurado por la acción protectora en sus modalidades contributiva y no contributiva, se fundamenta en los principios de:</x:v>
      </x:c>
      <x:c r="I191" s="18" t="str">
        <x:v>A</x:v>
      </x:c>
      <x:c r="J191" s="18" t="str">
        <x:v>Válida</x:v>
      </x:c>
    </x:row>
    <x:row r="192">
      <x:c r="A192" s="18" t="str">
        <x:v>2025_conv2024_extraordinario-T25</x:v>
      </x:c>
      <x:c r="B192" s="18" t="n">
        <x:v>2025</x:v>
      </x:c>
      <x:c r="C192" s="18" t="str">
        <x:v>S01</x:v>
      </x:c>
      <x:c r="D192" s="18" t="str">
        <x:v>Constitución Española</x:v>
      </x:c>
      <x:c r="E192" s="18" t="str">
        <x:v>43</x:v>
      </x:c>
      <x:c r="F192" s="18" t="str"/>
      <x:c r="G192" s="18" t="str">
        <x:v>Artículos literales</x:v>
      </x:c>
      <x:c r="H192" s="18" t="str">
        <x:v>En el artículo 43 de la Constitución Española, se reconoce el derecho a:</x:v>
      </x:c>
      <x:c r="I192" s="18" t="str">
        <x:v>C</x:v>
      </x:c>
      <x:c r="J192" s="18" t="str">
        <x:v>Válida</x:v>
      </x:c>
    </x:row>
    <x:row r="193">
      <x:c r="A193" s="18" t="str">
        <x:v>2025_conv2024_extraordinario-T27</x:v>
      </x:c>
      <x:c r="B193" s="18" t="n">
        <x:v>2025</x:v>
      </x:c>
      <x:c r="C193" s="18" t="str">
        <x:v>S02</x:v>
      </x:c>
      <x:c r="D193" s="18" t="str">
        <x:v>texto refundido de la Ley General de la Seguridad Social</x:v>
      </x:c>
      <x:c r="E193" s="18" t="str">
        <x:v>10</x:v>
      </x:c>
      <x:c r="F193" s="18" t="str"/>
      <x:c r="G193" s="18" t="str">
        <x:v>Artículos literales</x:v>
      </x:c>
      <x:c r="H193" s="18" t="str">
        <x:v>Según el artículo 10 del texto refundido de la Ley General de la Seguridad Social, ¿ cuáles son los regímenes especiales que se regirán por leyes específicas?</x:v>
      </x:c>
      <x:c r="I193" s="18" t="str">
        <x:v>C</x:v>
      </x:c>
      <x:c r="J193" s="18" t="str">
        <x:v>Válida</x:v>
      </x:c>
    </x:row>
    <x:row r="194">
      <x:c r="A194" s="18" t="str">
        <x:v>2025_conv2024_extraordinario-T28</x:v>
      </x:c>
      <x:c r="B194" s="18" t="n">
        <x:v>2025</x:v>
      </x:c>
      <x:c r="C194" s="18" t="str">
        <x:v>S02</x:v>
      </x:c>
      <x:c r="D194" s="18" t="str">
        <x:v>texto refundido de la Ley General de la Seguridad Social</x:v>
      </x:c>
      <x:c r="E194" s="18" t="str">
        <x:v>305</x:v>
      </x:c>
      <x:c r="F194" s="18" t="str"/>
      <x:c r="G194" s="18" t="str">
        <x:v>Artículos literales</x:v>
      </x:c>
      <x:c r="H194" s="18" t="str">
        <x:v>Según el artículo 305 del texto refundido de la Ley General de la Seguridad Social, ¿en qué régimen se declaran expresamente incluidos los miembros del Cuerpo Único de Notarios?</x:v>
      </x:c>
      <x:c r="I194" s="18" t="str">
        <x:v>D</x:v>
      </x:c>
      <x:c r="J194" s="18" t="str">
        <x:v>Válida</x:v>
      </x:c>
    </x:row>
    <x:row r="195">
      <x:c r="A195" s="18" t="str">
        <x:v>2025_conv2024_extraordinario-T29</x:v>
      </x:c>
      <x:c r="B195" s="18" t="n">
        <x:v>2025</x:v>
      </x:c>
      <x:c r="C195" s="18" t="str">
        <x:v>S03</x:v>
      </x:c>
      <x:c r="D195" s="18" t="str">
        <x:v>Real Decreto 84/1996</x:v>
      </x:c>
      <x:c r="E195" s="18" t="str">
        <x:v>43</x:v>
      </x:c>
      <x:c r="F195" s="18" t="str"/>
      <x:c r="G195" s="18" t="str">
        <x:v>Afiliación, altas y bajas</x:v>
      </x:c>
      <x:c r="H195" s="18" t="str">
        <x:v>Conforme al artículo 43 del Real Decreto 84/1996, de 26 de enero, ¿cuándo surtirán efectos las altas y bajas de los funcionarios públicos incluidos en el campo de aplicación del Régimen General de la Seguridad Social en los cambios de destino?</x:v>
      </x:c>
      <x:c r="I195" s="18" t="str">
        <x:v>A</x:v>
      </x:c>
      <x:c r="J195" s="18" t="str">
        <x:v>Válida</x:v>
      </x:c>
    </x:row>
    <x:row r="196">
      <x:c r="A196" s="18" t="str">
        <x:v>2025_conv2024_extraordinario-T30</x:v>
      </x:c>
      <x:c r="B196" s="18" t="n">
        <x:v>2025</x:v>
      </x:c>
      <x:c r="C196" s="18" t="str">
        <x:v>S03</x:v>
      </x:c>
      <x:c r="D196" s="18" t="str"/>
      <x:c r="E196" s="18" t="str">
        <x:v>63</x:v>
      </x:c>
      <x:c r="F196" s="18" t="str"/>
      <x:c r="G196" s="18" t="str">
        <x:v>Plazos</x:v>
      </x:c>
      <x:c r="H196" s="18" t="str">
        <x:v>De acuerdo con el artículo 63 del R eal Decreto 84/1996, de 26 de enero, ¿ cuál es el plazo máximo para dictar resolución y notificación en las solicitudes de inscripción de los empresarios?</x:v>
      </x:c>
      <x:c r="I196" s="18" t="str">
        <x:v>A</x:v>
      </x:c>
      <x:c r="J196" s="18" t="str">
        <x:v>Válida</x:v>
      </x:c>
    </x:row>
    <x:row r="197">
      <x:c r="A197" s="18" t="str">
        <x:v>2025_conv2024_extraordinario-T31</x:v>
      </x:c>
      <x:c r="B197" s="18" t="n">
        <x:v>2025</x:v>
      </x:c>
      <x:c r="C197" s="18" t="str">
        <x:v>S02</x:v>
      </x:c>
      <x:c r="D197" s="18" t="str">
        <x:v>Real Decreto 84/1996</x:v>
      </x:c>
      <x:c r="E197" s="18" t="str">
        <x:v>49</x:v>
      </x:c>
      <x:c r="F197" s="18" t="str"/>
      <x:c r="G197" s="18" t="str">
        <x:v>Artículos literales</x:v>
      </x:c>
      <x:c r="H197" s="18" t="str">
        <x:v>Según lo dispuesto en el artículo 49 del Real Decreto 84/1996, de 26 de enero, los trabajadores por cuenta propia incluidos en el Régimen Especial del Mar están obligados a proteger la incapacidad temporal derivada de contingencias comunes, las contingencias de accidentes de trabajo y enfermedades profesionales y el cese de actividad . ¿Con quién deberán proteger dichas contingencias?</x:v>
      </x:c>
      <x:c r="I197" s="18" t="str">
        <x:v>B</x:v>
      </x:c>
      <x:c r="J197" s="18" t="str">
        <x:v>Válida</x:v>
      </x:c>
    </x:row>
    <x:row r="198">
      <x:c r="A198" s="18" t="str">
        <x:v>2025_conv2024_extraordinario-T32</x:v>
      </x:c>
      <x:c r="B198" s="18" t="n">
        <x:v>2025</x:v>
      </x:c>
      <x:c r="C198" s="18" t="str">
        <x:v>S05</x:v>
      </x:c>
      <x:c r="D198" s="18" t="str">
        <x:v>texto refundido de la Ley General de la Seguridad Social</x:v>
      </x:c>
      <x:c r="E198" s="18" t="str">
        <x:v>26</x:v>
      </x:c>
      <x:c r="F198" s="18" t="str"/>
      <x:c r="G198" s="18" t="str">
        <x:v>Recaudación</x:v>
      </x:c>
      <x:c r="H198" s="18" t="str">
        <x:v>Conforme al artículo 26 de l texto refundido de la Ley General de la Seguridad Social , el derecho a la devolución de ingresos indebidos prescribirá:</x:v>
      </x:c>
      <x:c r="I198" s="18" t="str">
        <x:v>C</x:v>
      </x:c>
      <x:c r="J198" s="18" t="str">
        <x:v>Válida</x:v>
      </x:c>
    </x:row>
    <x:row r="199">
      <x:c r="A199" s="18" t="str">
        <x:v>2025_conv2024_extraordinario-T33</x:v>
      </x:c>
      <x:c r="B199" s="18" t="n">
        <x:v>2025</x:v>
      </x:c>
      <x:c r="C199" s="18" t="str">
        <x:v>S05</x:v>
      </x:c>
      <x:c r="D199" s="18" t="str">
        <x:v>Real Decreto 1415/2004</x:v>
      </x:c>
      <x:c r="E199" s="18" t="str">
        <x:v>8</x:v>
      </x:c>
      <x:c r="F199" s="18" t="str"/>
      <x:c r="G199" s="18" t="str">
        <x:v>Plazos</x:v>
      </x:c>
      <x:c r="H199" s="18" t="str">
        <x:v>Según establece el artículo 8 del Reglamento General de Recaudación de la Seguridad Social, aprobado por el Real Decreto 1415/2004, de 11 de junio, cuando los plazos reglamentarios para el pago de las deudas con la Seguridad Social se señalen por días y no se indique otra cosa, se entenderán:</x:v>
      </x:c>
      <x:c r="I199" s="18" t="str">
        <x:v>B</x:v>
      </x:c>
      <x:c r="J199" s="18" t="str">
        <x:v>Válida</x:v>
      </x:c>
    </x:row>
    <x:row r="200">
      <x:c r="A200" s="18" t="str">
        <x:v>2025_conv2024_extraordinario-T34</x:v>
      </x:c>
      <x:c r="B200" s="18" t="n">
        <x:v>2025</x:v>
      </x:c>
      <x:c r="C200" s="18" t="str">
        <x:v>S05</x:v>
      </x:c>
      <x:c r="D200" s="18" t="str"/>
      <x:c r="E200" s="18" t="str">
        <x:v>21</x:v>
      </x:c>
      <x:c r="F200" s="18" t="str"/>
      <x:c r="G200" s="18" t="str">
        <x:v>Recaudación</x:v>
      </x:c>
      <x:c r="H200" s="18" t="str">
        <x:v>El pago de las deudas a la Seguridad Social conforme establece el artículo 21 del Reglamento General de Recaudación de la Seguridad Social, aprobado por el Real Decreto 1415/20 04, de 11 de junio, además de por cualquier otro medio de pago autorizado por la Tesorería General de la Seguridad Social, deberá de realizarse:</x:v>
      </x:c>
      <x:c r="I200" s="18" t="str">
        <x:v>D</x:v>
      </x:c>
      <x:c r="J200" s="18" t="str">
        <x:v>Válida</x:v>
      </x:c>
    </x:row>
    <x:row r="201">
      <x:c r="A201" s="18" t="str">
        <x:v>2025_conv2024_extraordinario-T35</x:v>
      </x:c>
      <x:c r="B201" s="18" t="n">
        <x:v>2025</x:v>
      </x:c>
      <x:c r="C201" s="18" t="str">
        <x:v>S05</x:v>
      </x:c>
      <x:c r="D201" s="18" t="str"/>
      <x:c r="E201" s="18" t="str">
        <x:v>35</x:v>
      </x:c>
      <x:c r="F201" s="18" t="str"/>
      <x:c r="G201" s="18" t="str">
        <x:v>Cálculos</x:v>
      </x:c>
      <x:c r="H201" s="18" t="str">
        <x:v>El artículo 35 del Reglamento General de Recaudación de la Seguridad Social, aprobado por el Real Decreto 1415/20 04, de 11 de junio, establece que en general dará lugar a la denegación de la solicitud de aplazamiento que el importe de la deuda aplazable no supere:</x:v>
      </x:c>
      <x:c r="I201" s="18" t="str">
        <x:v>A</x:v>
      </x:c>
      <x:c r="J201" s="18" t="str">
        <x:v>Válida</x:v>
      </x:c>
    </x:row>
    <x:row r="202">
      <x:c r="A202" s="18" t="str">
        <x:v>2025_conv2024_extraordinario-T36</x:v>
      </x:c>
      <x:c r="B202" s="18" t="n">
        <x:v>2025</x:v>
      </x:c>
      <x:c r="C202" s="18" t="str">
        <x:v>S05</x:v>
      </x:c>
      <x:c r="D202" s="18" t="str"/>
      <x:c r="E202" s="18" t="str">
        <x:v>13</x:v>
      </x:c>
      <x:c r="F202" s="18" t="str"/>
      <x:c r="G202" s="18" t="str">
        <x:v>Plazos</x:v>
      </x:c>
      <x:c r="H202" s="18" t="str">
        <x:v>Tal y como establece el artículo 13 del Reglamento General de Recaudación de la Seguridad Social, aprobado por el Real Decreto 1415/20 04, de 11 de junio, el plazo máximo para notificar la reclamación de deuda por derivación de responsabilidad solidaria, a contar desde el día siguiente a la fecha del acuerdo de iniciación, será de:</x:v>
      </x:c>
      <x:c r="I202" s="18" t="str">
        <x:v>D</x:v>
      </x:c>
      <x:c r="J202" s="18" t="str">
        <x:v>Válida</x:v>
      </x:c>
    </x:row>
    <x:row r="203">
      <x:c r="A203" s="18" t="str">
        <x:v>2025_conv2024_extraordinario-T37</x:v>
      </x:c>
      <x:c r="B203" s="18" t="n">
        <x:v>2025</x:v>
      </x:c>
      <x:c r="C203" s="18" t="str">
        <x:v>S05</x:v>
      </x:c>
      <x:c r="D203" s="18" t="str">
        <x:v>Real Decreto 1415/2004</x:v>
      </x:c>
      <x:c r="E203" s="18" t="str">
        <x:v>46</x:v>
      </x:c>
      <x:c r="F203" s="18" t="str"/>
      <x:c r="G203" s="18" t="str">
        <x:v>Recaudación</x:v>
      </x:c>
      <x:c r="H203" s="18" t="str">
        <x:v>El artículo 46 del Reglamento General de Recaudación de la Seguridad Social, aprobado por el Real Decreto 1415/2004, de 11 de junio, establece que l as Administraciones públicas y las entidades y organismos de ellas dependientes frente a los actos de gestión recaudatoria de la Tesorería General de la Seguridad Social:</x:v>
      </x:c>
      <x:c r="I203" s="18" t="str">
        <x:v>B</x:v>
      </x:c>
      <x:c r="J203" s="18" t="str">
        <x:v>Válida</x:v>
      </x:c>
    </x:row>
    <x:row r="204">
      <x:c r="A204" s="18" t="str">
        <x:v>2025_conv2024_extraordinario-T38</x:v>
      </x:c>
      <x:c r="B204" s="18" t="n">
        <x:v>2025</x:v>
      </x:c>
      <x:c r="C204" s="18" t="str">
        <x:v>S06</x:v>
      </x:c>
      <x:c r="D204" s="18" t="str"/>
      <x:c r="E204" s="18" t="str">
        <x:v>121</x:v>
      </x:c>
      <x:c r="F204" s="18" t="str"/>
      <x:c r="G204" s="18" t="str">
        <x:v>Plazos</x:v>
      </x:c>
      <x:c r="H204" s="18" t="str">
        <x:v>Conforme al artículo 121 del Reglamento General de Recaudación de la Seguridad Social, aprobado por el Real Decreto 1415/20 04, de 11 de junio, l a dirección provincial de la Tesorería General de la Seguridad Social podrá ejercitar derecho de tanteo con anterioridad a la emisión del certificado de adjudicación o de la escritura pública de venta y en el plazo máximo de:</x:v>
      </x:c>
      <x:c r="I204" s="18" t="str">
        <x:v>D</x:v>
      </x:c>
      <x:c r="J204" s="18" t="str">
        <x:v>Válida</x:v>
      </x:c>
    </x:row>
    <x:row r="205">
      <x:c r="A205" s="18" t="str">
        <x:v>2025_conv2024_extraordinario-T39</x:v>
      </x:c>
      <x:c r="B205" s="18" t="n">
        <x:v>2025</x:v>
      </x:c>
      <x:c r="C205" s="18" t="str">
        <x:v>S06</x:v>
      </x:c>
      <x:c r="D205" s="18" t="str">
        <x:v>Real Decreto 1415/2004</x:v>
      </x:c>
      <x:c r="E205" s="18" t="str">
        <x:v>87</x:v>
      </x:c>
      <x:c r="F205" s="18" t="str"/>
      <x:c r="G205" s="18" t="str">
        <x:v>Recaudación ejecutiva</x:v>
      </x:c>
      <x:c r="H205" s="18" t="str">
        <x:v>Según dispone el artículo 87 del Reglamento General de Recaudación de la Seguridad Social, aprobado por el Real Decreto 1415/2004, de 11 de junio, la previsión de costas nunca podrá superar el:</x:v>
      </x:c>
      <x:c r="I205" s="18" t="str">
        <x:v>A</x:v>
      </x:c>
      <x:c r="J205" s="18" t="str">
        <x:v>Válida</x:v>
      </x:c>
    </x:row>
    <x:row r="206">
      <x:c r="A206" s="18" t="str">
        <x:v>2025_conv2024_extraordinario-T40</x:v>
      </x:c>
      <x:c r="B206" s="18" t="n">
        <x:v>2025</x:v>
      </x:c>
      <x:c r="C206" s="18" t="str">
        <x:v>S06</x:v>
      </x:c>
      <x:c r="D206" s="18" t="str"/>
      <x:c r="E206" s="18" t="str">
        <x:v>135</x:v>
      </x:c>
      <x:c r="F206" s="18" t="str"/>
      <x:c r="G206" s="18" t="str">
        <x:v>Recaudación ejecutiva</x:v>
      </x:c>
      <x:c r="H206" s="18" t="str">
        <x:v>En virtud del artículo 135 del Reglamento General de Recaudación de la Seguridad Social, aprobado por el Real Decreto 1415/20 04, de 11 de junio, l a reclamación en tercería se resolverá, previa la práctica de la prueba que pueda estimarse oportuna, por:</x:v>
      </x:c>
      <x:c r="I206" s="18" t="str">
        <x:v>C</x:v>
      </x:c>
      <x:c r="J206" s="18" t="str">
        <x:v>Válida</x:v>
      </x:c>
    </x:row>
    <x:row r="207">
      <x:c r="A207" s="18" t="str">
        <x:v>2025_conv2024_extraordinario-T41</x:v>
      </x:c>
      <x:c r="B207" s="18" t="n">
        <x:v>2025</x:v>
      </x:c>
      <x:c r="C207" s="18" t="str">
        <x:v>S07</x:v>
      </x:c>
      <x:c r="D207" s="18" t="str">
        <x:v>texto refundido de la Ley General de la Seguridad Social</x:v>
      </x:c>
      <x:c r="E207" s="18" t="str">
        <x:v>58</x:v>
      </x:c>
      <x:c r="F207" s="18" t="str"/>
      <x:c r="G207" s="18" t="str">
        <x:v>Artículos literales</x:v>
      </x:c>
      <x:c r="H207" s="18" t="str">
        <x:v>Según el artículo 58 del texto refundido de la Ley General de la Seguridad Social, respecto a la revalorización de las pensiones:</x:v>
      </x:c>
      <x:c r="I207" s="18" t="str">
        <x:v>B</x:v>
      </x:c>
      <x:c r="J207" s="18" t="str">
        <x:v>Válida</x:v>
      </x:c>
    </x:row>
    <x:row r="208">
      <x:c r="A208" s="18" t="str">
        <x:v>2025_conv2024_extraordinario-T42</x:v>
      </x:c>
      <x:c r="B208" s="18" t="n">
        <x:v>2025</x:v>
      </x:c>
      <x:c r="C208" s="18" t="str">
        <x:v>S07</x:v>
      </x:c>
      <x:c r="D208" s="18" t="str">
        <x:v>texto refundido de la Ley General de la Seguridad Social</x:v>
      </x:c>
      <x:c r="E208" s="18" t="str">
        <x:v>59</x:v>
      </x:c>
      <x:c r="F208" s="18" t="str"/>
      <x:c r="G208" s="18" t="str">
        <x:v>Cálculos</x:v>
      </x:c>
      <x:c r="H208" s="18" t="str">
        <x:v>Conforme al artículo 59 del texto refundido de la Ley General de la Seguridad Social , los beneficiarios de pensiones contributivas del sistema de la Seguridad Social que no perciban rendimientos del trabajo, del capital, de actividades económicas, de régimen de atribución de rentas y ganancias patrimoniales, de acuerdo con el concepto establecido para dichas rentas en el Impuesto sobre la Renta de las Personas Físicas, o que, percibiéndolos, no excedan de la cuantía que anualmente establezca la correspondiente Ley de Presupuestos Generales del Estado, tendrán derecho a percibir los complementos necesarios para alcanzar la cuantía mínima de las pensiones</x:v>
      </x:c>
      <x:c r="I208" s="18" t="str">
        <x:v>A</x:v>
      </x:c>
      <x:c r="J208" s="18" t="str">
        <x:v>Válida</x:v>
      </x:c>
    </x:row>
    <x:row r="209">
      <x:c r="A209" s="18" t="str">
        <x:v>2025_conv2024_extraordinario-T43</x:v>
      </x:c>
      <x:c r="B209" s="18" t="n">
        <x:v>2025</x:v>
      </x:c>
      <x:c r="C209" s="18" t="str">
        <x:v>S07</x:v>
      </x:c>
      <x:c r="D209" s="18" t="str">
        <x:v>texto refundido de la Ley General de la Seguridad Social</x:v>
      </x:c>
      <x:c r="E209" s="18" t="str">
        <x:v>46</x:v>
      </x:c>
      <x:c r="F209" s="18" t="str"/>
      <x:c r="G209" s="18" t="str">
        <x:v>Artículos literales</x:v>
      </x:c>
      <x:c r="H209" s="18" t="str">
        <x:v>De acuerdo con el artículo 46 del texto refundido de la Ley General de la Seguridad Social, el pago de las pensiones contributivas derivadas de contingencias comunes de cualquiera de los regímenes que integran el sistema de la Seguridad Social:</x:v>
      </x:c>
      <x:c r="I209" s="18" t="str">
        <x:v>D</x:v>
      </x:c>
      <x:c r="J209" s="18" t="str">
        <x:v>Válida</x:v>
      </x:c>
    </x:row>
    <x:row r="210">
      <x:c r="A210" s="18" t="str">
        <x:v>2025_conv2024_extraordinario-T44</x:v>
      </x:c>
      <x:c r="B210" s="18" t="n">
        <x:v>2025</x:v>
      </x:c>
      <x:c r="C210" s="18" t="str">
        <x:v>S07</x:v>
      </x:c>
      <x:c r="D210" s="18" t="str">
        <x:v>texto refundido de la Ley General de la Seguridad Social</x:v>
      </x:c>
      <x:c r="E210" s="18" t="str">
        <x:v>54</x:v>
      </x:c>
      <x:c r="F210" s="18" t="str"/>
      <x:c r="G210" s="18" t="str">
        <x:v>Artículos literales</x:v>
      </x:c>
      <x:c r="H210" s="18" t="str">
        <x:v>Conforme al artículo 54 del del texto refundido de la Ley General de la Seguridad Social, el derecho al percibo de las prestaciones a tanto alzado y por una sola vez caducará:</x:v>
      </x:c>
      <x:c r="I210" s="18" t="str">
        <x:v>A</x:v>
      </x:c>
      <x:c r="J210" s="18" t="str">
        <x:v>Válida</x:v>
      </x:c>
    </x:row>
    <x:row r="211">
      <x:c r="A211" s="18" t="str">
        <x:v>2025_conv2024_extraordinario-T45</x:v>
      </x:c>
      <x:c r="B211" s="18" t="n">
        <x:v>2025</x:v>
      </x:c>
      <x:c r="C211" s="18" t="str">
        <x:v>S08</x:v>
      </x:c>
      <x:c r="D211" s="18" t="str"/>
      <x:c r="E211" s="18" t="str">
        <x:v>23</x:v>
      </x:c>
      <x:c r="F211" s="18" t="str"/>
      <x:c r="G211" s="18" t="str">
        <x:v>Incapacidad</x:v>
      </x:c>
      <x:c r="H211" s="18" t="str">
        <x:v>En virtud del artículo 23 de la Orden de 15 de abril de 1969, por la que se establecen normas para la aplicación y desarrollo de las prestaciones por invalidez en el Régimen General de la Seguridad Social, el derecho a las prestaciones económicas por incapacidad permanente podrá ser suspendido:</x:v>
      </x:c>
      <x:c r="I211" s="18" t="str">
        <x:v>D</x:v>
      </x:c>
      <x:c r="J211" s="18" t="str">
        <x:v>Válida</x:v>
      </x:c>
    </x:row>
    <x:row r="212">
      <x:c r="A212" s="18" t="str">
        <x:v>2025_conv2024_extraordinario-T46</x:v>
      </x:c>
      <x:c r="B212" s="18" t="n">
        <x:v>2025</x:v>
      </x:c>
      <x:c r="C212" s="18" t="str">
        <x:v>S08</x:v>
      </x:c>
      <x:c r="D212" s="18" t="str">
        <x:v>texto refundido de la Ley General de la Seguridad Social</x:v>
      </x:c>
      <x:c r="E212" s="18" t="str">
        <x:v>171</x:v>
      </x:c>
      <x:c r="F212" s="18" t="str"/>
      <x:c r="G212" s="18" t="str">
        <x:v>Órganos</x:v>
      </x:c>
      <x:c r="H212" s="18" t="str">
        <x:v>De acuerdo con el artículo 171 del texto refundido de la Ley General de la Seguridad Social, en la situación especial de incapacidad temporal por donación de órganos o tejidos para su trasplante, la prestación económica consistirá en:</x:v>
      </x:c>
      <x:c r="I212" s="18" t="str">
        <x:v>C</x:v>
      </x:c>
      <x:c r="J212" s="18" t="str">
        <x:v>Válida</x:v>
      </x:c>
    </x:row>
    <x:row r="213">
      <x:c r="A213" s="18" t="str">
        <x:v>2025_conv2024_extraordinario-T47</x:v>
      </x:c>
      <x:c r="B213" s="18" t="n">
        <x:v>2025</x:v>
      </x:c>
      <x:c r="C213" s="18" t="str">
        <x:v>S08</x:v>
      </x:c>
      <x:c r="D213" s="18" t="str">
        <x:v>texto refundido de la Ley General de la Seguridad Social</x:v>
      </x:c>
      <x:c r="E213" s="18" t="str">
        <x:v>173</x:v>
      </x:c>
      <x:c r="F213" s="18" t="str"/>
      <x:c r="G213" s="18" t="str">
        <x:v>Incapacidad</x:v>
      </x:c>
      <x:c r="H213" s="18" t="str">
        <x:v>En virtud del artículo 173 del texto refundido de la Ley General de la Seguridad Social, en las situaciones especiales de incapacidad temporal por menstruación incapacitante secundaria, el subsidio se abonará:</x:v>
      </x:c>
      <x:c r="I213" s="18" t="str">
        <x:v>A</x:v>
      </x:c>
      <x:c r="J213" s="18" t="str">
        <x:v>Válida</x:v>
      </x:c>
    </x:row>
    <x:row r="214">
      <x:c r="A214" s="18" t="str">
        <x:v>2025_conv2024_extraordinario-T49</x:v>
      </x:c>
      <x:c r="B214" s="18" t="n">
        <x:v>2025</x:v>
      </x:c>
      <x:c r="C214" s="18" t="str">
        <x:v>S08</x:v>
      </x:c>
      <x:c r="D214" s="18" t="str">
        <x:v>texto refundido de la Ley General de la Seguridad Social</x:v>
      </x:c>
      <x:c r="E214" s="18" t="str">
        <x:v>174</x:v>
      </x:c>
      <x:c r="F214" s="18" t="str"/>
      <x:c r="G214" s="18" t="str">
        <x:v>Plazos</x:v>
      </x:c>
      <x:c r="H214" s="18" t="str">
        <x:v>En virtud del artículo 174 del texto refundido de la Ley General de la Seguridad Social, cuando el derecho al subsidio por incapacidad temporal se extinga por el transcurso del período de quinientos cuarenta y cinco días naturales, se examinará necesariame nte, el estado del incapacitado a efectos de su calificación, en el grado de incapacidad permanente que corresponda, en el plazo máximo de:</x:v>
      </x:c>
      <x:c r="I214" s="18" t="str">
        <x:v>B</x:v>
      </x:c>
      <x:c r="J214" s="18" t="str">
        <x:v>Válida</x:v>
      </x:c>
    </x:row>
    <x:row r="215">
      <x:c r="A215" s="18" t="str">
        <x:v>2025_conv2024_extraordinario-T50</x:v>
      </x:c>
      <x:c r="B215" s="18" t="n">
        <x:v>2025</x:v>
      </x:c>
      <x:c r="C215" s="18" t="str">
        <x:v>S09</x:v>
      </x:c>
      <x:c r="D215" s="18" t="str">
        <x:v>texto refundido de la Ley General de la Seguridad Social</x:v>
      </x:c>
      <x:c r="E215" s="18" t="str">
        <x:v>182</x:v>
      </x:c>
      <x:c r="F215" s="18" t="str"/>
      <x:c r="G215" s="18" t="str">
        <x:v>Cálculos</x:v>
      </x:c>
      <x:c r="H215" s="18" t="str">
        <x:v>Según lo dispuesto en el artículo 182 del texto refundido de la Ley General de la Seguridad Social respecto a la prestación económica por maternidad en el supuesto especial, ¿cuál es la regla sobre su cuantía?</x:v>
      </x:c>
      <x:c r="I215" s="18" t="str">
        <x:v>C</x:v>
      </x:c>
      <x:c r="J215" s="18" t="str">
        <x:v>Válida</x:v>
      </x:c>
    </x:row>
    <x:row r="216">
      <x:c r="A216" s="18" t="str">
        <x:v>2025_conv2024_extraordinario-T52</x:v>
      </x:c>
      <x:c r="B216" s="18" t="n">
        <x:v>2025</x:v>
      </x:c>
      <x:c r="C216" s="18" t="str">
        <x:v>S09</x:v>
      </x:c>
      <x:c r="D216" s="18" t="str">
        <x:v>texto refundido de la Ley General de la Seguridad Social</x:v>
      </x:c>
      <x:c r="E216" s="18" t="str">
        <x:v>183</x:v>
      </x:c>
      <x:c r="F216" s="18" t="str"/>
      <x:c r="G216" s="18" t="str">
        <x:v>Prestaciones familiares</x:v>
      </x:c>
      <x:c r="H216" s="18" t="str">
        <x:v>Conforme al artículo 183 del texto refundido de la Ley General de la Seguridad Social, ¿cuál de las siguientes afirmaciones es correcta respecto a la situación protegida a efectos de la prestación económica por ejercicio corresponsable del cuidado del lactante?</x:v>
      </x:c>
      <x:c r="I216" s="18" t="str">
        <x:v>B</x:v>
      </x:c>
      <x:c r="J216" s="18" t="str">
        <x:v>Válida</x:v>
      </x:c>
    </x:row>
    <x:row r="217">
      <x:c r="A217" s="18" t="str">
        <x:v>2025_conv2024_extraordinario-T53</x:v>
      </x:c>
      <x:c r="B217" s="18" t="n">
        <x:v>2025</x:v>
      </x:c>
      <x:c r="C217" s="18" t="str">
        <x:v>S10</x:v>
      </x:c>
      <x:c r="D217" s="18" t="str">
        <x:v>texto refundido de la Ley General de la Seguridad Social</x:v>
      </x:c>
      <x:c r="E217" s="18" t="str">
        <x:v>205</x:v>
      </x:c>
      <x:c r="F217" s="18" t="str"/>
      <x:c r="G217" s="18" t="str">
        <x:v>Jubilación</x:v>
      </x:c>
      <x:c r="H217" s="18" t="str">
        <x:v>Según el artículo 205 del texto refundido de la Ley General de la Seguridad Social, para el cómputo de los periodos de cotización a efectos de reconocimiento del derecho a la pensión de jubilación en su modalidad contributiva:</x:v>
      </x:c>
      <x:c r="I217" s="18" t="str">
        <x:v>A</x:v>
      </x:c>
      <x:c r="J217" s="18" t="str">
        <x:v>Válida</x:v>
      </x:c>
    </x:row>
    <x:row r="218">
      <x:c r="A218" s="18" t="str">
        <x:v>2025_conv2024_extraordinario-T54</x:v>
      </x:c>
      <x:c r="B218" s="18" t="n">
        <x:v>2025</x:v>
      </x:c>
      <x:c r="C218" s="18" t="str">
        <x:v>S10</x:v>
      </x:c>
      <x:c r="D218" s="18" t="str">
        <x:v>texto refundido de la Ley General de la Seguridad Social</x:v>
      </x:c>
      <x:c r="E218" s="18" t="str">
        <x:v>207</x:v>
      </x:c>
      <x:c r="F218" s="18" t="str"/>
      <x:c r="G218" s="18" t="str">
        <x:v>Requisitos</x:v>
      </x:c>
      <x:c r="H218" s="18" t="str">
        <x:v>En la jubilación anticipada por causa no imputable al trabajador del artículo 207 del texto refundido de la Ley General de la Seguridad Social, se exigirá, entre otros, el siguiente requisito:</x:v>
      </x:c>
      <x:c r="I218" s="18" t="str">
        <x:v>A</x:v>
      </x:c>
      <x:c r="J218" s="18" t="str">
        <x:v>Válida</x:v>
      </x:c>
    </x:row>
    <x:row r="219">
      <x:c r="A219" s="18" t="str">
        <x:v>2025_conv2024_extraordinario-T57</x:v>
      </x:c>
      <x:c r="B219" s="18" t="n">
        <x:v>2025</x:v>
      </x:c>
      <x:c r="C219" s="18" t="str">
        <x:v>S11</x:v>
      </x:c>
      <x:c r="D219" s="18" t="str">
        <x:v>texto refundido de la Ley General de la Seguridad Social</x:v>
      </x:c>
      <x:c r="E219" s="18" t="str">
        <x:v>217</x:v>
      </x:c>
      <x:c r="F219" s="18" t="str"/>
      <x:c r="G219" s="18" t="str">
        <x:v>Muerte y supervivencia</x:v>
      </x:c>
      <x:c r="H219" s="18" t="str">
        <x:v>De acuerdo con el artículo 217 del texto refundido de la Ley General de la Seguridad Social deberá probarse que la muerte ha ocurrido por accidente de trabajo o enfermedad profesional, salvo que tuvieran ya reconocido los causantes una incapacidad permanente absoluta o gran invalidez. Dicha prueba solo se admitirá:</x:v>
      </x:c>
      <x:c r="I219" s="18" t="str">
        <x:v>B</x:v>
      </x:c>
      <x:c r="J219" s="18" t="str">
        <x:v>Válida</x:v>
      </x:c>
    </x:row>
    <x:row r="220">
      <x:c r="A220" s="18" t="str">
        <x:v>2025_conv2024_extraordinario-T59</x:v>
      </x:c>
      <x:c r="B220" s="18" t="n">
        <x:v>2025</x:v>
      </x:c>
      <x:c r="C220" s="18" t="str">
        <x:v>S11</x:v>
      </x:c>
      <x:c r="D220" s="18" t="str">
        <x:v>texto refundido de la Ley General de la Seguridad Social</x:v>
      </x:c>
      <x:c r="E220" s="18" t="str">
        <x:v>229</x:v>
      </x:c>
      <x:c r="F220" s="18" t="str"/>
      <x:c r="G220" s="18" t="str">
        <x:v>Muerte y supervivencia</x:v>
      </x:c>
      <x:c r="H220" s="18" t="str">
        <x:v>El artículo 229 del texto refundido de la Ley General de la Seguridad Social establece un orden de preferencia para las pensiones en favor de otros familiares. ¿A quién le corresponde en primer lugar de los siguientes grupos de personas?</x:v>
      </x:c>
      <x:c r="I220" s="18" t="str">
        <x:v>C</x:v>
      </x:c>
      <x:c r="J220" s="18" t="str">
        <x:v>Válida</x:v>
      </x:c>
    </x:row>
    <x:row r="221">
      <x:c r="A221" s="18" t="str">
        <x:v>2025_conv2024_extraordinario-T60</x:v>
      </x:c>
      <x:c r="B221" s="18" t="n">
        <x:v>2025</x:v>
      </x:c>
      <x:c r="C221" s="18" t="str">
        <x:v>S12</x:v>
      </x:c>
      <x:c r="D221" s="18" t="str">
        <x:v>Ley 19/2021</x:v>
      </x:c>
      <x:c r="E221" s="18" t="str">
        <x:v>18</x:v>
      </x:c>
      <x:c r="F221" s="18" t="str"/>
      <x:c r="G221" s="18" t="str">
        <x:v>Prestaciones no contributivas</x:v>
      </x:c>
      <x:c r="H221" s="18" t="str">
        <x:v>Conforme a lo establecido en el artículo 18 de la Ley 19/2021, de 20 de diciembre, por la que se establece el ingreso mínimo vital, el derecho al ingreso mínimo vital se extinguirá por:</x:v>
      </x:c>
      <x:c r="I221" s="18" t="str">
        <x:v>A</x:v>
      </x:c>
      <x:c r="J221" s="18" t="str">
        <x:v>Válida</x:v>
      </x:c>
    </x:row>
    <x:row r="222">
      <x:c r="A222" s="18" t="str">
        <x:v>2025_conv2024_extraordinario-T61</x:v>
      </x:c>
      <x:c r="B222" s="18" t="n">
        <x:v>2025</x:v>
      </x:c>
      <x:c r="C222" s="18" t="str">
        <x:v>S12</x:v>
      </x:c>
      <x:c r="D222" s="18" t="str">
        <x:v>Ley 19/2021</x:v>
      </x:c>
      <x:c r="E222" s="18" t="str">
        <x:v>20</x:v>
      </x:c>
      <x:c r="F222" s="18" t="str"/>
      <x:c r="G222" s="18" t="str">
        <x:v>Definiciones</x:v>
      </x:c>
      <x:c r="H222" s="18" t="str">
        <x:v>Indique cuál de los siguientes conceptos NO se exceptúa del cómputo de rentas, de acuerdo con el artículo 20 de Ley 19/2021, de 20 de diciembre, por la que se establece el ingreso mínimo vital:</x:v>
      </x:c>
      <x:c r="I222" s="18" t="str">
        <x:v>B</x:v>
      </x:c>
      <x:c r="J222" s="18" t="str">
        <x:v>Válida</x:v>
      </x:c>
    </x:row>
    <x:row r="223">
      <x:c r="A223" s="18" t="str">
        <x:v>2025_conv2024_extraordinario-T62</x:v>
      </x:c>
      <x:c r="B223" s="18" t="n">
        <x:v>2025</x:v>
      </x:c>
      <x:c r="C223" s="18" t="str">
        <x:v>S12</x:v>
      </x:c>
      <x:c r="D223" s="18" t="str">
        <x:v>Ley 26/1990</x:v>
      </x:c>
      <x:c r="E223" s="18" t="str">
        <x:v>5</x:v>
      </x:c>
      <x:c r="F223" s="18" t="str"/>
      <x:c r="G223" s="18" t="str">
        <x:v>Prestaciones no contributivas</x:v>
      </x:c>
      <x:c r="H223" s="18" t="str">
        <x:v>Indique la afirmación correcta respecto a las revisiones del grado de minusvalía o enfermedad crónica en caso de invalidez, regulado en artículo 5 del Real Decreto Real Decreto 357/1991, de 15 de marzo, por el que se desarrolla, en materia de pensiones no contributivas, la Ley 26/1990, de 20 de diciembre, por la que se establecen en la Seguridad Social prestaciones no contributivas:</x:v>
      </x:c>
      <x:c r="I223" s="18" t="str">
        <x:v>B</x:v>
      </x:c>
      <x:c r="J223" s="18" t="str">
        <x:v>Válida</x:v>
      </x:c>
    </x:row>
    <x:row r="224">
      <x:c r="A224" s="18" t="str">
        <x:v>2025_conv2024_extraordinario-T63</x:v>
      </x:c>
      <x:c r="B224" s="18" t="n">
        <x:v>2025</x:v>
      </x:c>
      <x:c r="C224" s="18" t="str">
        <x:v>S12</x:v>
      </x:c>
      <x:c r="D224" s="18" t="str">
        <x:v>Real Decreto 8/2008</x:v>
      </x:c>
      <x:c r="E224" s="18" t="str">
        <x:v>3</x:v>
      </x:c>
      <x:c r="F224" s="18" t="str"/>
      <x:c r="G224" s="18" t="str">
        <x:v>Requisitos</x:v>
      </x:c>
      <x:c r="H224" s="18" t="str">
        <x:v>De acuerdo con el artículo 3 del Real Decreto 8/2008, de 11 de enero, por el que se regula la prestación por razón de necesidad a favor de los españoles residentes en el exterior y retornados, será un requisito para acceder a la prestación por razón de nec esidad a favor de los españoles residentes en el exterior:</x:v>
      </x:c>
      <x:c r="I224" s="18" t="str">
        <x:v>C</x:v>
      </x:c>
      <x:c r="J224" s="18" t="str">
        <x:v>Válida</x:v>
      </x:c>
    </x:row>
    <x:row r="225">
      <x:c r="A225" s="18" t="str">
        <x:v>2025_conv2024_extraordinario-T64</x:v>
      </x:c>
      <x:c r="B225" s="18" t="n">
        <x:v>2025</x:v>
      </x:c>
      <x:c r="C225" s="18" t="str">
        <x:v>S12</x:v>
      </x:c>
      <x:c r="D225" s="18" t="str">
        <x:v>Ley 19/2021</x:v>
      </x:c>
      <x:c r="E225" s="18" t="str">
        <x:v>14</x:v>
      </x:c>
      <x:c r="F225" s="18" t="str"/>
      <x:c r="G225" s="18" t="str">
        <x:v>Personas beneficiarias</x:v>
      </x:c>
      <x:c r="H225" s="18" t="str">
        <x:v>De acuerdo con lo establecido en el artículo 14 de la Ley 19/2021, de 20 de diciembre, por la que se establece el ingreso mínimo vital, el derecho a la prestación nacerá:</x:v>
      </x:c>
      <x:c r="I225" s="18" t="str">
        <x:v>A</x:v>
      </x:c>
      <x:c r="J225" s="18" t="str">
        <x:v>Válida</x:v>
      </x:c>
    </x:row>
    <x:row r="226">
      <x:c r="A226" s="18" t="str">
        <x:v>2025_conv2024_extraordinario-T65</x:v>
      </x:c>
      <x:c r="B226" s="18" t="n">
        <x:v>2025</x:v>
      </x:c>
      <x:c r="C226" s="18" t="str">
        <x:v>S13</x:v>
      </x:c>
      <x:c r="D226" s="18" t="str">
        <x:v>Real Decreto 696/2018</x:v>
      </x:c>
      <x:c r="E226" s="18" t="str">
        <x:v>10</x:v>
      </x:c>
      <x:c r="F226" s="18" t="str"/>
      <x:c r="G226" s="18" t="str">
        <x:v>Artículos literales</x:v>
      </x:c>
      <x:c r="H226" s="18" t="str">
        <x:v>En relación con la apertura de cuentas corrientes recogida en el artículo 10 del Real Decreto 696/2018, de 29 de junio, por el que se aprueba el Reglamento general de la gestión financiera de la Seguridad Social:</x:v>
      </x:c>
      <x:c r="I226" s="18" t="str">
        <x:v>C</x:v>
      </x:c>
      <x:c r="J226" s="18" t="str">
        <x:v>Válida</x:v>
      </x:c>
    </x:row>
    <x:row r="227">
      <x:c r="A227" s="18" t="str">
        <x:v>2025_conv2024_extraordinario-T66</x:v>
      </x:c>
      <x:c r="B227" s="18" t="n">
        <x:v>2025</x:v>
      </x:c>
      <x:c r="C227" s="18" t="str">
        <x:v>S13</x:v>
      </x:c>
      <x:c r="D227" s="18" t="str">
        <x:v>Real Decreto 1221/1992</x:v>
      </x:c>
      <x:c r="E227" s="18" t="str">
        <x:v>9</x:v>
      </x:c>
      <x:c r="F227" s="18" t="str"/>
      <x:c r="G227" s="18" t="str">
        <x:v>Procedimientos</x:v>
      </x:c>
      <x:c r="H227" s="18" t="str">
        <x:v>En relación con el procedimiento general para la adquisición de bienes inmuebles recogido en el artículo 9 del Real Decreto 1221/1992, de 9 de octubre, sobre el patrimonio de la Seguridad Social:</x:v>
      </x:c>
      <x:c r="I227" s="18" t="str">
        <x:v>A</x:v>
      </x:c>
      <x:c r="J227" s="18" t="str">
        <x:v>Válida</x:v>
      </x:c>
    </x:row>
    <x:row r="228">
      <x:c r="A228" s="18" t="str">
        <x:v>2025_conv2024_extraordinario-T67</x:v>
      </x:c>
      <x:c r="B228" s="18" t="n">
        <x:v>2025</x:v>
      </x:c>
      <x:c r="C228" s="18" t="str">
        <x:v>S13</x:v>
      </x:c>
      <x:c r="D228" s="18" t="str">
        <x:v>Real Decreto 696/2018</x:v>
      </x:c>
      <x:c r="E228" s="18" t="str">
        <x:v>14</x:v>
      </x:c>
      <x:c r="F228" s="18" t="str"/>
      <x:c r="G228" s="18" t="str">
        <x:v>Artículos literales</x:v>
      </x:c>
      <x:c r="H228" s="18" t="str">
        <x:v>De conformidad con el artículo 14 del Real Decreto 696/2018, de 29 de junio, por el que se aprueba el Reglamento general de la gestión financiera de la Seguridad Social, corresponde ejercer la función de Tesorero General y Ordenador General de Pagos de la Seguridad Social, bajo la autoridad del Ministerio de Inclusión, Seguridad Social y Migraciones:</x:v>
      </x:c>
      <x:c r="I228" s="18" t="str">
        <x:v>C</x:v>
      </x:c>
      <x:c r="J228" s="18" t="str">
        <x:v>Válida</x:v>
      </x:c>
    </x:row>
    <x:row r="229">
      <x:c r="A229" s="18" t="str">
        <x:v>2025_conv2024_extraordinario-T68</x:v>
      </x:c>
      <x:c r="B229" s="18" t="n">
        <x:v>2025</x:v>
      </x:c>
      <x:c r="C229" s="18" t="str">
        <x:v>S13</x:v>
      </x:c>
      <x:c r="D229" s="18" t="str">
        <x:v>Real Decreto 1221/1992</x:v>
      </x:c>
      <x:c r="E229" s="18" t="str">
        <x:v>6</x:v>
      </x:c>
      <x:c r="F229" s="18" t="str"/>
      <x:c r="G229" s="18" t="str">
        <x:v>Artículos literales</x:v>
      </x:c>
      <x:c r="H229" s="18" t="str">
        <x:v>En relación con los bienes y derechos del patrimonio de la Seguridad Social , el artículo 6 del Real Decreto 1221/1992, de 9 de octubre, sobre el patrimonio de la Seguridad Social, establece que :</x:v>
      </x:c>
      <x:c r="I229" s="18" t="str">
        <x:v>A</x:v>
      </x:c>
      <x:c r="J229" s="18" t="str">
        <x:v>Válida</x:v>
      </x:c>
    </x:row>
    <x:row r="230">
      <x:c r="A230" s="18" t="str">
        <x:v>2025_conv2024_extraordinario-T69</x:v>
      </x:c>
      <x:c r="B230" s="18" t="n">
        <x:v>2025</x:v>
      </x:c>
      <x:c r="C230" s="18" t="str">
        <x:v>S13</x:v>
      </x:c>
      <x:c r="D230" s="18" t="str">
        <x:v>texto refundido de la Ley General de la Seguridad Social</x:v>
      </x:c>
      <x:c r="E230" s="18" t="str">
        <x:v>107</x:v>
      </x:c>
      <x:c r="F230" s="18" t="str"/>
      <x:c r="G230" s="18" t="str">
        <x:v>Artículos literales</x:v>
      </x:c>
      <x:c r="H230" s="18" t="str">
        <x:v>El artículo 107 del texto refundido de la Ley General de la Seguridad Social, e n relación con el arrendamiento y cesión de los bienes inmuebles del patrimonio de la Seguridad Social , establece que:</x:v>
      </x:c>
      <x:c r="I230" s="18" t="str">
        <x:v>B</x:v>
      </x:c>
      <x:c r="J230" s="18" t="str">
        <x:v>Válida</x:v>
      </x:c>
    </x:row>
    <x:row r="231">
      <x:c r="A231" s="18" t="str">
        <x:v>2025_conv2024_extraordinario-T70</x:v>
      </x:c>
      <x:c r="B231" s="18" t="n">
        <x:v>2025</x:v>
      </x:c>
      <x:c r="C231" s="18" t="str">
        <x:v>S06</x:v>
      </x:c>
      <x:c r="D231" s="18" t="str">
        <x:v>Real Decreto 1415/2004</x:v>
      </x:c>
      <x:c r="E231" s="18" t="str">
        <x:v>111</x:v>
      </x:c>
      <x:c r="F231" s="18" t="str"/>
      <x:c r="G231" s="18" t="str">
        <x:v>Recaudación ejecutiva</x:v>
      </x:c>
      <x:c r="H231" s="18" t="str">
        <x:v>El artículo 111 del Reglamento General de Recaudación de la Seguridad Social, aprobado por el Real Decreto 1415/2004, de 11 de junio, establece que si sobre los bienes embargados existiesen cargas o gravámenes de carácter real, servirá como tipo para la subasta:</x:v>
      </x:c>
      <x:c r="I231" s="18" t="str">
        <x:v>A</x:v>
      </x:c>
      <x:c r="J231" s="18" t="str">
        <x:v>Válida</x:v>
      </x:c>
    </x:row>
    <x:row r="232">
      <x:c r="A232" s="18" t="str">
        <x:v>2025_conv2024_extraordinario-T72</x:v>
      </x:c>
      <x:c r="B232" s="18" t="n">
        <x:v>2025</x:v>
      </x:c>
      <x:c r="C232" s="18" t="str">
        <x:v>S06</x:v>
      </x:c>
      <x:c r="D232" s="18" t="str">
        <x:v>Real Decreto 1415/2004</x:v>
      </x:c>
      <x:c r="E232" s="18" t="str">
        <x:v>129</x:v>
      </x:c>
      <x:c r="F232" s="18" t="str"/>
      <x:c r="G232" s="18" t="str">
        <x:v>Competencias</x:v>
      </x:c>
      <x:c r="H232" s="18" t="str">
        <x:v>El artículo 129 del Reglamento General de Recaudación de la Seguridad Social aprobado por el Real Decreto 1415/2004, de 11 de junio , establece que la competencia para calificar un crédito como incobrable corresponde a:</x:v>
      </x:c>
      <x:c r="I232" s="18" t="str">
        <x:v>C</x:v>
      </x:c>
      <x:c r="J232" s="18" t="str">
        <x:v>Válida</x:v>
      </x:c>
    </x:row>
    <x:row r="233">
      <x:c r="A233" s="18" t="str">
        <x:v>2025_conv2024_extraordinario-T73</x:v>
      </x:c>
      <x:c r="B233" s="18" t="n">
        <x:v>2025</x:v>
      </x:c>
      <x:c r="C233" s="18" t="str">
        <x:v>G16</x:v>
      </x:c>
      <x:c r="D233" s="18" t="str">
        <x:v>Ley 39/2015</x:v>
      </x:c>
      <x:c r="E233" s="18" t="str">
        <x:v>21</x:v>
      </x:c>
      <x:c r="F233" s="18" t="str"/>
      <x:c r="G233" s="18" t="str">
        <x:v>Procedimientos</x:v>
      </x:c>
      <x:c r="H233" s="18" t="str">
        <x:v>De conformidad con el artículo 21 de la Ley 39/2015, de 1 de octubre, del Procedimiento Administrativo Común de las Administraciones Públicas, que regula la obligación de resolver, señale la respuesta correcta:</x:v>
      </x:c>
      <x:c r="I233" s="18" t="str">
        <x:v>B</x:v>
      </x:c>
      <x:c r="J233" s="18" t="str">
        <x:v>Válida</x:v>
      </x:c>
    </x:row>
    <x:row r="234">
      <x:c r="A234" s="18" t="str">
        <x:v>2025_conv2024_extraordinario-P13</x:v>
      </x:c>
      <x:c r="B234" s="18" t="n">
        <x:v>2025</x:v>
      </x:c>
      <x:c r="C234" s="18" t="str">
        <x:v>S08</x:v>
      </x:c>
      <x:c r="D234" s="18" t="str"/>
      <x:c r="E234" s="18" t="str"/>
      <x:c r="F234" s="18" t="str">
        <x:v>57 años; 57 años de edad</x:v>
      </x:c>
      <x:c r="G234" s="18" t="str">
        <x:v>Incapacidad</x:v>
      </x:c>
      <x:c r="H234" s="18" t="str">
        <x:v>El 20 de octubre de 2026, Carlos, a sus 57 años de edad, comienza a prestar servicios como personal administrativo en la empresa DIVINOS S.L. La lumbalgia que presenta es definitiva y quiere saber si tiene derecho a la indemnización a tanto alzado por incapacidad permanente total.</x:v>
      </x:c>
      <x:c r="I234" s="18" t="str">
        <x:v>C</x:v>
      </x:c>
      <x:c r="J234" s="18" t="str">
        <x:v>Válida</x:v>
      </x:c>
    </x:row>
    <x:row r="235">
      <x:c r="A235" s="18" t="str">
        <x:v>2026_conv2025_rojo_A-T04</x:v>
      </x:c>
      <x:c r="B235" s="18" t="n">
        <x:v>2026</x:v>
      </x:c>
      <x:c r="C235" s="18" t="str">
        <x:v>G03</x:v>
      </x:c>
      <x:c r="D235" s="18" t="str">
        <x:v>Ley Orgánica 2/1979</x:v>
      </x:c>
      <x:c r="E235" s="18" t="str">
        <x:v>23</x:v>
      </x:c>
      <x:c r="F235" s="18" t="str"/>
      <x:c r="G235" s="18" t="str">
        <x:v>Artículos literales</x:v>
      </x:c>
      <x:c r="H235" s="18" t="str">
        <x:v>Conforme a 10 previsto en el artículo 23 de la Ley Orgánica 2/1979, de 3 de octubre, del Tribunal Constitucional, la decisión sobre el cese de los Magistrados del Tribunal Constitucional requerirá mayoría simple del Pleno cuando se trate de:</x:v>
      </x:c>
      <x:c r="I235" s="18" t="str">
        <x:v>D</x:v>
      </x:c>
      <x:c r="J235" s="18" t="str">
        <x:v>Válida</x:v>
      </x:c>
    </x:row>
    <x:row r="236">
      <x:c r="A236" s="18" t="str">
        <x:v>2026_conv2025_rojo_A-T05</x:v>
      </x:c>
      <x:c r="B236" s="18" t="n">
        <x:v>2026</x:v>
      </x:c>
      <x:c r="C236" s="18" t="str">
        <x:v>G03</x:v>
      </x:c>
      <x:c r="D236" s="18" t="str">
        <x:v>Ley Orgánica 2/1979</x:v>
      </x:c>
      <x:c r="E236" s="18" t="str">
        <x:v>16</x:v>
      </x:c>
      <x:c r="F236" s="18" t="str"/>
      <x:c r="G236" s="18" t="str">
        <x:v>Artículos literales</x:v>
      </x:c>
      <x:c r="H236" s="18" t="str">
        <x:v>Según 10 dispuesto en el artículo 16 de la Ley Orgánica 2/1979, de 3 de octubre, del Tribunal Constitucional, en relación con la designación de los Magistrados que integran dicho tribunal, señale la opción correcta:</x:v>
      </x:c>
      <x:c r="I236" s="18" t="str">
        <x:v>B</x:v>
      </x:c>
      <x:c r="J236" s="18" t="str">
        <x:v>Válida</x:v>
      </x:c>
    </x:row>
    <x:row r="237">
      <x:c r="A237" s="18" t="str">
        <x:v>2026_conv2025_rojo_A-T06</x:v>
      </x:c>
      <x:c r="B237" s="18" t="n">
        <x:v>2026</x:v>
      </x:c>
      <x:c r="C237" s="18" t="str">
        <x:v>G04</x:v>
      </x:c>
      <x:c r="D237" s="18" t="str">
        <x:v>Constitución Española</x:v>
      </x:c>
      <x:c r="E237" s="18" t="str">
        <x:v>59.3</x:v>
      </x:c>
      <x:c r="F237" s="18" t="str"/>
      <x:c r="G237" s="18" t="str">
        <x:v>Artículos literales</x:v>
      </x:c>
      <x:c r="H237" s="18" t="str">
        <x:v>Según eI artículo 59.3 de la Constitución Española, señale la afirmación correcta:</x:v>
      </x:c>
      <x:c r="I237" s="18" t="str">
        <x:v>B</x:v>
      </x:c>
      <x:c r="J237" s="18" t="str">
        <x:v>Válida</x:v>
      </x:c>
    </x:row>
    <x:row r="238">
      <x:c r="A238" s="18" t="str">
        <x:v>2026_conv2025_rojo_A-T07</x:v>
      </x:c>
      <x:c r="B238" s="18" t="n">
        <x:v>2026</x:v>
      </x:c>
      <x:c r="C238" s="18" t="str">
        <x:v>G05</x:v>
      </x:c>
      <x:c r="D238" s="18" t="str">
        <x:v>Constitución Española</x:v>
      </x:c>
      <x:c r="E238" s="18" t="str">
        <x:v>68</x:v>
      </x:c>
      <x:c r="F238" s="18" t="str"/>
      <x:c r="G238" s="18" t="str">
        <x:v>Artículos literales</x:v>
      </x:c>
      <x:c r="H238" s="18" t="str">
        <x:v>EI artículo 68 de la Constitución Española establece que las poblaciones de Ceuta y Melilla estarán representadas en eI Congreso:</x:v>
      </x:c>
      <x:c r="I238" s="18" t="str">
        <x:v>C</x:v>
      </x:c>
      <x:c r="J238" s="18" t="str">
        <x:v>Válida</x:v>
      </x:c>
    </x:row>
    <x:row r="239">
      <x:c r="A239" s="18" t="str">
        <x:v>2026_conv2025_rojo_A-T08</x:v>
      </x:c>
      <x:c r="B239" s="18" t="n">
        <x:v>2026</x:v>
      </x:c>
      <x:c r="C239" s="18" t="str">
        <x:v>G05</x:v>
      </x:c>
      <x:c r="D239" s="18" t="str">
        <x:v>Constitución Española</x:v>
      </x:c>
      <x:c r="E239" s="18" t="str">
        <x:v>73</x:v>
      </x:c>
      <x:c r="F239" s="18" t="str"/>
      <x:c r="G239" s="18" t="str">
        <x:v>Artículos literales</x:v>
      </x:c>
      <x:c r="H239" s="18" t="str">
        <x:v>En virtud del artículo 73 de la Constitución Española, las Cámaras se reunirán anualmente en dos períodos ordinarios de sesiones:</x:v>
      </x:c>
      <x:c r="I239" s="18" t="str">
        <x:v>B</x:v>
      </x:c>
      <x:c r="J239" s="18" t="str">
        <x:v>Válida</x:v>
      </x:c>
    </x:row>
    <x:row r="240">
      <x:c r="A240" s="18" t="str">
        <x:v>2026_conv2025_rojo_A-T09</x:v>
      </x:c>
      <x:c r="B240" s="18" t="n">
        <x:v>2026</x:v>
      </x:c>
      <x:c r="C240" s="18" t="str">
        <x:v>G06</x:v>
      </x:c>
      <x:c r="D240" s="18" t="str">
        <x:v>Ley Orgánica 6/1985</x:v>
      </x:c>
      <x:c r="E240" s="18" t="str">
        <x:v>55</x:v>
      </x:c>
      <x:c r="F240" s="18" t="str"/>
      <x:c r="G240" s="18" t="str">
        <x:v>Artículos literales</x:v>
      </x:c>
      <x:c r="H240" s="18" t="str">
        <x:v>Señale la respuesta correcta en relación con qué Salas integran el Tribunal Supremo y su orden, según se determina en el artículo 55 de la Ley Orgánica 6/1985, de 1 de julio, del Poder Judicial:</x:v>
      </x:c>
      <x:c r="I240" s="18" t="str">
        <x:v>D</x:v>
      </x:c>
      <x:c r="J240" s="18" t="str">
        <x:v>Válida</x:v>
      </x:c>
    </x:row>
    <x:row r="241">
      <x:c r="A241" s="18" t="str">
        <x:v>2026_conv2025_rojo_A-T10</x:v>
      </x:c>
      <x:c r="B241" s="18" t="n">
        <x:v>2026</x:v>
      </x:c>
      <x:c r="C241" s="18" t="str">
        <x:v>G07</x:v>
      </x:c>
      <x:c r="D241" s="18" t="str">
        <x:v>Constitución Española</x:v>
      </x:c>
      <x:c r="E241" s="18" t="str">
        <x:v>113</x:v>
      </x:c>
      <x:c r="F241" s="18" t="str"/>
      <x:c r="G241" s="18" t="str">
        <x:v>Artículos literales</x:v>
      </x:c>
      <x:c r="H241" s="18" t="str">
        <x:v>Conforme al artículo 113 de la Constitución Española, la moción de censura:</x:v>
      </x:c>
      <x:c r="I241" s="18" t="str">
        <x:v>D</x:v>
      </x:c>
      <x:c r="J241" s="18" t="str">
        <x:v>Válida</x:v>
      </x:c>
    </x:row>
    <x:row r="242">
      <x:c r="A242" s="18" t="str">
        <x:v>2026_conv2025_rojo_A-T11</x:v>
      </x:c>
      <x:c r="B242" s="18" t="n">
        <x:v>2026</x:v>
      </x:c>
      <x:c r="C242" s="18" t="str">
        <x:v>G08</x:v>
      </x:c>
      <x:c r="D242" s="18" t="str">
        <x:v>Ley 40/2015</x:v>
      </x:c>
      <x:c r="E242" s="18" t="str">
        <x:v>57 y 58</x:v>
      </x:c>
      <x:c r="F242" s="18" t="str"/>
      <x:c r="G242" s="18" t="str">
        <x:v>Artículos literales</x:v>
      </x:c>
      <x:c r="H242" s="18" t="str">
        <x:v>Según los artículos 57 y 58 de la Ley 40/2015, de I de octubre, de Régimen Jurídico del Sector Público, señale la respuesta correcta respecto a la organización y funcionamiento de los Departamentos Ministeriales:</x:v>
      </x:c>
      <x:c r="I242" s="18" t="str">
        <x:v>D</x:v>
      </x:c>
      <x:c r="J242" s="18" t="str">
        <x:v>Válida</x:v>
      </x:c>
    </x:row>
    <x:row r="243">
      <x:c r="A243" s="18" t="str">
        <x:v>2026_conv2025_rojo_A-T13</x:v>
      </x:c>
      <x:c r="B243" s="18" t="n">
        <x:v>2026</x:v>
      </x:c>
      <x:c r="C243" s="18" t="str">
        <x:v>G09</x:v>
      </x:c>
      <x:c r="D243" s="18" t="str">
        <x:v>Constitución Española</x:v>
      </x:c>
      <x:c r="E243" s="18" t="str">
        <x:v>155</x:v>
      </x:c>
      <x:c r="F243" s="18" t="str"/>
      <x:c r="G243" s="18" t="str">
        <x:v>Requisitos</x:v>
      </x:c>
      <x:c r="H243" s="18" t="str">
        <x:v>Según eI artículo 155 de la Constitución Española, ¿Qué requisito es imprescindible para que el Gobierno pueda adoptar las medidas necesarias para obligar a una comunidad autónoma al cumplimiento forzoso de sus obligaciones?</x:v>
      </x:c>
      <x:c r="I243" s="18" t="str">
        <x:v>A</x:v>
      </x:c>
      <x:c r="J243" s="18" t="str">
        <x:v>Válida</x:v>
      </x:c>
    </x:row>
    <x:row r="244">
      <x:c r="A244" s="18" t="str">
        <x:v>2026_conv2025_rojo_A-T14</x:v>
      </x:c>
      <x:c r="B244" s="18" t="n">
        <x:v>2026</x:v>
      </x:c>
      <x:c r="C244" s="18" t="str">
        <x:v>G10</x:v>
      </x:c>
      <x:c r="D244" s="18" t="str">
        <x:v>Tratado de la Unión Europea</x:v>
      </x:c>
      <x:c r="E244" s="18" t="str">
        <x:v>14</x:v>
      </x:c>
      <x:c r="F244" s="18" t="str"/>
      <x:c r="G244" s="18" t="str">
        <x:v>Artículos literales</x:v>
      </x:c>
      <x:c r="H244" s="18" t="str">
        <x:v>De acuerdo con eI artículo 14, apartado 1, del Tratado de la Unión Europea, eI Parlamento Europeo ejercerá, conjuntamente con el Consejo:</x:v>
      </x:c>
      <x:c r="I244" s="18" t="str">
        <x:v>A</x:v>
      </x:c>
      <x:c r="J244" s="18" t="str">
        <x:v>Válida</x:v>
      </x:c>
    </x:row>
    <x:row r="245">
      <x:c r="A245" s="18" t="str">
        <x:v>2026_conv2025_rojo_A-T15</x:v>
      </x:c>
      <x:c r="B245" s="18" t="n">
        <x:v>2026</x:v>
      </x:c>
      <x:c r="C245" s="18" t="str">
        <x:v>G10</x:v>
      </x:c>
      <x:c r="D245" s="18" t="str">
        <x:v>Tratado de la Unión Europea</x:v>
      </x:c>
      <x:c r="E245" s="18" t="str">
        <x:v>17</x:v>
      </x:c>
      <x:c r="F245" s="18" t="str"/>
      <x:c r="G245" s="18" t="str">
        <x:v>Artículos literales</x:v>
      </x:c>
      <x:c r="H245" s="18" t="str">
        <x:v>De conformidad con el artículo 17 del Tratado de la Unión Europea, el Parlamento Europeo elegirá al candidato para eI cargo de Presidente de la Comisión por:</x:v>
      </x:c>
      <x:c r="I245" s="18" t="str">
        <x:v>B</x:v>
      </x:c>
      <x:c r="J245" s="18" t="str">
        <x:v>Válida</x:v>
      </x:c>
    </x:row>
    <x:row r="246">
      <x:c r="A246" s="18" t="str">
        <x:v>2026_conv2025_rojo_A-T16</x:v>
      </x:c>
      <x:c r="B246" s="18" t="n">
        <x:v>2026</x:v>
      </x:c>
      <x:c r="C246" s="18" t="str">
        <x:v>G12</x:v>
      </x:c>
      <x:c r="D246" s="18" t="str">
        <x:v>Real Decreto 501/2024</x:v>
      </x:c>
      <x:c r="E246" s="18" t="str">
        <x:v>3</x:v>
      </x:c>
      <x:c r="F246" s="18" t="str"/>
      <x:c r="G246" s="18" t="str">
        <x:v>Artículos literales</x:v>
      </x:c>
      <x:c r="H246" s="18" t="str">
        <x:v>Según recoge eI artículo 3 del Real Decreto 501/2024, de 21 de mayo, por eI que se desarrolla la estructura orgánica básica del Ministerio de Inclusión, Seguridad Social y Migraciones, señale la respuesta correcta en relación con las funciones de la Dirección General de Ordenación de la Seguridad Social:</x:v>
      </x:c>
      <x:c r="I246" s="18" t="str">
        <x:v>A</x:v>
      </x:c>
      <x:c r="J246" s="18" t="str">
        <x:v>Válida</x:v>
      </x:c>
    </x:row>
    <x:row r="247">
      <x:c r="A247" s="18" t="str">
        <x:v>2026_conv2025_rojo_A-T18</x:v>
      </x:c>
      <x:c r="B247" s="18" t="n">
        <x:v>2026</x:v>
      </x:c>
      <x:c r="C247" s="18" t="str">
        <x:v>G14</x:v>
      </x:c>
      <x:c r="D247" s="18" t="str">
        <x:v>Ley 50/1997</x:v>
      </x:c>
      <x:c r="E247" s="18" t="str">
        <x:v>24</x:v>
      </x:c>
      <x:c r="F247" s="18" t="str"/>
      <x:c r="G247" s="18" t="str">
        <x:v>Artículos literales</x:v>
      </x:c>
      <x:c r="H247" s="18" t="str">
        <x:v>De acuerdo con eI artículo 24 de la Ley 50/1997, de 27 de noviembre, del Gobierno, ¿qué rango ocupan las órdenes Ministeriales respecto de las disposiciones aprobadas por Real Decreto del Presidente del Gobierno o del Consejo de Ministros?</x:v>
      </x:c>
      <x:c r="I247" s="18" t="str">
        <x:v>B</x:v>
      </x:c>
      <x:c r="J247" s="18" t="str">
        <x:v>Válida</x:v>
      </x:c>
    </x:row>
    <x:row r="248">
      <x:c r="A248" s="18" t="str">
        <x:v>2026_conv2025_rojo_A-T19</x:v>
      </x:c>
      <x:c r="B248" s="18" t="n">
        <x:v>2026</x:v>
      </x:c>
      <x:c r="C248" s="18" t="str">
        <x:v>G15</x:v>
      </x:c>
      <x:c r="D248" s="18" t="str">
        <x:v>Ley 39/2015</x:v>
      </x:c>
      <x:c r="E248" s="18" t="str">
        <x:v>49</x:v>
      </x:c>
      <x:c r="F248" s="18" t="str"/>
      <x:c r="G248" s="18" t="str">
        <x:v>Procedimientos</x:v>
      </x:c>
      <x:c r="H248" s="18" t="str">
        <x:v>La Ley 39/2015, de I de octubre, del Procedimiento Administrativo Común de las Administraciones Públicas, en eI artículo 49, regula los límites a la extensión de la nulidad o anulabilidad de los actos. Señale la respuesta correcta:</x:v>
      </x:c>
      <x:c r="I248" s="18" t="str">
        <x:v>D</x:v>
      </x:c>
      <x:c r="J248" s="18" t="str">
        <x:v>Válida</x:v>
      </x:c>
    </x:row>
    <x:row r="249">
      <x:c r="A249" s="18" t="str">
        <x:v>2026_conv2025_rojo_A-T20</x:v>
      </x:c>
      <x:c r="B249" s="18" t="n">
        <x:v>2026</x:v>
      </x:c>
      <x:c r="C249" s="18" t="str">
        <x:v>G16</x:v>
      </x:c>
      <x:c r="D249" s="18" t="str">
        <x:v>ley 39/2015</x:v>
      </x:c>
      <x:c r="E249" s="18" t="str">
        <x:v>6</x:v>
      </x:c>
      <x:c r="F249" s="18" t="str"/>
      <x:c r="G249" s="18" t="str">
        <x:v>Plazos</x:v>
      </x:c>
      <x:c r="H249" s="18" t="str">
        <x:v>Según establece el artículo 6 de la ley 39/2015, de 1 de octubre, del Procedimiento Administrativo Común de las Administraciones Públicas, ¿cuál es el plazo máximo de validez por el que se puede otorgar un apoderamiento en el registro electrónico antes de su primera prórroga?</x:v>
      </x:c>
      <x:c r="I249" s="18" t="str">
        <x:v>A</x:v>
      </x:c>
      <x:c r="J249" s="18" t="str">
        <x:v>Válida</x:v>
      </x:c>
    </x:row>
    <x:row r="250">
      <x:c r="A250" s="18" t="str">
        <x:v>2026_conv2025_rojo_A-T21</x:v>
      </x:c>
      <x:c r="B250" s="18" t="n">
        <x:v>2026</x:v>
      </x:c>
      <x:c r="C250" s="18" t="str">
        <x:v>G17</x:v>
      </x:c>
      <x:c r="D250" s="18" t="str">
        <x:v>Ley 39/2015</x:v>
      </x:c>
      <x:c r="E250" s="18" t="str">
        <x:v>83</x:v>
      </x:c>
      <x:c r="F250" s="18" t="str"/>
      <x:c r="G250" s="18" t="str">
        <x:v>Procedimientos</x:v>
      </x:c>
      <x:c r="H250" s="18" t="str">
        <x:v>¿Qué efecto tiene la comparecencia en eI trámite de información pública, según el artículo 83 de la Ley 39/2015, de 1 de octubre, del Procedimiento Administrativo Común de las Administraciones Públicas?</x:v>
      </x:c>
      <x:c r="I250" s="18" t="str">
        <x:v>C</x:v>
      </x:c>
      <x:c r="J250" s="18" t="str">
        <x:v>Válida</x:v>
      </x:c>
    </x:row>
    <x:row r="251">
      <x:c r="A251" s="18" t="str">
        <x:v>2026_conv2025_rojo_A-T22</x:v>
      </x:c>
      <x:c r="B251" s="18" t="n">
        <x:v>2026</x:v>
      </x:c>
      <x:c r="C251" s="18" t="str">
        <x:v>G17</x:v>
      </x:c>
      <x:c r="D251" s="18" t="str">
        <x:v>Ley 39/2015</x:v>
      </x:c>
      <x:c r="E251" s="18" t="str">
        <x:v>100</x:v>
      </x:c>
      <x:c r="F251" s="18" t="str"/>
      <x:c r="G251" s="18" t="str">
        <x:v>Procedimientos</x:v>
      </x:c>
      <x:c r="H251" s="18" t="str">
        <x:v>Cuando la Administración dispone de varios medios de ejecución forzosa legalmente admisibles, ¿qué criterio debe aplicar conforme al artículo 100 de la Ley 39/2015, de I de octubre, del Procedimiento Administrativo Común de las Administraciones Públicas?</x:v>
      </x:c>
      <x:c r="I251" s="18" t="str">
        <x:v>C</x:v>
      </x:c>
      <x:c r="J251" s="18" t="str">
        <x:v>Válida</x:v>
      </x:c>
    </x:row>
    <x:row r="252">
      <x:c r="A252" s="18" t="str">
        <x:v>2026_conv2025_rojo_A-T23</x:v>
      </x:c>
      <x:c r="B252" s="18" t="n">
        <x:v>2026</x:v>
      </x:c>
      <x:c r="C252" s="18" t="str">
        <x:v>G18</x:v>
      </x:c>
      <x:c r="D252" s="18" t="str"/>
      <x:c r="E252" s="18" t="str">
        <x:v>122</x:v>
      </x:c>
      <x:c r="F252" s="18" t="str"/>
      <x:c r="G252" s="18" t="str">
        <x:v>Plazos</x:v>
      </x:c>
      <x:c r="H252" s="18" t="str">
        <x:v>De conformidad con el artículo 122 de la Ley 3912015, de I de octubre, del Procedimiento Administrativo Común de las Administraciones Públicas, 'eI plazo máximo para notificar la resolución de un recurso de alzada será:</x:v>
      </x:c>
      <x:c r="I252" s="18" t="str">
        <x:v>B</x:v>
      </x:c>
      <x:c r="J252" s="18" t="str">
        <x:v>Válida</x:v>
      </x:c>
    </x:row>
    <x:row r="253">
      <x:c r="A253" s="18" t="str">
        <x:v>2026_conv2025_rojo_A-T25</x:v>
      </x:c>
      <x:c r="B253" s="18" t="n">
        <x:v>2026</x:v>
      </x:c>
      <x:c r="C253" s="18" t="str">
        <x:v>G21</x:v>
      </x:c>
      <x:c r="D253" s="18" t="str">
        <x:v>Real Decreto Legislativo 1/2013</x:v>
      </x:c>
      <x:c r="E253" s="18" t="str">
        <x:v>56</x:v>
      </x:c>
      <x:c r="F253" s="18" t="str"/>
      <x:c r="G253" s="18" t="str">
        <x:v>Órganos</x:v>
      </x:c>
      <x:c r="H253" s="18" t="str">
        <x:v>De acuerdo con 10 dispuesto en el artículo 56 del Real Decreto Legislativo 1/2013, de 29 de noviembre, por eI que se aprueba eI Texto Refundido de la Ley General de los Derechos de las Personas con Discapacidad y de su Inclusión Social, ¿a qué órgano se adscribe la Oficina de Atención a la Discapacidad?</x:v>
      </x:c>
      <x:c r="I253" s="18" t="str">
        <x:v>A</x:v>
      </x:c>
      <x:c r="J253" s="18" t="str">
        <x:v>Válida</x:v>
      </x:c>
    </x:row>
    <x:row r="254">
      <x:c r="A254" s="18" t="str">
        <x:v>2026_conv2025_rojo_A-T26</x:v>
      </x:c>
      <x:c r="B254" s="18" t="n">
        <x:v>2026</x:v>
      </x:c>
      <x:c r="C254" s="18" t="str">
        <x:v>G21</x:v>
      </x:c>
      <x:c r="D254" s="18" t="str">
        <x:v>Ley Orgánica 3/2007</x:v>
      </x:c>
      <x:c r="E254" s="18" t="str">
        <x:v>27</x:v>
      </x:c>
      <x:c r="F254" s="18" t="str"/>
      <x:c r="G254" s="18" t="str">
        <x:v>Artículos literales</x:v>
      </x:c>
      <x:c r="H254" s="18" t="str">
        <x:v>De conformidad con eI artículo 27 de la Ley Orgánica 3/2007, de 22 de marzo, para la igualdad efectiva de mujeres y hombres, las políticas, estrategias y programas de salud integrarán las distintas necesidades de mujeres y hombres y las medidas necesarias para abordarlas adecuadamente:</x:v>
      </x:c>
      <x:c r="I254" s="18" t="str">
        <x:v>D</x:v>
      </x:c>
      <x:c r="J254" s="18" t="str">
        <x:v>Válida</x:v>
      </x:c>
    </x:row>
    <x:row r="255">
      <x:c r="A255" s="18" t="str">
        <x:v>2026_conv2025_rojo_A-T28</x:v>
      </x:c>
      <x:c r="B255" s="18" t="n">
        <x:v>2026</x:v>
      </x:c>
      <x:c r="C255" s="18" t="str">
        <x:v>G23</x:v>
      </x:c>
      <x:c r="D255" s="18" t="str">
        <x:v>Real Decreto 203/2021</x:v>
      </x:c>
      <x:c r="E255" s="18" t="str">
        <x:v>51</x:v>
      </x:c>
      <x:c r="F255" s="18" t="str"/>
      <x:c r="G255" s="18" t="str">
        <x:v>Artículos literales</x:v>
      </x:c>
      <x:c r="H255" s="18" t="str">
        <x:v>En relación con la configuración del expediente electrónico administrativo, regulada en eI artículo 51 del Real Decreto 203/2021, de 30 de marzo, por el que se aprueba eI Reglamento de actuación y funcionamiento del sector público por medios electrónicos, señale la respuesta correcta:</x:v>
      </x:c>
      <x:c r="I255" s="18" t="str">
        <x:v>A</x:v>
      </x:c>
      <x:c r="J255" s="18" t="str">
        <x:v>Válida</x:v>
      </x:c>
    </x:row>
    <x:row r="256">
      <x:c r="A256" s="18" t="str">
        <x:v>2026_conv2025_rojo_A-T31</x:v>
      </x:c>
      <x:c r="B256" s="18" t="n">
        <x:v>2026</x:v>
      </x:c>
      <x:c r="C256" s="18" t="str">
        <x:v>S02</x:v>
      </x:c>
      <x:c r="D256" s="18" t="str">
        <x:v>texto refundido de la Ley General de la Seguridad Social</x:v>
      </x:c>
      <x:c r="E256" s="18" t="str">
        <x:v>10</x:v>
      </x:c>
      <x:c r="F256" s="18" t="str"/>
      <x:c r="G256" s="18" t="str">
        <x:v>Artículos literales</x:v>
      </x:c>
      <x:c r="H256" s="18" t="str">
        <x:v>¿Cuál de los siguientes NO se considera un Régimen Especial de la Seguridad Social de los previstos en el articulo 10 del texto refundido de la Ley General de la Seguridad Social?:</x:v>
      </x:c>
      <x:c r="I256" s="18" t="str">
        <x:v>A</x:v>
      </x:c>
      <x:c r="J256" s="18" t="str">
        <x:v>Válida</x:v>
      </x:c>
    </x:row>
    <x:row r="257">
      <x:c r="A257" s="18" t="str">
        <x:v>2026_conv2025_rojo_A-T32</x:v>
      </x:c>
      <x:c r="B257" s="18" t="n">
        <x:v>2026</x:v>
      </x:c>
      <x:c r="C257" s="18" t="str">
        <x:v>S02</x:v>
      </x:c>
      <x:c r="D257" s="18" t="str">
        <x:v>texto refundido de la Ley General de la Seguridad Social</x:v>
      </x:c>
      <x:c r="E257" s="18" t="str">
        <x:v>12</x:v>
      </x:c>
      <x:c r="F257" s="18" t="str"/>
      <x:c r="G257" s="18" t="str">
        <x:v>Artículos literales</x:v>
      </x:c>
      <x:c r="H257" s="18" t="str">
        <x:v>Señale la respuesta correcta en base a 10 previsto en el artículo 12 del texto refundido de la Ley General de la Seguridad Social, sobre los familiares del empresario/a:</x:v>
      </x:c>
      <x:c r="I257" s="18" t="str">
        <x:v>C</x:v>
      </x:c>
      <x:c r="J257" s="18" t="str">
        <x:v>Válida</x:v>
      </x:c>
    </x:row>
    <x:row r="258">
      <x:c r="A258" s="18" t="str">
        <x:v>2026_conv2025_rojo_A-T39</x:v>
      </x:c>
      <x:c r="B258" s="18" t="n">
        <x:v>2026</x:v>
      </x:c>
      <x:c r="C258" s="18" t="str">
        <x:v>S04</x:v>
      </x:c>
      <x:c r="D258" s="18" t="str"/>
      <x:c r="E258" s="18" t="str">
        <x:v>18</x:v>
      </x:c>
      <x:c r="F258" s="18" t="str"/>
      <x:c r="G258" s="18" t="str">
        <x:v>Cotización</x:v>
      </x:c>
      <x:c r="H258" s="18" t="str">
        <x:v>De conformidad con eI artículo 18 del Real Decreto 206411995, de 22 de diciembre, por el que se aprueba el Reglamento General sobre Cotización y Liquidación de otros Derechos de la Seguridad Social, en eI sistema de liquidación simplificada:</x:v>
      </x:c>
      <x:c r="I258" s="18" t="str">
        <x:v>A</x:v>
      </x:c>
      <x:c r="J258" s="18" t="str">
        <x:v>Válida</x:v>
      </x:c>
    </x:row>
    <x:row r="259">
      <x:c r="A259" s="18" t="str">
        <x:v>2026_conv2025_rojo_A-T40</x:v>
      </x:c>
      <x:c r="B259" s="18" t="n">
        <x:v>2026</x:v>
      </x:c>
      <x:c r="C259" s="18" t="str">
        <x:v>S02</x:v>
      </x:c>
      <x:c r="D259" s="18" t="str">
        <x:v>texto refundido de la Ley General de la Seguridad Social</x:v>
      </x:c>
      <x:c r="E259" s="18" t="str">
        <x:v>253</x:v>
      </x:c>
      <x:c r="F259" s="18" t="str"/>
      <x:c r="G259" s="18" t="str">
        <x:v>Artículos literales</x:v>
      </x:c>
      <x:c r="H259" s="18" t="str">
        <x:v>Según el artículo 253 del texto refundido de la Ley General de la Seguridad Social, la exclusión del Sistema Especial para Trabajadores por Cuenta Ajena Agrarios durante los períodos de inactividad, con la consiguiente baja en eI Régimen General, podrá producirse:</x:v>
      </x:c>
      <x:c r="I259" s="18" t="str">
        <x:v>A</x:v>
      </x:c>
      <x:c r="J259" s="18" t="str">
        <x:v>Válida</x:v>
      </x:c>
    </x:row>
    <x:row r="260">
      <x:c r="A260" s="18" t="str">
        <x:v>2026_conv2025_rojo_A-T41</x:v>
      </x:c>
      <x:c r="B260" s="18" t="n">
        <x:v>2026</x:v>
      </x:c>
      <x:c r="C260" s="18" t="str">
        <x:v>S04</x:v>
      </x:c>
      <x:c r="D260" s="18" t="str">
        <x:v>texto refundido de la Ley General de la Seguridad Social</x:v>
      </x:c>
      <x:c r="E260" s="18" t="str">
        <x:v>246</x:v>
      </x:c>
      <x:c r="F260" s="18" t="str"/>
      <x:c r="G260" s="18" t="str">
        <x:v>Cotización</x:v>
      </x:c>
      <x:c r="H260" s="18" t="str">
        <x:v>En relación con los trabajadores contratados a tiempo parcial, el artículo 246 del texto refundido de la Ley General de la Seguridad Social establece que la base de cotización a la Seguridad Social y de las aportaciones que se recaudan conjuntamente con las cuotas de aquella:</x:v>
      </x:c>
      <x:c r="I260" s="18" t="str">
        <x:v>B</x:v>
      </x:c>
      <x:c r="J260" s="18" t="str">
        <x:v>Válida</x:v>
      </x:c>
    </x:row>
    <x:row r="261">
      <x:c r="A261" s="18" t="str">
        <x:v>2026_conv2025_rojo_A-T42</x:v>
      </x:c>
      <x:c r="B261" s="18" t="n">
        <x:v>2026</x:v>
      </x:c>
      <x:c r="C261" s="18" t="str">
        <x:v>S05</x:v>
      </x:c>
      <x:c r="D261" s="18" t="str">
        <x:v>Real Decreto 1415/2004</x:v>
      </x:c>
      <x:c r="E261" s="18" t="str">
        <x:v>7</x:v>
      </x:c>
      <x:c r="F261" s="18" t="str"/>
      <x:c r="G261" s="18" t="str">
        <x:v>Recaudación</x:v>
      </x:c>
      <x:c r="H261" s="18" t="str">
        <x:v>De acuerdo con el artículo 7 del Real Decreto 1415/2004, de 11 de junio, por el que se aprueba eI Reglamento General de Recaudación de la Seguridad Social, los actos de la Tesorería General de la Seguridad Social para la determinación y recaudación de la deuda con la Seguridad Social:</x:v>
      </x:c>
      <x:c r="I261" s="18" t="str">
        <x:v>A</x:v>
      </x:c>
      <x:c r="J261" s="18" t="str">
        <x:v>Válida</x:v>
      </x:c>
    </x:row>
    <x:row r="262">
      <x:c r="A262" s="18" t="str">
        <x:v>2026_conv2025_rojo_A-T43</x:v>
      </x:c>
      <x:c r="B262" s="18" t="n">
        <x:v>2026</x:v>
      </x:c>
      <x:c r="C262" s="18" t="str">
        <x:v>S05</x:v>
      </x:c>
      <x:c r="D262" s="18" t="str">
        <x:v>Real Decreto 1415/2004</x:v>
      </x:c>
      <x:c r="E262" s="18" t="str">
        <x:v>34</x:v>
      </x:c>
      <x:c r="F262" s="18" t="str"/>
      <x:c r="G262" s="18" t="str">
        <x:v>Recaudación</x:v>
      </x:c>
      <x:c r="H262" s="18" t="str">
        <x:v>EI artículo 34 del Real Decreto 1415/2004, de 11 de junio, por el que se aprueba el Reglamento General de Recaudación de 'a Seguridad Social, establece que en los aplazamientos en los que se haya eximido de constituir garantías por causas de carácter extraordinario, el interés aplicable será:</x:v>
      </x:c>
      <x:c r="I262" s="18" t="str">
        <x:v>ANULADA</x:v>
      </x:c>
      <x:c r="J262" s="18" t="str">
        <x:v>Anulada</x:v>
      </x:c>
    </x:row>
    <x:row r="263">
      <x:c r="A263" s="18" t="str">
        <x:v>2026_conv2025_rojo_A-T44</x:v>
      </x:c>
      <x:c r="B263" s="18" t="n">
        <x:v>2026</x:v>
      </x:c>
      <x:c r="C263" s="18" t="str">
        <x:v>S05</x:v>
      </x:c>
      <x:c r="D263" s="18" t="str">
        <x:v>Real Decreto 1415/2004</x:v>
      </x:c>
      <x:c r="E263" s="18" t="str">
        <x:v>45</x:v>
      </x:c>
      <x:c r="F263" s="18" t="str"/>
      <x:c r="G263" s="18" t="str">
        <x:v>Plazos</x:v>
      </x:c>
      <x:c r="H263" s="18" t="str">
        <x:v>De acuerdo con 10 establecido en el artículo 45 del Real Decreto 1415/2004, de II de junio, por eI que se aprueba eI Reglamento General de Recaudación de la Seguridad Social, ¿cuál es eI plazo máximo del que dispone la Tesorería General de la Seguridad Social para adoptar y notificar la resolución sobre una solicitud de devolución de ingresos indebidos?</x:v>
      </x:c>
      <x:c r="I263" s="18" t="str">
        <x:v>C</x:v>
      </x:c>
      <x:c r="J263" s="18" t="str">
        <x:v>Válida</x:v>
      </x:c>
    </x:row>
    <x:row r="264">
      <x:c r="A264" s="18" t="str">
        <x:v>2026_conv2025_rojo_A-T45</x:v>
      </x:c>
      <x:c r="B264" s="18" t="n">
        <x:v>2026</x:v>
      </x:c>
      <x:c r="C264" s="18" t="str">
        <x:v>S05</x:v>
      </x:c>
      <x:c r="D264" s="18" t="str">
        <x:v>Real Decreto 1415/2004</x:v>
      </x:c>
      <x:c r="E264" s="18" t="str">
        <x:v>64</x:v>
      </x:c>
      <x:c r="F264" s="18" t="str"/>
      <x:c r="G264" s="18" t="str">
        <x:v>Cálculos</x:v>
      </x:c>
      <x:c r="H264" s="18" t="str">
        <x:v>Según establece el artículo 64 del Real Decreto 1415/2004, de 11 de junio, por el que se aprueba el Reglamento General de Recaudación de la Seguridad Social, los importes exigidos en las reclamaciones de deuda por cuotas y conceptos de recaudación conjunta notificadas entre los días I y 15 de cada mes deberán hacerse efectivos dentro del siguiente plazo:</x:v>
      </x:c>
      <x:c r="I264" s="18" t="str">
        <x:v>B</x:v>
      </x:c>
      <x:c r="J264" s="18" t="str">
        <x:v>Válida</x:v>
      </x:c>
    </x:row>
    <x:row r="265">
      <x:c r="A265" s="18" t="str">
        <x:v>2026_conv2025_rojo_A-T46</x:v>
      </x:c>
      <x:c r="B265" s="18" t="n">
        <x:v>2026</x:v>
      </x:c>
      <x:c r="C265" s="18" t="str">
        <x:v>S06</x:v>
      </x:c>
      <x:c r="D265" s="18" t="str">
        <x:v>Real Decreto 1415/2004</x:v>
      </x:c>
      <x:c r="E265" s="18" t="str">
        <x:v>87</x:v>
      </x:c>
      <x:c r="F265" s="18" t="str"/>
      <x:c r="G265" s="18" t="str">
        <x:v>Cálculos</x:v>
      </x:c>
      <x:c r="H265" s="18" t="str">
        <x:v>Conforme al artículo 87 del Real Decreto 1415/2004, de 11 de junio, por el que se aprueba eI Reglamento General de Recaudación de la Seguridad Socia', las actuaciones del procedimiento de apremio podrán prever, en concepto de previsión de costas e intereses, un incremento sobre la cuantía exigible de hasta:</x:v>
      </x:c>
      <x:c r="I265" s="18" t="str">
        <x:v>A</x:v>
      </x:c>
      <x:c r="J265" s="18" t="str">
        <x:v>Válida</x:v>
      </x:c>
    </x:row>
    <x:row r="266">
      <x:c r="A266" s="18" t="str">
        <x:v>2026_conv2025_rojo_A-T47</x:v>
      </x:c>
      <x:c r="B266" s="18" t="n">
        <x:v>2026</x:v>
      </x:c>
      <x:c r="C266" s="18" t="str">
        <x:v>S06</x:v>
      </x:c>
      <x:c r="D266" s="18" t="str">
        <x:v>Real Decreto 1415/2004</x:v>
      </x:c>
      <x:c r="E266" s="18" t="str">
        <x:v>113</x:v>
      </x:c>
      <x:c r="F266" s="18" t="str"/>
      <x:c r="G266" s="18" t="str">
        <x:v>Recaudación ejecutiva</x:v>
      </x:c>
      <x:c r="H266" s="18" t="str">
        <x:v>De acuerdo con el articulo 113 del Real Decreto 1415/2004, de II de junio, por eI que se aprueba el Reglamento General de Recaudación de la Seguridad Social, cuando los bienes embargados sean muebles o semovientes, podrán ser enajenados por concurso autorizado por:</x:v>
      </x:c>
      <x:c r="I266" s="18" t="str">
        <x:v>C</x:v>
      </x:c>
      <x:c r="J266" s="18" t="str">
        <x:v>Válida</x:v>
      </x:c>
    </x:row>
    <x:row r="267">
      <x:c r="A267" s="18" t="str">
        <x:v>2026_conv2025_rojo_A-T48</x:v>
      </x:c>
      <x:c r="B267" s="18" t="n">
        <x:v>2026</x:v>
      </x:c>
      <x:c r="C267" s="18" t="str">
        <x:v>S06</x:v>
      </x:c>
      <x:c r="D267" s="18" t="str">
        <x:v>Real Decreto 1415/2004</x:v>
      </x:c>
      <x:c r="E267" s="18" t="str">
        <x:v>119</x:v>
      </x:c>
      <x:c r="F267" s="18" t="str"/>
      <x:c r="G267" s="18" t="str">
        <x:v>Recaudación ejecutiva</x:v>
      </x:c>
      <x:c r="H267" s="18" t="str">
        <x:v>De acuerdo con el artículo 119 del Real Decreto 1415/2004, de 11 de junio, por eI que se aprueba eI Reglamento General de Recaudación de la Seguridad Social, en las mesas de subasta actuará como secretario:</x:v>
      </x:c>
      <x:c r="I267" s="18" t="str">
        <x:v>D</x:v>
      </x:c>
      <x:c r="J267" s="18" t="str">
        <x:v>Válida</x:v>
      </x:c>
    </x:row>
    <x:row r="268">
      <x:c r="A268" s="18" t="str">
        <x:v>2026_conv2025_rojo_A-T49</x:v>
      </x:c>
      <x:c r="B268" s="18" t="n">
        <x:v>2026</x:v>
      </x:c>
      <x:c r="C268" s="18" t="str">
        <x:v>S06</x:v>
      </x:c>
      <x:c r="D268" s="18" t="str">
        <x:v>Real Decreto 1415/2004</x:v>
      </x:c>
      <x:c r="E268" s="18" t="str">
        <x:v>123</x:v>
      </x:c>
      <x:c r="F268" s="18" t="str"/>
      <x:c r="G268" s="18" t="str">
        <x:v>Plazos</x:v>
      </x:c>
      <x:c r="H268" s="18" t="str">
        <x:v>Según establece el artículo 123 bis del Real Decreto 1415/2004, de II de junio, por el que se aprueba el Reglamento General de Recaudación de la Seguridad Social, una vez autorizada por eI director provincial de la Tesorería General la enajenación mediante adjudicación directa, las actuaciones necesarias para llevarla a cabo se realizarán en el plazo de:</x:v>
      </x:c>
      <x:c r="I268" s="18" t="str">
        <x:v>B</x:v>
      </x:c>
      <x:c r="J268" s="18" t="str">
        <x:v>Válida</x:v>
      </x:c>
    </x:row>
    <x:row r="269">
      <x:c r="A269" s="18" t="str">
        <x:v>2026_conv2025_rojo_A-T50</x:v>
      </x:c>
      <x:c r="B269" s="18" t="n">
        <x:v>2026</x:v>
      </x:c>
      <x:c r="C269" s="18" t="str">
        <x:v>S07</x:v>
      </x:c>
      <x:c r="D269" s="18" t="str">
        <x:v>texto refundido de la Ley General de la Seguridad Social</x:v>
      </x:c>
      <x:c r="E269" s="18" t="str">
        <x:v>59</x:v>
      </x:c>
      <x:c r="F269" s="18" t="str"/>
      <x:c r="G269" s="18" t="str">
        <x:v>Cálculos</x:v>
      </x:c>
      <x:c r="H269" s="18" t="str">
        <x:v>Según el articulo 59 del texto refundido de la Ley General de la Seguridad Social, la cuantía de los complementos a mínimos que tengan derecho a recibir los beneficiarios de pensiones contributivas que residan legalmente en territorio español será equivalente a:</x:v>
      </x:c>
      <x:c r="I269" s="18" t="str">
        <x:v>C</x:v>
      </x:c>
      <x:c r="J269" s="18" t="str">
        <x:v>Válida</x:v>
      </x:c>
    </x:row>
    <x:row r="270">
      <x:c r="A270" s="18" t="str">
        <x:v>2026_conv2025_rojo_A-T52</x:v>
      </x:c>
      <x:c r="B270" s="18" t="n">
        <x:v>2026</x:v>
      </x:c>
      <x:c r="C270" s="18" t="str">
        <x:v>S07</x:v>
      </x:c>
      <x:c r="D270" s="18" t="str">
        <x:v>texto refundido de la Ley General de la Seguridad Social</x:v>
      </x:c>
      <x:c r="E270" s="18" t="str">
        <x:v>58</x:v>
      </x:c>
      <x:c r="F270" s="18" t="str"/>
      <x:c r="G270" s="18" t="str">
        <x:v>Artículos literales</x:v>
      </x:c>
      <x:c r="H270" s="18" t="str">
        <x:v>De acuerdo con 10 estipulado en el artículo 58 del texto refundido de la Ley General de la Seguridad Social, para mantener el poder adquisitivo de las pensiones de Seguridad Social, en su modalidad contributiva, incluido el complemento de brecha de género, las pensiones se revalorizarán al comienzo de cada año:</x:v>
      </x:c>
      <x:c r="I270" s="18" t="str">
        <x:v>B</x:v>
      </x:c>
      <x:c r="J270" s="18" t="str">
        <x:v>Válida</x:v>
      </x:c>
    </x:row>
    <x:row r="271">
      <x:c r="A271" s="18" t="str">
        <x:v>2026_conv2025_rojo_A-T53</x:v>
      </x:c>
      <x:c r="B271" s="18" t="n">
        <x:v>2026</x:v>
      </x:c>
      <x:c r="C271" s="18" t="str">
        <x:v>S08</x:v>
      </x:c>
      <x:c r="D271" s="18" t="str">
        <x:v>texto refundido de la Ley General de la Seguridad Social</x:v>
      </x:c>
      <x:c r="E271" s="18" t="str">
        <x:v>174</x:v>
      </x:c>
      <x:c r="F271" s="18" t="str"/>
      <x:c r="G271" s="18" t="str">
        <x:v>Plazos</x:v>
      </x:c>
      <x:c r="H271" s="18" t="str">
        <x:v>Según eI artículo 174 del texto refundido de la Ley General de la Seguridad Social, extinguido el derecho a la prestación de incapacidad temporal por el transcurso del plazo de quinientos cuarenta y cinco días naturales de duración, con o sin declaración de incapacidad permanente, solo podrá generarse un nuevo derecho a la prestación de incapacidad temporal por la misma o similar patología, a contar desde la resolución de la incapacidad permanente, si media un periodo superior a:</x:v>
      </x:c>
      <x:c r="I271" s="18" t="str">
        <x:v>A</x:v>
      </x:c>
      <x:c r="J271" s="18" t="str">
        <x:v>Válida</x:v>
      </x:c>
    </x:row>
    <x:row r="272">
      <x:c r="A272" s="18" t="str">
        <x:v>2026_conv2025_rojo_A-T54</x:v>
      </x:c>
      <x:c r="B272" s="18" t="n">
        <x:v>2026</x:v>
      </x:c>
      <x:c r="C272" s="18" t="str">
        <x:v>S08</x:v>
      </x:c>
      <x:c r="D272" s="18" t="str">
        <x:v>texto refundido de la Ley General de la Seguridad Social</x:v>
      </x:c>
      <x:c r="E272" s="18" t="str">
        <x:v>173</x:v>
      </x:c>
      <x:c r="F272" s="18" t="str"/>
      <x:c r="G272" s="18" t="str">
        <x:v>Incapacidad</x:v>
      </x:c>
      <x:c r="H272" s="18" t="str">
        <x:v>Según el artículo 173 del texto refundido de la Ley General de la Seguridad Social, en caso de accidente de trabajo o enfermedad profesional, el subsidio se abonará desde:</x:v>
      </x:c>
      <x:c r="I272" s="18" t="str">
        <x:v>B</x:v>
      </x:c>
      <x:c r="J272" s="18" t="str">
        <x:v>Válida</x:v>
      </x:c>
    </x:row>
    <x:row r="273">
      <x:c r="A273" s="18" t="str">
        <x:v>2026_conv2025_rojo_A-T55</x:v>
      </x:c>
      <x:c r="B273" s="18" t="n">
        <x:v>2026</x:v>
      </x:c>
      <x:c r="C273" s="18" t="str">
        <x:v>S09</x:v>
      </x:c>
      <x:c r="D273" s="18" t="str">
        <x:v>texto refundido de la Ley General de la Seguridad Social</x:v>
      </x:c>
      <x:c r="E273" s="18" t="str">
        <x:v>185</x:v>
      </x:c>
      <x:c r="F273" s="18" t="str"/>
      <x:c r="G273" s="18" t="str">
        <x:v>Prestaciones familiares</x:v>
      </x:c>
      <x:c r="H273" s="18" t="str">
        <x:v>De acuerdo con el artículo 185 del texto refundido de la Ley General de la Seguridad Social, la prestación económica por ejercicio corresponsable del cuidado de lactante se extinguirá cuando:</x:v>
      </x:c>
      <x:c r="I273" s="18" t="str">
        <x:v>B</x:v>
      </x:c>
      <x:c r="J273" s="18" t="str">
        <x:v>Válida</x:v>
      </x:c>
    </x:row>
    <x:row r="274">
      <x:c r="A274" s="18" t="str">
        <x:v>2026_conv2025_rojo_A-T56</x:v>
      </x:c>
      <x:c r="B274" s="18" t="n">
        <x:v>2026</x:v>
      </x:c>
      <x:c r="C274" s="18" t="str">
        <x:v>S09</x:v>
      </x:c>
      <x:c r="D274" s="18" t="str">
        <x:v>texto refundido de la Ley General de la Seguridad Social</x:v>
      </x:c>
      <x:c r="E274" s="18" t="str">
        <x:v>189</x:v>
      </x:c>
      <x:c r="F274" s="18" t="str"/>
      <x:c r="G274" s="18" t="str">
        <x:v>Prestaciones familiares</x:v>
      </x:c>
      <x:c r="H274" s="18" t="str">
        <x:v>Conforme indica el artículo 189 del texto refundido de la Ley General de la Seguridad Social, la prestación económica por riesgo durante la lactancia natural se extinguirá en el momento en que el hijo cumpla:</x:v>
      </x:c>
      <x:c r="I274" s="18" t="str">
        <x:v>C</x:v>
      </x:c>
      <x:c r="J274" s="18" t="str">
        <x:v>Válida</x:v>
      </x:c>
    </x:row>
    <x:row r="275">
      <x:c r="A275" s="18" t="str">
        <x:v>2026_conv2025_rojo_A-T57</x:v>
      </x:c>
      <x:c r="B275" s="18" t="n">
        <x:v>2026</x:v>
      </x:c>
      <x:c r="C275" s="18" t="str">
        <x:v>S09</x:v>
      </x:c>
      <x:c r="D275" s="18" t="str">
        <x:v>texto refundido de la Ley General de la Seguridad Social</x:v>
      </x:c>
      <x:c r="E275" s="18" t="str">
        <x:v>190</x:v>
      </x:c>
      <x:c r="F275" s="18" t="str">
        <x:v>26 años</x:v>
      </x:c>
      <x:c r="G275" s="18" t="str">
        <x:v>Prestaciones familiares</x:v>
      </x:c>
      <x:c r="H275" s="18" t="str">
        <x:v>De acuerdo con el artículo 190 del texto refundido de la Ley General de la Seguridad Social, la prestación económica por cuidado de menores afectados por cáncer u otra enfermedad grave se mantendrá hasta los 26 años:</x:v>
      </x:c>
      <x:c r="I275" s="18" t="str">
        <x:v>A</x:v>
      </x:c>
      <x:c r="J275" s="18" t="str">
        <x:v>Válida</x:v>
      </x:c>
    </x:row>
    <x:row r="276">
      <x:c r="A276" s="18" t="str">
        <x:v>2026_conv2025_rojo_A-T58</x:v>
      </x:c>
      <x:c r="B276" s="18" t="n">
        <x:v>2026</x:v>
      </x:c>
      <x:c r="C276" s="18" t="str">
        <x:v>S09</x:v>
      </x:c>
      <x:c r="D276" s="18" t="str"/>
      <x:c r="E276" s="18" t="str">
        <x:v>48</x:v>
      </x:c>
      <x:c r="F276" s="18" t="str"/>
      <x:c r="G276" s="18" t="str">
        <x:v>Plazos</x:v>
      </x:c>
      <x:c r="H276" s="18" t="str">
        <x:v>Según 10 establecido en el artículo 48 del Estatuto de Trabajadores, eI nacimiento, en los casos de parto prematuro con falta de peso y en aquellos otros en que el neonato precise, por alguna condición clínica, hospitalización a continuación del parto, por un periodo superior a siete días, eI periodo de suspensión se ampliará en tantos días como eI nacido se encuentre hospitalizado, con un máximo de:</x:v>
      </x:c>
      <x:c r="I276" s="18" t="str">
        <x:v>D</x:v>
      </x:c>
      <x:c r="J276" s="18" t="str">
        <x:v>Válida</x:v>
      </x:c>
    </x:row>
    <x:row r="277">
      <x:c r="A277" s="18" t="str">
        <x:v>2026_conv2025_rojo_A-T59</x:v>
      </x:c>
      <x:c r="B277" s="18" t="n">
        <x:v>2026</x:v>
      </x:c>
      <x:c r="C277" s="18" t="str">
        <x:v>S10</x:v>
      </x:c>
      <x:c r="D277" s="18" t="str">
        <x:v>texto refundido de la Ley General de la Seguridad Social</x:v>
      </x:c>
      <x:c r="E277" s="18" t="str">
        <x:v>206 y 206</x:v>
      </x:c>
      <x:c r="F277" s="18" t="str"/>
      <x:c r="G277" s="18" t="str">
        <x:v>Jubilación</x:v>
      </x:c>
      <x:c r="H277" s="18" t="str">
        <x:v>Según los artículos 206 y 206 bis del texto refundido de la Ley General de la Seguridad Social, la edad mínima de acceso a la pensión de jubilación podrá ser reducida:</x:v>
      </x:c>
      <x:c r="I277" s="18" t="str">
        <x:v>B</x:v>
      </x:c>
      <x:c r="J277" s="18" t="str">
        <x:v>Válida</x:v>
      </x:c>
    </x:row>
    <x:row r="278">
      <x:c r="A278" s="18" t="str">
        <x:v>2026_conv2025_rojo_A-T60</x:v>
      </x:c>
      <x:c r="B278" s="18" t="n">
        <x:v>2026</x:v>
      </x:c>
      <x:c r="C278" s="18" t="str">
        <x:v>S11</x:v>
      </x:c>
      <x:c r="D278" s="18" t="str"/>
      <x:c r="E278" s="18" t="str">
        <x:v>3</x:v>
      </x:c>
      <x:c r="F278" s="18" t="str"/>
      <x:c r="G278" s="18" t="str">
        <x:v>Personas beneficiarias</x:v>
      </x:c>
      <x:c r="H278" s="18" t="str">
        <x:v>Conforme al artículo 3 de la Orden de 13 de febrero de 1967 por la que se establecen normas para la aplicación y desarrollo de las prestaciones de muerte y supervivencia del Régimen General de la Seguridad Social, ¿cuál es la fecha en que se entenderá causada la pensión de orfandad en eI caso de que el beneficiario sea un hijo póstumo?</x:v>
      </x:c>
      <x:c r="I278" s="18" t="str">
        <x:v>C</x:v>
      </x:c>
      <x:c r="J278" s="18" t="str">
        <x:v>Válida</x:v>
      </x:c>
    </x:row>
    <x:row r="279">
      <x:c r="A279" s="18" t="str">
        <x:v>2026_conv2025_rojo_A-T61</x:v>
      </x:c>
      <x:c r="B279" s="18" t="n">
        <x:v>2026</x:v>
      </x:c>
      <x:c r="C279" s="18" t="str">
        <x:v>S11</x:v>
      </x:c>
      <x:c r="D279" s="18" t="str">
        <x:v>texto refundido de la Ley General de la Seguridad Social</x:v>
      </x:c>
      <x:c r="E279" s="18" t="str">
        <x:v>220</x:v>
      </x:c>
      <x:c r="F279" s="18" t="str"/>
      <x:c r="G279" s="18" t="str">
        <x:v>Personas beneficiarias</x:v>
      </x:c>
      <x:c r="H279" s="18" t="str">
        <x:v>Según 10 prescrito en eI artículo 220 del texto refundido de la Ley General de la Seguridad Social, en caso de concurrencia de beneficiarios con derecho a pensión de viudedad:</x:v>
      </x:c>
      <x:c r="I279" s="18" t="str">
        <x:v>B</x:v>
      </x:c>
      <x:c r="J279" s="18" t="str">
        <x:v>Válida</x:v>
      </x:c>
    </x:row>
    <x:row r="280">
      <x:c r="A280" s="18" t="str">
        <x:v>2026_conv2025_rojo_A-T62</x:v>
      </x:c>
      <x:c r="B280" s="18" t="n">
        <x:v>2026</x:v>
      </x:c>
      <x:c r="C280" s="18" t="str">
        <x:v>S11</x:v>
      </x:c>
      <x:c r="D280" s="18" t="str"/>
      <x:c r="E280" s="18" t="str">
        <x:v>31</x:v>
      </x:c>
      <x:c r="F280" s="18" t="str"/>
      <x:c r="G280" s="18" t="str">
        <x:v>Cálculos</x:v>
      </x:c>
      <x:c r="H280" s="18" t="str">
        <x:v>¿Cuál es el porcentaje general que se aplicará a la base reguladora para calcular la cuantía de las pensiones de viudedad, de acuerdo con el artículo 31 del Decreto 315811966, de 23 de diciembre, por el que se aprueba el Reglamento General que determina la cuantía de las prestaciones económicas del Régimen General de la Seguridad Social y condiciones para eI derecho a las mismas?</x:v>
      </x:c>
      <x:c r="I280" s="18" t="str">
        <x:v>A</x:v>
      </x:c>
      <x:c r="J280" s="18" t="str">
        <x:v>Válida</x:v>
      </x:c>
    </x:row>
    <x:row r="281">
      <x:c r="A281" s="18" t="str">
        <x:v>2026_conv2025_rojo_A-T63</x:v>
      </x:c>
      <x:c r="B281" s="18" t="n">
        <x:v>2026</x:v>
      </x:c>
      <x:c r="C281" s="18" t="str">
        <x:v>S12</x:v>
      </x:c>
      <x:c r="D281" s="18" t="str">
        <x:v>ley 19/2021</x:v>
      </x:c>
      <x:c r="E281" s="18" t="str">
        <x:v>15</x:v>
      </x:c>
      <x:c r="F281" s="18" t="str"/>
      <x:c r="G281" s="18" t="str">
        <x:v>Plazos</x:v>
      </x:c>
      <x:c r="H281" s="18" t="str">
        <x:v>Según el artículo 15 de la ley 19/2021, por la que se establece el ingreso mínimo vital, todas las personas beneficiarias, integradas o no en una unidad de convivencia, estarán obligadas a poner en conocimiento de la entidad gestora competente aquellas circunstancias que afecten al cumplimiento de los requisitos o de las obligaciones establecidos en esta ley, en el plazo máximo de:</x:v>
      </x:c>
      <x:c r="I281" s="18" t="str">
        <x:v>C</x:v>
      </x:c>
      <x:c r="J281" s="18" t="str">
        <x:v>Válida</x:v>
      </x:c>
    </x:row>
    <x:row r="282">
      <x:c r="A282" s="18" t="str">
        <x:v>2026_conv2025_rojo_A-T64</x:v>
      </x:c>
      <x:c r="B282" s="18" t="n">
        <x:v>2026</x:v>
      </x:c>
      <x:c r="C282" s="18" t="str">
        <x:v>S12</x:v>
      </x:c>
      <x:c r="D282" s="18" t="str">
        <x:v>ley 19/2021</x:v>
      </x:c>
      <x:c r="E282" s="18" t="str">
        <x:v>4</x:v>
      </x:c>
      <x:c r="F282" s="18" t="str"/>
      <x:c r="G282" s="18" t="str">
        <x:v>Prestaciones no contributivas</x:v>
      </x:c>
      <x:c r="H282" s="18" t="str">
        <x:v>Atendiendo al artículo 4 de la ley 19/2021, por la que se establece el ingreso mínimo vital, señale la respuesta correcta:</x:v>
      </x:c>
      <x:c r="I282" s="18" t="str">
        <x:v>A</x:v>
      </x:c>
      <x:c r="J282" s="18" t="str">
        <x:v>Válida</x:v>
      </x:c>
    </x:row>
    <x:row r="283">
      <x:c r="A283" s="18" t="str">
        <x:v>2026_conv2025_rojo_A-T65</x:v>
      </x:c>
      <x:c r="B283" s="18" t="n">
        <x:v>2026</x:v>
      </x:c>
      <x:c r="C283" s="18" t="str">
        <x:v>S12</x:v>
      </x:c>
      <x:c r="D283" s="18" t="str">
        <x:v>Real Decreto 1335/2005</x:v>
      </x:c>
      <x:c r="E283" s="18" t="str">
        <x:v>7</x:v>
      </x:c>
      <x:c r="F283" s="18" t="str"/>
      <x:c r="G283" s="18" t="str">
        <x:v>Personas beneficiarias</x:v>
      </x:c>
      <x:c r="H283" s="18" t="str">
        <x:v>De acuerdo con eI artículo 7 del Real Decreto 1335/2005, por eI que se regulan las prestaciones familiares de la seguridad social, la base de cotización estará constituida por eI promedio de las bases de cotización del beneficiario correspondiente a:</x:v>
      </x:c>
      <x:c r="I283" s="18" t="str">
        <x:v>B</x:v>
      </x:c>
      <x:c r="J283" s="18" t="str">
        <x:v>Válida</x:v>
      </x:c>
    </x:row>
    <x:row r="284">
      <x:c r="A284" s="18" t="str">
        <x:v>2026_conv2025_rojo_A-T66</x:v>
      </x:c>
      <x:c r="B284" s="18" t="n">
        <x:v>2026</x:v>
      </x:c>
      <x:c r="C284" s="18" t="str">
        <x:v>G21</x:v>
      </x:c>
      <x:c r="D284" s="18" t="str"/>
      <x:c r="E284" s="18" t="str">
        <x:v>37</x:v>
      </x:c>
      <x:c r="F284" s="18" t="str"/>
      <x:c r="G284" s="18" t="str">
        <x:v>Artículos literales</x:v>
      </x:c>
      <x:c r="H284" s="18" t="str">
        <x:v>EI Estatuto de los Trabajadores contempla en su artículo 37 que quien por razones de guarda legal tenga a su cuidado directo algún menor de doce años o una persona con discapacidad que no desempeñe una actividad retribuida tendrá derecho a:</x:v>
      </x:c>
      <x:c r="I284" s="18" t="str">
        <x:v>C</x:v>
      </x:c>
      <x:c r="J284" s="18" t="str">
        <x:v>Válida</x:v>
      </x:c>
    </x:row>
    <x:row r="285">
      <x:c r="A285" s="18" t="str">
        <x:v>2026_conv2025_rojo_A-T67</x:v>
      </x:c>
      <x:c r="B285" s="18" t="n">
        <x:v>2026</x:v>
      </x:c>
      <x:c r="C285" s="18" t="str">
        <x:v>S13</x:v>
      </x:c>
      <x:c r="D285" s="18" t="str">
        <x:v>texto refundido de la Ley General de la Seguridad Social</x:v>
      </x:c>
      <x:c r="E285" s="18" t="str">
        <x:v>103</x:v>
      </x:c>
      <x:c r="F285" s="18" t="str"/>
      <x:c r="G285" s="18" t="str">
        <x:v>Artículos literales</x:v>
      </x:c>
      <x:c r="H285" s="18" t="str">
        <x:v>Conforme al artículo 103 del texto refundido de la Ley General de la Seguridad Social, el patrimonio de la Seguridad Social:</x:v>
      </x:c>
      <x:c r="I285" s="18" t="str">
        <x:v>B</x:v>
      </x:c>
      <x:c r="J285" s="18" t="str">
        <x:v>Válida</x:v>
      </x:c>
    </x:row>
    <x:row r="286">
      <x:c r="A286" s="18" t="str">
        <x:v>2026_conv2025_rojo_A-T68</x:v>
      </x:c>
      <x:c r="B286" s="18" t="n">
        <x:v>2026</x:v>
      </x:c>
      <x:c r="C286" s="18" t="str">
        <x:v>S13</x:v>
      </x:c>
      <x:c r="D286" s="18" t="str">
        <x:v>Real Decreto 1221/1992</x:v>
      </x:c>
      <x:c r="E286" s="18" t="str">
        <x:v>9</x:v>
      </x:c>
      <x:c r="F286" s="18" t="str"/>
      <x:c r="G286" s="18" t="str">
        <x:v>Artículos literales</x:v>
      </x:c>
      <x:c r="H286" s="18" t="str">
        <x:v>Según eI artículo 9 del Real Decreto 1221/1992, sobre eI patrimonio de la Seguridad Social, con carácter general, la adquisición a título oneroso de bienes inmuebles por la Tesorería General de la Seguridad Social se realizará mediante:</x:v>
      </x:c>
      <x:c r="I286" s="18" t="str">
        <x:v>C</x:v>
      </x:c>
      <x:c r="J286" s="18" t="str">
        <x:v>Válida</x:v>
      </x:c>
    </x:row>
    <x:row r="287">
      <x:c r="A287" s="18" t="str">
        <x:v>2026_conv2025_rojo_A-T69</x:v>
      </x:c>
      <x:c r="B287" s="18" t="n">
        <x:v>2026</x:v>
      </x:c>
      <x:c r="C287" s="18" t="str">
        <x:v>S13</x:v>
      </x:c>
      <x:c r="D287" s="18" t="str">
        <x:v>Real Decreto 1221/1992</x:v>
      </x:c>
      <x:c r="E287" s="18" t="str">
        <x:v>12</x:v>
      </x:c>
      <x:c r="F287" s="18" t="str"/>
      <x:c r="G287" s="18" t="str">
        <x:v>Artículos literales</x:v>
      </x:c>
      <x:c r="H287" s="18" t="str">
        <x:v>De conformidad con el artículo 12 del Real Decreto 1221/1992, sobre el patrimonio de la Seguridad Social, las mejoras realizadas en un inmueble del patrimonio de la Seguridad Social durante eI periodo de adscripción:</x:v>
      </x:c>
      <x:c r="I287" s="18" t="str">
        <x:v>B</x:v>
      </x:c>
      <x:c r="J287" s="18" t="str">
        <x:v>Válida</x:v>
      </x:c>
    </x:row>
    <x:row r="288">
      <x:c r="A288" s="18" t="str">
        <x:v>2026_conv2025_rojo_A-T70</x:v>
      </x:c>
      <x:c r="B288" s="18" t="n">
        <x:v>2026</x:v>
      </x:c>
      <x:c r="C288" s="18" t="str">
        <x:v>S13</x:v>
      </x:c>
      <x:c r="D288" s="18" t="str">
        <x:v>texto refundido de la Ley General de la Seguridad Social</x:v>
      </x:c>
      <x:c r="E288" s="18" t="str">
        <x:v>127</x:v>
      </x:c>
      <x:c r="F288" s="18" t="str"/>
      <x:c r="G288" s="18" t="str">
        <x:v>Artículos literales</x:v>
      </x:c>
      <x:c r="H288" s="18" t="str">
        <x:v>Según el artículo 127 del texto refundido de la Ley General de la Seguridad Social, ¿cuál de las siguientes afirmaciones sobre el Mecanismo de Equidad Intergeneracional es correcta?</x:v>
      </x:c>
      <x:c r="I288" s="18" t="str">
        <x:v>C</x:v>
      </x:c>
      <x:c r="J288" s="18" t="str">
        <x:v>Válida</x:v>
      </x:c>
    </x:row>
    <x:row r="289">
      <x:c r="A289" s="18" t="str">
        <x:v>2026_conv2025_rojo_A-T71</x:v>
      </x:c>
      <x:c r="B289" s="18" t="n">
        <x:v>2026</x:v>
      </x:c>
      <x:c r="C289" s="18" t="str">
        <x:v>S05</x:v>
      </x:c>
      <x:c r="D289" s="18" t="str">
        <x:v>Real Decreto 1415/2004</x:v>
      </x:c>
      <x:c r="E289" s="18" t="str">
        <x:v>15</x:v>
      </x:c>
      <x:c r="F289" s="18" t="str"/>
      <x:c r="G289" s="18" t="str">
        <x:v>Recaudación</x:v>
      </x:c>
      <x:c r="H289" s="18" t="str">
        <x:v>Según el artículo 15 del Real Decreto 1415/2004, de 11 de junio, por eI que se aprueba el Reglamento General de Recaudación de la Seguridad Social, los herederos del responsable del pago de la deuda a la Seguridad Social que acepten la herencia a beneficio de inventario:</x:v>
      </x:c>
      <x:c r="I289" s="18" t="str">
        <x:v>C</x:v>
      </x:c>
      <x:c r="J289" s="18" t="str">
        <x:v>Válida</x:v>
      </x:c>
    </x:row>
    <x:row r="290">
      <x:c r="A290" s="18" t="str">
        <x:v>2026_conv2025_rojo_A-T72</x:v>
      </x:c>
      <x:c r="B290" s="18" t="n">
        <x:v>2026</x:v>
      </x:c>
      <x:c r="C290" s="18" t="str">
        <x:v>S06</x:v>
      </x:c>
      <x:c r="D290" s="18" t="str">
        <x:v>Real Decreto 1415/2004</x:v>
      </x:c>
      <x:c r="E290" s="18" t="str">
        <x:v>118</x:v>
      </x:c>
      <x:c r="F290" s="18" t="str"/>
      <x:c r="G290" s="18" t="str">
        <x:v>Cálculos</x:v>
      </x:c>
      <x:c r="H290" s="18" t="str">
        <x:v>EI artículo 118 del Real Decreto 1415/2004, de II de junio, por el que se aprueba el Reglamento General de Recaudación de la Seguridad Social, establece que el licitador que presente oferta en una subasta deberá constituir depósito por importe del:</x:v>
      </x:c>
      <x:c r="I290" s="18" t="str">
        <x:v>D</x:v>
      </x:c>
      <x:c r="J290" s="18" t="str">
        <x:v>Válida</x:v>
      </x:c>
    </x:row>
    <x:row r="291">
      <x:c r="A291" s="18" t="str">
        <x:v>2026_conv2025_rojo_A-T73</x:v>
      </x:c>
      <x:c r="B291" s="18" t="n">
        <x:v>2026</x:v>
      </x:c>
      <x:c r="C291" s="18" t="str">
        <x:v>G11</x:v>
      </x:c>
      <x:c r="D291" s="18" t="str">
        <x:v>Tratado de Funcionamiento de la Unión Europea</x:v>
      </x:c>
      <x:c r="E291" s="18" t="str">
        <x:v>290</x:v>
      </x:c>
      <x:c r="F291" s="18" t="str"/>
      <x:c r="G291" s="18" t="str">
        <x:v>Artículos literales</x:v>
      </x:c>
      <x:c r="H291" s="18" t="str">
        <x:v>De acuerdo con eI artículo 290 del Tratado de Funcionamiento de la Unión Europea, en relación con los actos delegados:</x:v>
      </x:c>
      <x:c r="I291" s="18" t="str">
        <x:v>C</x:v>
      </x:c>
      <x:c r="J291" s="18" t="str">
        <x:v>Válida</x:v>
      </x:c>
    </x:row>
    <x:row r="292">
      <x:c r="A292" s="18" t="str">
        <x:v>2026_conv2025_rojo_A-P01</x:v>
      </x:c>
      <x:c r="B292" s="18" t="n">
        <x:v>2026</x:v>
      </x:c>
      <x:c r="C292" s="18" t="str">
        <x:v>S03</x:v>
      </x:c>
      <x:c r="D292" s="18" t="str">
        <x:v>Real Decreto 84/1996</x:v>
      </x:c>
      <x:c r="E292" s="18" t="str">
        <x:v>29</x:v>
      </x:c>
      <x:c r="F292" s="18" t="str"/>
      <x:c r="G292" s="18" t="str">
        <x:v>Afiliación, altas y bajas</x:v>
      </x:c>
      <x:c r="H292" s="18" t="str">
        <x:v>Indique, si de acuerdo con eI artículo 29 del Reglamento General sobre inscripción de empresas y afiliación, altas, bajas y variaciones de datos de trabajadores en la Seguridad Social, aprobado por eI Real Decreto 84/1996, de 26 de enero, la empresa tiene que promover la baja de la trabajadora en el código de cuenta de cotización de la localidad de Las Navas de' Marqués y el alta en el código de cuenta de cotización de la localidad de Sanchorreja:</x:v>
      </x:c>
      <x:c r="I292" s="18" t="str">
        <x:v>B</x:v>
      </x:c>
      <x:c r="J292" s="18" t="str">
        <x:v>Válida</x:v>
      </x:c>
    </x:row>
    <x:row r="293">
      <x:c r="A293" s="18" t="str">
        <x:v>2026_conv2025_rojo_A-P04</x:v>
      </x:c>
      <x:c r="B293" s="18" t="n">
        <x:v>2026</x:v>
      </x:c>
      <x:c r="C293" s="18" t="str">
        <x:v>S04</x:v>
      </x:c>
      <x:c r="D293" s="18" t="str">
        <x:v>Real Decreto 2064/1995</x:v>
      </x:c>
      <x:c r="E293" s="18" t="str">
        <x:v>18</x:v>
      </x:c>
      <x:c r="F293" s="18" t="str"/>
      <x:c r="G293" s="18" t="str">
        <x:v>Plazos</x:v>
      </x:c>
      <x:c r="H293" s="18" t="str">
        <x:v>Determine el plazo máximo que tiene la Tesorería General de la Seguridad Social para informar a la empresa "Tesifonte Ovejero, S.L." de la causa que impide el cálculo, tal y como establece eI artículo 18 del Reglamento General sobre cotización y liquidación de otros derechos de la Seguridad Social, aprobado por Real Decreto 2064/1995, de 22 de diciembre:</x:v>
      </x:c>
      <x:c r="I293" s="18" t="str">
        <x:v>A</x:v>
      </x:c>
      <x:c r="J293" s="18" t="str">
        <x:v>Válida</x:v>
      </x:c>
    </x:row>
    <x:row r="294">
      <x:c r="A294" s="18" t="str">
        <x:v>2026_conv2025_rojo_A-P06</x:v>
      </x:c>
      <x:c r="B294" s="18" t="n">
        <x:v>2026</x:v>
      </x:c>
      <x:c r="C294" s="18" t="str">
        <x:v>S05</x:v>
      </x:c>
      <x:c r="D294" s="18" t="str">
        <x:v>Real Decreto 1415/2004</x:v>
      </x:c>
      <x:c r="E294" s="18" t="str">
        <x:v>75</x:v>
      </x:c>
      <x:c r="F294" s="18" t="str"/>
      <x:c r="G294" s="18" t="str">
        <x:v>Cálculos</x:v>
      </x:c>
      <x:c r="H294" s="18" t="str">
        <x:v>Remitida la resolución firme de la entidad gestora a la Tesorería General de la Seguridad Social, determine el importe a reclamar a la empresa por la Tesorería General de la Seguridad Social al amparo del artículo 75 del Reglamento General de Recaudación de la Seguridad Social, aprobado por Real Decreto 1415/2004, de II de junio:</x:v>
      </x:c>
      <x:c r="I294" s="18" t="str">
        <x:v>B</x:v>
      </x:c>
      <x:c r="J294" s="18" t="str">
        <x:v>Válida</x:v>
      </x:c>
    </x:row>
    <x:row r="295">
      <x:c r="A295" s="18" t="str">
        <x:v>2026_conv2025_rojo_A-P11</x:v>
      </x:c>
      <x:c r="B295" s="18" t="n">
        <x:v>2026</x:v>
      </x:c>
      <x:c r="C295" s="18" t="str">
        <x:v>S08</x:v>
      </x:c>
      <x:c r="D295" s="18" t="str">
        <x:v>texto refundido de la Ley General de la Seguridad Social</x:v>
      </x:c>
      <x:c r="E295" s="18" t="str">
        <x:v>173</x:v>
      </x:c>
      <x:c r="F295" s="18" t="str"/>
      <x:c r="G295" s="18" t="str">
        <x:v>Personas beneficiarias</x:v>
      </x:c>
      <x:c r="H295" s="18" t="str">
        <x:v>En eI supuesto de tener derecho a la prestación de incapacidad temporal y de acuerdo con el artículo 173, párrafo tercero del texto refundido de la Ley General de la Seguridad Social, por la situación determinante de la menstruación incapacitante secundaria, el abono del subsidio de la incapacidad temporal será a cargo de:</x:v>
      </x:c>
      <x:c r="I295" s="18" t="str">
        <x:v>A</x:v>
      </x:c>
      <x:c r="J295" s="18" t="str">
        <x:v>Válida</x:v>
      </x:c>
    </x:row>
    <x:row r="296">
      <x:c r="A296" s="18" t="str">
        <x:v>2026_conv2025_rojo_A-P16</x:v>
      </x:c>
      <x:c r="B296" s="18" t="n">
        <x:v>2026</x:v>
      </x:c>
      <x:c r="C296" s="18" t="str">
        <x:v>S10</x:v>
      </x:c>
      <x:c r="D296" s="18" t="str">
        <x:v>texto refundido de la Ley General de la Seguridad Social</x:v>
      </x:c>
      <x:c r="E296" s="18" t="str">
        <x:v>207</x:v>
      </x:c>
      <x:c r="F296" s="18" t="str"/>
      <x:c r="G296" s="18" t="str">
        <x:v>Requisitos</x:v>
      </x:c>
      <x:c r="H296" s="18" t="str">
        <x:v>¿Reúne Dña. Rosa Antofagasta el requisito de edad que establece el artículo 207 del texto refundido de la Ley General de la Seguridad Social para poderse jubilar anticipadamente por causa no imputable a la trabajadora?</x:v>
      </x:c>
      <x:c r="I296" s="18" t="str">
        <x:v>D</x:v>
      </x:c>
      <x:c r="J296" s="18" t="str">
        <x:v>Válida</x:v>
      </x:c>
    </x:row>
    <x:row r="297">
      <x:c r="A297" s="18" t="str">
        <x:v>2026_conv2025_rojo_A-P18</x:v>
      </x:c>
      <x:c r="B297" s="18" t="n">
        <x:v>2026</x:v>
      </x:c>
      <x:c r="C297" s="18" t="str">
        <x:v>S10</x:v>
      </x:c>
      <x:c r="D297" s="18" t="str">
        <x:v>texto refundido de la Ley General de la Seguridad Social</x:v>
      </x:c>
      <x:c r="E297" s="18" t="str"/>
      <x:c r="F297" s="18" t="str">
        <x:v>65 años</x:v>
      </x:c>
      <x:c r="G297" s="18" t="str">
        <x:v>Jubilación</x:v>
      </x:c>
      <x:c r="H297" s="18" t="str">
        <x:v>¿Cuántos años deberá de tener cotizados D. Leonardo Meléndez, para poderse jubilar con 65 años, según la Disposición transitoria séptima del texto refundido de la Ley General de la Seguridad Social?</x:v>
      </x:c>
      <x:c r="I297" s="18" t="str">
        <x:v>C</x:v>
      </x:c>
      <x:c r="J297" s="18" t="str">
        <x:v>Válida</x:v>
      </x:c>
    </x:row>
  </x:sheetData>
  <x:pageMargins left="0.7" right="0.7" top="0.75" bottom="0.75" header="0.3" footer="0.3"/>
  <x:tableParts count="1">
    <x:tablePart xmlns:r="http://schemas.openxmlformats.org/officeDocument/2006/relationships" r:id="R947860b6302f498d"/>
  </x:tableParts>
</x:worksheet>
</file>

<file path=xl/worksheets/sheet6.xml><?xml version="1.0" encoding="utf-8"?>
<x:worksheet xmlns:x="http://schemas.openxmlformats.org/spreadsheetml/2006/main">
  <x:sheetViews>
    <x:sheetView showGridLines="0" workbookViewId="0"/>
  </x:sheetViews>
  <x:sheetFormatPr defaultRowHeight="15"/>
  <x:cols>
    <x:col min="1" max="1" width="34" hidden="0" customWidth="1"/>
    <x:col min="7" max="7" width="62" hidden="0" customWidth="1"/>
    <x:col min="11" max="11" width="44" hidden="0" customWidth="1"/>
  </x:cols>
  <x:sheetData>
    <x:row r="1" ht="30" customHeight="1">
      <x:c r="A1" s="14" t="str">
        <x:v>ID</x:v>
      </x:c>
      <x:c r="B1" s="14" t="str">
        <x:v>Fecha</x:v>
      </x:c>
      <x:c r="C1" s="14" t="str">
        <x:v>Modelo</x:v>
      </x:c>
      <x:c r="D1" s="14" t="str">
        <x:v>Parte</x:v>
      </x:c>
      <x:c r="E1" s="14" t="str">
        <x:v>N.º</x:v>
      </x:c>
      <x:c r="F1" s="14" t="str">
        <x:v>Tema</x:v>
      </x:c>
      <x:c r="G1" s="14" t="str">
        <x:v>Enunciado</x:v>
      </x:c>
      <x:c r="H1" s="14" t="str">
        <x:v>Provisional</x:v>
      </x:c>
      <x:c r="I1" s="14" t="str">
        <x:v>Definitiva</x:v>
      </x:c>
      <x:c r="J1" s="14" t="str">
        <x:v>Resultado</x:v>
      </x:c>
      <x:c r="K1" s="14" t="str">
        <x:v>Fuente</x:v>
      </x:c>
    </x:row>
    <x:row r="2">
      <x:c r="A2" s="18" t="str">
        <x:v>2024_conv2023_ordinario_A-P07</x:v>
      </x:c>
      <x:c r="B2" s="28" t="n">
        <x:v>45626</x:v>
      </x:c>
      <x:c r="C2" s="18" t="str">
        <x:v>A</x:v>
      </x:c>
      <x:c r="D2" s="18" t="str">
        <x:v>Segunda parte</x:v>
      </x:c>
      <x:c r="E2" s="18" t="n">
        <x:v>7</x:v>
      </x:c>
      <x:c r="F2" s="18" t="str">
        <x:v>S04</x:v>
      </x:c>
      <x:c r="G2" s="18" t="str">
        <x:v>Según eI art. 20.1 del texto refundido de la Ley General de la Seguridad Social, aprobado por Real Decreto Legislativo 8/2015, de 30 de octubre, al perfeccionarse eI contrato con Guillermina Pacheco el día 4 de noviembre de 2024, se podrán obtener las bonificaciones establecidas:</x:v>
      </x:c>
      <x:c r="H2" s="18" t="str">
        <x:v>A</x:v>
      </x:c>
      <x:c r="I2" s="18" t="str">
        <x:v>ANULADA</x:v>
      </x:c>
      <x:c r="J2" s="18" t="str">
        <x:v>Anulada</x:v>
      </x:c>
      <x:c r="K2" s="18" t="str">
        <x:v>01. Información oficial de la oposición\Exámenes oficiales anteriores\2024 Convocatoria 2023 - Cuestionario libre Modelo A.pdf</x:v>
      </x:c>
    </x:row>
    <x:row r="3">
      <x:c r="A3" s="18" t="str">
        <x:v>2024_conv2023_ordinario_A-P10</x:v>
      </x:c>
      <x:c r="B3" s="28" t="n">
        <x:v>45626</x:v>
      </x:c>
      <x:c r="C3" s="18" t="str">
        <x:v>A</x:v>
      </x:c>
      <x:c r="D3" s="18" t="str">
        <x:v>Segunda parte</x:v>
      </x:c>
      <x:c r="E3" s="18" t="n">
        <x:v>10</x:v>
      </x:c>
      <x:c r="F3" s="18" t="str">
        <x:v>S08</x:v>
      </x:c>
      <x:c r="G3" s="18" t="str">
        <x:v>¿Hasta qué día puede Alejandro Alonso presentar la disconformidad ante el alta médica recibida?</x:v>
      </x:c>
      <x:c r="H3" s="18" t="str">
        <x:v>D</x:v>
      </x:c>
      <x:c r="I3" s="18" t="str">
        <x:v>ANULADA</x:v>
      </x:c>
      <x:c r="J3" s="18" t="str">
        <x:v>Anulada</x:v>
      </x:c>
      <x:c r="K3" s="18" t="str">
        <x:v>01. Información oficial de la oposición\Exámenes oficiales anteriores\2024 Convocatoria 2023 - Cuestionario libre Modelo A.pdf</x:v>
      </x:c>
    </x:row>
    <x:row r="4">
      <x:c r="A4" s="18" t="str">
        <x:v>2024_conv2023_ordinario_A-P12</x:v>
      </x:c>
      <x:c r="B4" s="28" t="n">
        <x:v>45626</x:v>
      </x:c>
      <x:c r="C4" s="18" t="str">
        <x:v>A</x:v>
      </x:c>
      <x:c r="D4" s="18" t="str">
        <x:v>Segunda parte</x:v>
      </x:c>
      <x:c r="E4" s="18" t="n">
        <x:v>12</x:v>
      </x:c>
      <x:c r="F4" s="18" t="str">
        <x:v>S10</x:v>
      </x:c>
      <x:c r="G4" s="18" t="str">
        <x:v>Suponiendo una base reguladora de la pensión en el momento del acceso a la misma de 2.800 euros, ¿a partir de qué fecha cumpliría Carlos Palou los requisitos de edad y cotización para acceder a la jubilación anticipada por voluntad del trabajador?</x:v>
      </x:c>
      <x:c r="H4" s="18" t="str">
        <x:v>D</x:v>
      </x:c>
      <x:c r="I4" s="18" t="str">
        <x:v>ANULADA</x:v>
      </x:c>
      <x:c r="J4" s="18" t="str">
        <x:v>Anulada</x:v>
      </x:c>
      <x:c r="K4" s="18" t="str">
        <x:v>01. Información oficial de la oposición\Exámenes oficiales anteriores\2024 Convocatoria 2023 - Cuestionario libre Modelo A.pdf</x:v>
      </x:c>
    </x:row>
    <x:row r="5">
      <x:c r="A5" s="18" t="str">
        <x:v>2025_conv2023_extraordinario-T02</x:v>
      </x:c>
      <x:c r="B5" s="28" t="n">
        <x:v>45682</x:v>
      </x:c>
      <x:c r="C5" s="18" t="str">
        <x:v>Extraordinario</x:v>
      </x:c>
      <x:c r="D5" s="18" t="str">
        <x:v>Primera parte</x:v>
      </x:c>
      <x:c r="E5" s="18" t="n">
        <x:v>2</x:v>
      </x:c>
      <x:c r="F5" s="18" t="str">
        <x:v>G02</x:v>
      </x:c>
      <x:c r="G5" s="18" t="str">
        <x:v>En la Constitución Española, las garantías de las libertades y derechos fundamentales se encuentran reguladas en el:</x:v>
      </x:c>
      <x:c r="H5" s="18" t="str">
        <x:v>C</x:v>
      </x:c>
      <x:c r="I5" s="18" t="str">
        <x:v>B</x:v>
      </x:c>
      <x:c r="J5" s="18" t="str">
        <x:v>Modificada</x:v>
      </x:c>
      <x:c r="K5" s="18" t="str">
        <x:v>01. Información oficial de la oposición\Exámenes oficiales anteriores\2025 Convocatoria 2023 - Examen extraordinario acceso libre.pdf</x:v>
      </x:c>
    </x:row>
    <x:row r="6">
      <x:c r="A6" s="18" t="str">
        <x:v>2025_conv2024_ordinario_A-T62</x:v>
      </x:c>
      <x:c r="B6" s="28" t="n">
        <x:v>45913</x:v>
      </x:c>
      <x:c r="C6" s="18" t="str">
        <x:v>A</x:v>
      </x:c>
      <x:c r="D6" s="18" t="str">
        <x:v>Primera parte</x:v>
      </x:c>
      <x:c r="E6" s="18" t="n">
        <x:v>62</x:v>
      </x:c>
      <x:c r="F6" s="18" t="str">
        <x:v>S11</x:v>
      </x:c>
      <x:c r="G6" s="18" t="str">
        <x:v>Se considerará situación asimilada a Ea de afta según el artículo 2 de la Orden de 13 de febrero de 1967, a efectos de causar has prestaciones de muerte y supervivencia, siempre que concurran en ella las condiciones que se determinen en las disposiciones de aplicación y desarrollo relativas a la acción protectora del Régimen General de ka Seguridad Social:</x:v>
      </x:c>
      <x:c r="H6" s="18" t="str">
        <x:v>C</x:v>
      </x:c>
      <x:c r="I6" s="18" t="str">
        <x:v>ANULADA</x:v>
      </x:c>
      <x:c r="J6" s="18" t="str">
        <x:v>Anulada</x:v>
      </x:c>
      <x:c r="K6" s="18" t="str">
        <x:v>01. Información oficial de la oposición\Exámenes oficiales anteriores\2025 Convocatoria 2024 - Acceso libre Modelo A.pdf</x:v>
      </x:c>
    </x:row>
    <x:row r="7">
      <x:c r="A7" s="18" t="str">
        <x:v>2025_conv2024_ordinario_A-T65</x:v>
      </x:c>
      <x:c r="B7" s="28" t="n">
        <x:v>45913</x:v>
      </x:c>
      <x:c r="C7" s="18" t="str">
        <x:v>A</x:v>
      </x:c>
      <x:c r="D7" s="18" t="str">
        <x:v>Primera parte</x:v>
      </x:c>
      <x:c r="E7" s="18" t="n">
        <x:v>65</x:v>
      </x:c>
      <x:c r="F7" s="18" t="str">
        <x:v>S11</x:v>
      </x:c>
      <x:c r="G7" s="18" t="str">
        <x:v>Según el artículo 9 de la Orden de 13 de febrero de 1967 cuando el causante fuese trabajador en activo o se encontrase en situación asimilada al alta, al tiempo de su fallecimiento, y éste no sea debido a accidente de trabajo o enfermedad profesional, la base reguladora será eI cociente que resulte de dividir por veintiocho la suma de las bases de cotización del causante durante un período ininterrumpido de veinticuatro meses naturales aun cuando dentro del mismo existan lapsos en los que no haya habido obligación de cotizar. Dicho periodo de veinticuatro meses:</x:v>
      </x:c>
      <x:c r="H7" s="18" t="str">
        <x:v>ANULADA</x:v>
      </x:c>
      <x:c r="I7" s="18" t="str">
        <x:v>ANULADA</x:v>
      </x:c>
      <x:c r="J7" s="18" t="str">
        <x:v>Anulada</x:v>
      </x:c>
      <x:c r="K7" s="18" t="str">
        <x:v>01. Información oficial de la oposición\Exámenes oficiales anteriores\2025 Convocatoria 2024 - Acceso libre Modelo A.pdf</x:v>
      </x:c>
    </x:row>
    <x:row r="8">
      <x:c r="A8" s="18" t="str">
        <x:v>2026_conv2025_rojo_A-T29</x:v>
      </x:c>
      <x:c r="B8" s="28" t="n">
        <x:v>46201</x:v>
      </x:c>
      <x:c r="C8" s="18" t="str">
        <x:v>Rojo A</x:v>
      </x:c>
      <x:c r="D8" s="18" t="str">
        <x:v>Primera parte</x:v>
      </x:c>
      <x:c r="E8" s="18" t="n">
        <x:v>29</x:v>
      </x:c>
      <x:c r="F8" s="18" t="str">
        <x:v>S01</x:v>
      </x:c>
      <x:c r="G8" s="18" t="str">
        <x:v>¿Cuál de los siguientes NO es un Título del texto refundido de la Ley General de la Seguridad Social?</x:v>
      </x:c>
      <x:c r="H8" s="18" t="str">
        <x:v>A</x:v>
      </x:c>
      <x:c r="I8" s="18" t="str">
        <x:v>ANULADA</x:v>
      </x:c>
      <x:c r="J8" s="18" t="str">
        <x:v>Anulada</x:v>
      </x:c>
      <x:c r="K8" s="18" t="str">
        <x:v>01. Información oficial de la oposición\Exámenes oficiales anteriores\2026 Convocatoria 2025 - Acceso libre Rojo A.pdf</x:v>
      </x:c>
    </x:row>
    <x:row r="9">
      <x:c r="A9" s="18" t="str">
        <x:v>2026_conv2025_rojo_A-T43</x:v>
      </x:c>
      <x:c r="B9" s="28" t="n">
        <x:v>46201</x:v>
      </x:c>
      <x:c r="C9" s="18" t="str">
        <x:v>Rojo A</x:v>
      </x:c>
      <x:c r="D9" s="18" t="str">
        <x:v>Primera parte</x:v>
      </x:c>
      <x:c r="E9" s="18" t="n">
        <x:v>43</x:v>
      </x:c>
      <x:c r="F9" s="18" t="str">
        <x:v>S05</x:v>
      </x:c>
      <x:c r="G9" s="18" t="str">
        <x:v>EI artículo 34 del Real Decreto 1415/2004, de 11 de junio, por el que se aprueba el Reglamento General de Recaudación de 'a Seguridad Social, establece que en los aplazamientos en los que se haya eximido de constituir garantías por causas de carácter extraordinario, el interés aplicable será:</x:v>
      </x:c>
      <x:c r="H9" s="18" t="str">
        <x:v>B</x:v>
      </x:c>
      <x:c r="I9" s="18" t="str">
        <x:v>ANULADA</x:v>
      </x:c>
      <x:c r="J9" s="18" t="str">
        <x:v>Anulada</x:v>
      </x:c>
      <x:c r="K9" s="18" t="str">
        <x:v>01. Información oficial de la oposición\Exámenes oficiales anteriores\2026 Convocatoria 2025 - Acceso libre Rojo A.pdf</x:v>
      </x:c>
    </x:row>
    <x:row r="10">
      <x:c r="A10" s="18" t="str">
        <x:v>2026_conv2025_rojo_A-P08</x:v>
      </x:c>
      <x:c r="B10" s="28" t="n">
        <x:v>46201</x:v>
      </x:c>
      <x:c r="C10" s="18" t="str">
        <x:v>Rojo A</x:v>
      </x:c>
      <x:c r="D10" s="18" t="str">
        <x:v>Segunda parte</x:v>
      </x:c>
      <x:c r="E10" s="18" t="n">
        <x:v>8</x:v>
      </x:c>
      <x:c r="F10" s="18" t="str">
        <x:v>S05</x:v>
      </x:c>
      <x:c r="G10" s="18" t="str">
        <x:v>Indique si el aplazamiento sobre esta deuda necesita ser garantizado:</x:v>
      </x:c>
      <x:c r="H10" s="18" t="str">
        <x:v>C</x:v>
      </x:c>
      <x:c r="I10" s="18" t="str">
        <x:v>ANULADA</x:v>
      </x:c>
      <x:c r="J10" s="18" t="str">
        <x:v>Anulada</x:v>
      </x:c>
      <x:c r="K10" s="18" t="str">
        <x:v>01. Información oficial de la oposición\Exámenes oficiales anteriores\2026 Convocatoria 2025 - Acceso libre Rojo A.pdf</x:v>
      </x:c>
    </x:row>
    <x:row r="11">
      <x:c r="A11" s="18" t="str">
        <x:v>2026_conv2025_verde_A-T29</x:v>
      </x:c>
      <x:c r="B11" s="28" t="n">
        <x:v>46201</x:v>
      </x:c>
      <x:c r="C11" s="18" t="str">
        <x:v>Verde A</x:v>
      </x:c>
      <x:c r="D11" s="18" t="str">
        <x:v>Primera parte</x:v>
      </x:c>
      <x:c r="E11" s="18" t="n">
        <x:v>29</x:v>
      </x:c>
      <x:c r="F11" s="18" t="str">
        <x:v>S05</x:v>
      </x:c>
      <x:c r="G11" s="18" t="str">
        <x:v>EI artículo 34 del Real Decreto 1415/2004, de 11 de junio, por eI que se aprueba el Reglamento General de Recaudación de la Seguridad Social, establece que en los aplazamientos en los que se haya eximido de constituir garantías por causas de carácter extraordinario, eI interés aplicable será:</x:v>
      </x:c>
      <x:c r="H11" s="18" t="str">
        <x:v>B</x:v>
      </x:c>
      <x:c r="I11" s="18" t="str">
        <x:v>ANULADA</x:v>
      </x:c>
      <x:c r="J11" s="18" t="str">
        <x:v>Anulada</x:v>
      </x:c>
      <x:c r="K11" s="18" t="str">
        <x:v>01. Información oficial de la oposición\Exámenes oficiales anteriores\2026 Convocatoria 2025 - Acceso libre Verde A.pdf</x:v>
      </x:c>
    </x:row>
    <x:row r="12">
      <x:c r="A12" s="18" t="str">
        <x:v>2026_conv2025_verde_A-T39</x:v>
      </x:c>
      <x:c r="B12" s="28" t="n">
        <x:v>46201</x:v>
      </x:c>
      <x:c r="C12" s="18" t="str">
        <x:v>Verde A</x:v>
      </x:c>
      <x:c r="D12" s="18" t="str">
        <x:v>Primera parte</x:v>
      </x:c>
      <x:c r="E12" s="18" t="n">
        <x:v>39</x:v>
      </x:c>
      <x:c r="F12" s="18" t="str">
        <x:v>S01</x:v>
      </x:c>
      <x:c r="G12" s="18" t="str">
        <x:v>¿Cuál de los siguientes NO es un Título del texto refundido de la Ley General de la Seguridad Social?</x:v>
      </x:c>
      <x:c r="H12" s="18" t="str">
        <x:v>C</x:v>
      </x:c>
      <x:c r="I12" s="18" t="str">
        <x:v>ANULADA</x:v>
      </x:c>
      <x:c r="J12" s="18" t="str">
        <x:v>Anulada</x:v>
      </x:c>
      <x:c r="K12" s="18" t="str">
        <x:v>01. Información oficial de la oposición\Exámenes oficiales anteriores\2026 Convocatoria 2025 - Acceso libre Verde A.pdf</x:v>
      </x:c>
    </x:row>
    <x:row r="13">
      <x:c r="A13" s="18" t="str">
        <x:v>2026_conv2025_verde_A-P08</x:v>
      </x:c>
      <x:c r="B13" s="28" t="n">
        <x:v>46201</x:v>
      </x:c>
      <x:c r="C13" s="18" t="str">
        <x:v>Verde A</x:v>
      </x:c>
      <x:c r="D13" s="18" t="str">
        <x:v>Segunda parte</x:v>
      </x:c>
      <x:c r="E13" s="18" t="n">
        <x:v>8</x:v>
      </x:c>
      <x:c r="F13" s="18" t="str">
        <x:v>S05</x:v>
      </x:c>
      <x:c r="G13" s="18" t="str">
        <x:v>• Indique si eI aplazamiento sobre esta deuda necesita ser garantizado:</x:v>
      </x:c>
      <x:c r="H13" s="18" t="str">
        <x:v>B</x:v>
      </x:c>
      <x:c r="I13" s="18" t="str">
        <x:v>ANULADA</x:v>
      </x:c>
      <x:c r="J13" s="18" t="str">
        <x:v>Anulada</x:v>
      </x:c>
      <x:c r="K13" s="18" t="str">
        <x:v>01. Información oficial de la oposición\Exámenes oficiales anteriores\2026 Convocatoria 2025 - Acceso libre Verde A.pdf</x:v>
      </x:c>
    </x:row>
  </x:sheetData>
  <x:conditionalFormatting sqref="J2:J13">
    <x:cfRule type="containsText" dxfId="0" priority="1" operator="containsText" text="Anulada"/>
  </x:conditionalFormatting>
  <x:pageMargins left="0.7" right="0.7" top="0.75" bottom="0.75" header="0.3" footer="0.3"/>
  <x:tableParts count="1">
    <x:tablePart xmlns:r="http://schemas.openxmlformats.org/officeDocument/2006/relationships" r:id="Rb48a9f60ef174c4f"/>
  </x:tableParts>
</x:worksheet>
</file>

<file path=xl/worksheets/sheet7.xml><?xml version="1.0" encoding="utf-8"?>
<x:worksheet xmlns:x="http://schemas.openxmlformats.org/spreadsheetml/2006/main">
  <x:sheetViews>
    <x:sheetView showGridLines="0" workbookViewId="0"/>
  </x:sheetViews>
  <x:sheetFormatPr defaultRowHeight="15"/>
  <x:cols>
    <x:col min="1" max="1" width="16" hidden="0" customWidth="1"/>
    <x:col min="2" max="2" width="16" hidden="0" customWidth="1"/>
    <x:col min="3" max="3" width="16" hidden="0" customWidth="1"/>
    <x:col min="4" max="4" width="16" hidden="0" customWidth="1"/>
  </x:cols>
  <x:sheetData>
    <x:row r="1" ht="34" customHeight="1">
      <x:c r="A1" s="4" t="str">
        <x:v>Tendencias observadas en preguntas canónicas</x:v>
      </x:c>
      <x:c r="B1" s="4" t="str">
        <x:v>Tendencias observadas en preguntas canónicas</x:v>
      </x:c>
      <x:c r="C1" s="4" t="str">
        <x:v>Tendencias observadas en preguntas canónicas</x:v>
      </x:c>
      <x:c r="D1" s="4" t="str">
        <x:v>Tendencias observadas en preguntas canónicas</x:v>
      </x:c>
      <x:c r="E1" s="4" t="str">
        <x:v>Tendencias observadas en preguntas canónicas</x:v>
      </x:c>
      <x:c r="F1" s="4" t="str">
        <x:v>Tendencias observadas en preguntas canónicas</x:v>
      </x:c>
      <x:c r="G1" s="4" t="str">
        <x:v>Tendencias observadas en preguntas canónicas</x:v>
      </x:c>
      <x:c r="H1" s="4" t="str">
        <x:v>Tendencias observadas en preguntas canónicas</x:v>
      </x:c>
    </x:row>
    <x:row r="2" ht="30" customHeight="1">
      <x:c r="A2" s="8" t="str">
        <x:v>La frecuencia describe el corpus oficial disponible; no es una predicción de examen.</x:v>
      </x:c>
      <x:c r="B2" s="8" t="str">
        <x:v>La frecuencia describe el corpus oficial disponible; no es una predicción de examen.</x:v>
      </x:c>
      <x:c r="C2" s="8" t="str">
        <x:v>La frecuencia describe el corpus oficial disponible; no es una predicción de examen.</x:v>
      </x:c>
      <x:c r="D2" s="8" t="str">
        <x:v>La frecuencia describe el corpus oficial disponible; no es una predicción de examen.</x:v>
      </x:c>
      <x:c r="E2" s="8" t="str">
        <x:v>La frecuencia describe el corpus oficial disponible; no es una predicción de examen.</x:v>
      </x:c>
      <x:c r="F2" s="8" t="str">
        <x:v>La frecuencia describe el corpus oficial disponible; no es una predicción de examen.</x:v>
      </x:c>
      <x:c r="G2" s="8" t="str">
        <x:v>La frecuencia describe el corpus oficial disponible; no es una predicción de examen.</x:v>
      </x:c>
      <x:c r="H2" s="8" t="str">
        <x:v>La frecuencia describe el corpus oficial disponible; no es una predicción de examen.</x:v>
      </x:c>
    </x:row>
    <x:row r="4" ht="30" customHeight="1">
      <x:c r="A4" s="14" t="str">
        <x:v>Tema</x:v>
      </x:c>
      <x:c r="B4" s="14" t="str">
        <x:v>Preguntas</x:v>
      </x:c>
      <x:c r="C4" s="14" t="str">
        <x:v>Prácticas</x:v>
      </x:c>
      <x:c r="D4" s="14" t="str">
        <x:v>Reservas</x:v>
      </x:c>
    </x:row>
    <x:row r="5">
      <x:c r="A5" s="18" t="str">
        <x:v>S05</x:v>
      </x:c>
      <x:c r="B5" s="18" t="n">
        <x:v>32</x:v>
      </x:c>
      <x:c r="C5" s="18" t="n">
        <x:v>11</x:v>
      </x:c>
      <x:c r="D5" s="18" t="n">
        <x:v>2</x:v>
      </x:c>
    </x:row>
    <x:row r="6">
      <x:c r="A6" s="18" t="str">
        <x:v>S08</x:v>
      </x:c>
      <x:c r="B6" s="18" t="n">
        <x:v>32</x:v>
      </x:c>
      <x:c r="C6" s="18" t="n">
        <x:v>14</x:v>
      </x:c>
      <x:c r="D6" s="18" t="n">
        <x:v>3</x:v>
      </x:c>
    </x:row>
    <x:row r="7">
      <x:c r="A7" s="18" t="str">
        <x:v>S10</x:v>
      </x:c>
      <x:c r="B7" s="18" t="n">
        <x:v>32</x:v>
      </x:c>
      <x:c r="C7" s="18" t="n">
        <x:v>15</x:v>
      </x:c>
      <x:c r="D7" s="18" t="n">
        <x:v>8</x:v>
      </x:c>
    </x:row>
    <x:row r="8">
      <x:c r="A8" s="18" t="str">
        <x:v>S03</x:v>
      </x:c>
      <x:c r="B8" s="18" t="n">
        <x:v>30</x:v>
      </x:c>
      <x:c r="C8" s="18" t="n">
        <x:v>11</x:v>
      </x:c>
      <x:c r="D8" s="18" t="n">
        <x:v>3</x:v>
      </x:c>
    </x:row>
    <x:row r="9">
      <x:c r="A9" s="18" t="str">
        <x:v>S04</x:v>
      </x:c>
      <x:c r="B9" s="18" t="n">
        <x:v>30</x:v>
      </x:c>
      <x:c r="C9" s="18" t="n">
        <x:v>14</x:v>
      </x:c>
      <x:c r="D9" s="18" t="n">
        <x:v>2</x:v>
      </x:c>
    </x:row>
    <x:row r="10">
      <x:c r="A10" s="18" t="str">
        <x:v>S09</x:v>
      </x:c>
      <x:c r="B10" s="18" t="n">
        <x:v>30</x:v>
      </x:c>
      <x:c r="C10" s="18" t="n">
        <x:v>11</x:v>
      </x:c>
      <x:c r="D10" s="18" t="n">
        <x:v>2</x:v>
      </x:c>
    </x:row>
    <x:row r="11">
      <x:c r="A11" s="18" t="str">
        <x:v>S06</x:v>
      </x:c>
      <x:c r="B11" s="18" t="n">
        <x:v>29</x:v>
      </x:c>
      <x:c r="C11" s="18" t="n">
        <x:v>6</x:v>
      </x:c>
      <x:c r="D11" s="18" t="n">
        <x:v>2</x:v>
      </x:c>
    </x:row>
    <x:row r="12">
      <x:c r="A12" s="18" t="str">
        <x:v>S12</x:v>
      </x:c>
      <x:c r="B12" s="18" t="n">
        <x:v>25</x:v>
      </x:c>
      <x:c r="C12" s="18" t="n">
        <x:v>0</x:v>
      </x:c>
      <x:c r="D12" s="18" t="n">
        <x:v>1</x:v>
      </x:c>
    </x:row>
    <x:row r="13">
      <x:c r="A13" s="18" t="str">
        <x:v>S11</x:v>
      </x:c>
      <x:c r="B13" s="18" t="n">
        <x:v>24</x:v>
      </x:c>
      <x:c r="C13" s="18" t="n">
        <x:v>7</x:v>
      </x:c>
      <x:c r="D13" s="18" t="n">
        <x:v>1</x:v>
      </x:c>
    </x:row>
    <x:row r="14">
      <x:c r="A14" s="18" t="str">
        <x:v>S02</x:v>
      </x:c>
      <x:c r="B14" s="18" t="n">
        <x:v>19</x:v>
      </x:c>
      <x:c r="C14" s="18" t="n">
        <x:v>1</x:v>
      </x:c>
      <x:c r="D14" s="18" t="n">
        <x:v>1</x:v>
      </x:c>
    </x:row>
    <x:row r="15">
      <x:c r="A15" s="18" t="str">
        <x:v>S07</x:v>
      </x:c>
      <x:c r="B15" s="18" t="n">
        <x:v>19</x:v>
      </x:c>
      <x:c r="C15" s="18" t="n">
        <x:v>0</x:v>
      </x:c>
      <x:c r="D15" s="18" t="n">
        <x:v>0</x:v>
      </x:c>
    </x:row>
    <x:row r="16">
      <x:c r="A16" s="18" t="str">
        <x:v>S13</x:v>
      </x:c>
      <x:c r="B16" s="18" t="n">
        <x:v>16</x:v>
      </x:c>
      <x:c r="C16" s="18" t="n">
        <x:v>0</x:v>
      </x:c>
      <x:c r="D16" s="18" t="n">
        <x:v>0</x:v>
      </x:c>
    </x:row>
    <x:row r="17">
      <x:c r="A17" s="18" t="str">
        <x:v>S01</x:v>
      </x:c>
      <x:c r="B17" s="18" t="n">
        <x:v>11</x:v>
      </x:c>
      <x:c r="C17" s="18" t="n">
        <x:v>0</x:v>
      </x:c>
      <x:c r="D17" s="18" t="n">
        <x:v>0</x:v>
      </x:c>
    </x:row>
    <x:row r="18">
      <x:c r="A18" s="18" t="str">
        <x:v>G02</x:v>
      </x:c>
      <x:c r="B18" s="18" t="n">
        <x:v>7</x:v>
      </x:c>
      <x:c r="C18" s="18" t="n">
        <x:v>0</x:v>
      </x:c>
      <x:c r="D18" s="18" t="n">
        <x:v>0</x:v>
      </x:c>
    </x:row>
    <x:row r="19">
      <x:c r="A19" s="18" t="str">
        <x:v>G03</x:v>
      </x:c>
      <x:c r="B19" s="18" t="n">
        <x:v>7</x:v>
      </x:c>
      <x:c r="C19" s="18" t="n">
        <x:v>0</x:v>
      </x:c>
      <x:c r="D19" s="18" t="n">
        <x:v>1</x:v>
      </x:c>
    </x:row>
    <x:row r="22" ht="28" customHeight="1">
      <x:c r="A22" s="31" t="str">
        <x:v>Lectura recomendada: combine frecuencia, dificultad, anulaciones y peso práctico. Un tema poco frecuente puede ser decisivo.</x:v>
      </x:c>
      <x:c r="B22" s="31" t="str">
        <x:v>Lectura recomendada: combine frecuencia, dificultad, anulaciones y peso práctico. Un tema poco frecuente puede ser decisivo.</x:v>
      </x:c>
      <x:c r="C22" s="31" t="str">
        <x:v>Lectura recomendada: combine frecuencia, dificultad, anulaciones y peso práctico. Un tema poco frecuente puede ser decisivo.</x:v>
      </x:c>
      <x:c r="D22" s="31" t="str">
        <x:v>Lectura recomendada: combine frecuencia, dificultad, anulaciones y peso práctico. Un tema poco frecuente puede ser decisivo.</x:v>
      </x:c>
      <x:c r="E22" s="31" t="str">
        <x:v>Lectura recomendada: combine frecuencia, dificultad, anulaciones y peso práctico. Un tema poco frecuente puede ser decisivo.</x:v>
      </x:c>
      <x:c r="F22" s="31" t="str">
        <x:v>Lectura recomendada: combine frecuencia, dificultad, anulaciones y peso práctico. Un tema poco frecuente puede ser decisivo.</x:v>
      </x:c>
      <x:c r="G22" s="31" t="str">
        <x:v>Lectura recomendada: combine frecuencia, dificultad, anulaciones y peso práctico. Un tema poco frecuente puede ser decisivo.</x:v>
      </x:c>
      <x:c r="H22" s="31" t="str">
        <x:v>Lectura recomendada: combine frecuencia, dificultad, anulaciones y peso práctico. Un tema poco frecuente puede ser decisivo.</x:v>
      </x:c>
      <x:c r="I22" s="31" t="str">
        <x:v>Lectura recomendada: combine frecuencia, dificultad, anulaciones y peso práctico. Un tema poco frecuente puede ser decisivo.</x:v>
      </x:c>
      <x:c r="J22" s="31" t="str">
        <x:v>Lectura recomendada: combine frecuencia, dificultad, anulaciones y peso práctico. Un tema poco frecuente puede ser decisivo.</x:v>
      </x:c>
      <x:c r="K22" s="31" t="str">
        <x:v>Lectura recomendada: combine frecuencia, dificultad, anulaciones y peso práctico. Un tema poco frecuente puede ser decisivo.</x:v>
      </x:c>
      <x:c r="L22" s="31" t="str">
        <x:v>Lectura recomendada: combine frecuencia, dificultad, anulaciones y peso práctico. Un tema poco frecuente puede ser decisivo.</x:v>
      </x:c>
      <x:c r="M22" s="31" t="str">
        <x:v>Lectura recomendada: combine frecuencia, dificultad, anulaciones y peso práctico. Un tema poco frecuente puede ser decisivo.</x:v>
      </x:c>
      <x:c r="N22" s="31" t="str">
        <x:v>Lectura recomendada: combine frecuencia, dificultad, anulaciones y peso práctico. Un tema poco frecuente puede ser decisivo.</x:v>
      </x:c>
    </x:row>
  </x:sheetData>
  <x:mergeCells>
    <x:mergeCell ref="A1:H1"/>
    <x:mergeCell ref="A2:H2"/>
    <x:mergeCell ref="A22:N22"/>
  </x:mergeCells>
  <x:pageMargins left="0.7" right="0.7" top="0.75" bottom="0.75" header="0.3" footer="0.3"/>
  <x:drawing xmlns:r="http://schemas.openxmlformats.org/officeDocument/2006/relationships" r:id="R8725e95c96a64649"/>
</x:worksheet>
</file>

<file path=xl/worksheets/sheet8.xml><?xml version="1.0" encoding="utf-8"?>
<x:worksheet xmlns:x="http://schemas.openxmlformats.org/spreadsheetml/2006/main">
  <x:sheetViews>
    <x:sheetView showGridLines="0" workbookViewId="0"/>
  </x:sheetViews>
  <x:sheetFormatPr defaultRowHeight="15"/>
  <x:cols>
    <x:col min="1" max="1" width="26" hidden="0" customWidth="1"/>
    <x:col min="2" max="2" width="100" hidden="0" customWidth="1"/>
  </x:cols>
  <x:sheetData>
    <x:row r="1" ht="34" customHeight="1">
      <x:c r="A1" s="4" t="str">
        <x:v>Fuentes oficiales, alcance y límites</x:v>
      </x:c>
      <x:c r="B1" s="4" t="str">
        <x:v>Fuentes oficiales, alcance y límites</x:v>
      </x:c>
      <x:c r="C1" s="4" t="str">
        <x:v>Fuentes oficiales, alcance y límites</x:v>
      </x:c>
      <x:c r="D1" s="4" t="str">
        <x:v>Fuentes oficiales, alcance y límites</x:v>
      </x:c>
      <x:c r="E1" s="4" t="str">
        <x:v>Fuentes oficiales, alcance y límites</x:v>
      </x:c>
      <x:c r="F1" s="4" t="str">
        <x:v>Fuentes oficiales, alcance y límites</x:v>
      </x:c>
    </x:row>
    <x:row r="2" ht="30" customHeight="1">
      <x:c r="A2" s="8" t="str">
        <x:v>Documento de trabajo trazable; no sustituye la lectura de BOE y textos consolidados.</x:v>
      </x:c>
      <x:c r="B2" s="8" t="str">
        <x:v>Documento de trabajo trazable; no sustituye la lectura de BOE y textos consolidados.</x:v>
      </x:c>
      <x:c r="C2" s="8" t="str">
        <x:v>Documento de trabajo trazable; no sustituye la lectura de BOE y textos consolidados.</x:v>
      </x:c>
      <x:c r="D2" s="8" t="str">
        <x:v>Documento de trabajo trazable; no sustituye la lectura de BOE y textos consolidados.</x:v>
      </x:c>
      <x:c r="E2" s="8" t="str">
        <x:v>Documento de trabajo trazable; no sustituye la lectura de BOE y textos consolidados.</x:v>
      </x:c>
      <x:c r="F2" s="8" t="str">
        <x:v>Documento de trabajo trazable; no sustituye la lectura de BOE y textos consolidados.</x:v>
      </x:c>
    </x:row>
    <x:row r="4" ht="30" customHeight="1">
      <x:c r="A4" s="14" t="str">
        <x:v>Campo</x:v>
      </x:c>
      <x:c r="B4" s="14" t="str">
        <x:v>Detalle</x:v>
      </x:c>
    </x:row>
    <x:row r="5">
      <x:c r="A5" s="18" t="str">
        <x:v>Fecha de corte</x:v>
      </x:c>
      <x:c r="B5" s="18" t="str">
        <x:v>30/07/2026</x:v>
      </x:c>
    </x:row>
    <x:row r="6">
      <x:c r="A6" s="18" t="str">
        <x:v>Convocatoria vigente</x:v>
      </x:c>
      <x:c r="B6" s="18" t="str">
        <x:v>Resolución de 22/12/2025, BOE-A-2025-27158; corrección BOE-A-2026-5351.</x:v>
      </x:c>
    </x:row>
    <x:row r="7">
      <x:c r="A7" s="18" t="str">
        <x:v>Portal oficial 2025</x:v>
      </x:c>
      <x:c r="B7" s="18" t="str">
        <x:v>https://www.seg-social.es/wps/portal/wss/internet/InformacionUtil/9950/88beb45d-ca83-4bab-8162-f94ef2894562/e0c83707-3358-47a9-94d7-508221dad233</x:v>
      </x:c>
    </x:row>
    <x:row r="8">
      <x:c r="A8" s="18" t="str">
        <x:v>Portal histórico 2024</x:v>
      </x:c>
      <x:c r="B8" s="18" t="str">
        <x:v>https://www.seg-social.es/wps/portal/wss/internet/InformacionUtil/9950/88beb45d-ca83-4bab-8162-f94ef2894562/7e46efac-32c8-4cf6-b3d3-d592c3560dff/rdpi_administrativos_2024</x:v>
      </x:c>
    </x:row>
    <x:row r="9">
      <x:c r="A9" s="18" t="str">
        <x:v>Cobertura</x:v>
      </x:c>
      <x:c r="B9" s="18" t="str">
        <x:v>Convocatorias 2023, 2024 y 2025: sesiones ordinarias y extraordinarias publicadas a la fecha de corte.</x:v>
      </x:c>
    </x:row>
    <x:row r="10">
      <x:c r="A10" s="18" t="str">
        <x:v>Unidad de frecuencia</x:v>
      </x:c>
      <x:c r="B10" s="18" t="str">
        <x:v>Una variante canónica por sesión. Verde 2026 se conserva en la base, pero no se vuelve a contar.</x:v>
      </x:c>
    </x:row>
    <x:row r="11">
      <x:c r="A11" s="18" t="str">
        <x:v>Modelos B</x:v>
      </x:c>
      <x:c r="B11" s="18" t="str">
        <x:v>Archivados en PDF oficial. Son variantes por permutación; el análisis por tema usa la variante A canónica.</x:v>
      </x:c>
    </x:row>
    <x:row r="12">
      <x:c r="A12" s="18" t="str">
        <x:v>Extracción</x:v>
      </x:c>
      <x:c r="B12" s="18" t="str">
        <x:v>Texto PDF cuando existía capa textual; OCR Windows es-ES en cuestionarios escaneados. Todas las sesiones se validaron a 91 registros (73+18).</x:v>
      </x:c>
    </x:row>
    <x:row r="13">
      <x:c r="A13" s="18" t="str">
        <x:v>Clasificación</x:v>
      </x:c>
      <x:c r="B13" s="18" t="str">
        <x:v>Reglas jurídicas por norma, artículo y concepto, con revisión individual de casos ambiguos. La columna método documenta el criterio.</x:v>
      </x:c>
    </x:row>
    <x:row r="14">
      <x:c r="A14" s="18" t="str">
        <x:v>Respuestas</x:v>
      </x:c>
      <x:c r="B14" s="18" t="str">
        <x:v>Se conservan plantilla provisional y definitiva, así como anulaciones y cambios.</x:v>
      </x:c>
    </x:row>
    <x:row r="15">
      <x:c r="A15" s="18" t="str">
        <x:v>Pendiente futuro</x:v>
      </x:c>
      <x:c r="B15" s="18" t="str">
        <x:v>Ejercicio extraordinario anunciado para 12/09/2026: no existe cuestionario a 30/07/2026 y no se inventa contenido.</x:v>
      </x:c>
    </x:row>
    <x:row r="16">
      <x:c r="A16" s="18" t="str">
        <x:v>Advertencia</x:v>
      </x:c>
      <x:c r="B16" s="18" t="str">
        <x:v>Las cifras de frecuencia describen el corpus disponible y no garantizan la distribución de una convocatoria futura.</x:v>
      </x:c>
    </x:row>
    <x:row r="17">
      <x:c r="A17" s="18" t="str">
        <x:v>Copyright</x:v>
      </x:c>
      <x:c r="B17" s="18" t="str">
        <x:v>© 2026 ACADEMIA LORMAN. Uso personal del alumnado.</x:v>
      </x:c>
    </x:row>
  </x:sheetData>
  <x:mergeCells>
    <x:mergeCell ref="A1:F1"/>
    <x:mergeCell ref="A2:F2"/>
  </x:mergeCells>
  <x:pageMargins left="0.7" right="0.7" top="0.75" bottom="0.75" header="0.3" footer="0.3"/>
</x:worksheet>
</file>